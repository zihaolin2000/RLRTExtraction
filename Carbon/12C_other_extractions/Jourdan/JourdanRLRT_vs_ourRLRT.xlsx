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ihaolin/Desktop/2025 Spring/RLRT_extraction_2025/Carbon/12C_other_extractions/Jourdan/"/>
    </mc:Choice>
  </mc:AlternateContent>
  <xr:revisionPtr revIDLastSave="0" documentId="13_ncr:1_{68452285-B3CB-784F-943F-AC1AE1FD1688}" xr6:coauthVersionLast="47" xr6:coauthVersionMax="47" xr10:uidLastSave="{00000000-0000-0000-0000-000000000000}"/>
  <bookViews>
    <workbookView xWindow="0" yWindow="760" windowWidth="34200" windowHeight="21380" xr2:uid="{BFC40FB7-1575-7E49-9DBF-CBD03EBE8E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8" i="1" l="1"/>
  <c r="S48" i="1" s="1"/>
  <c r="T48" i="1" s="1"/>
  <c r="U47" i="1"/>
  <c r="V47" i="1" s="1"/>
  <c r="W47" i="1" s="1"/>
  <c r="U45" i="1"/>
  <c r="V45" i="1" s="1"/>
  <c r="W45" i="1" s="1"/>
  <c r="U43" i="1"/>
  <c r="V43" i="1" s="1"/>
  <c r="W43" i="1" s="1"/>
  <c r="R43" i="1"/>
  <c r="S43" i="1" s="1"/>
  <c r="T43" i="1" s="1"/>
  <c r="R42" i="1"/>
  <c r="S42" i="1" s="1"/>
  <c r="T42" i="1" s="1"/>
  <c r="U41" i="1"/>
  <c r="V41" i="1" s="1"/>
  <c r="W41" i="1" s="1"/>
  <c r="R41" i="1"/>
  <c r="S41" i="1" s="1"/>
  <c r="T41" i="1" s="1"/>
  <c r="R40" i="1"/>
  <c r="S40" i="1" s="1"/>
  <c r="T40" i="1" s="1"/>
  <c r="U39" i="1"/>
  <c r="V39" i="1" s="1"/>
  <c r="W39" i="1" s="1"/>
  <c r="U37" i="1"/>
  <c r="V37" i="1" s="1"/>
  <c r="W37" i="1" s="1"/>
  <c r="U35" i="1"/>
  <c r="V35" i="1" s="1"/>
  <c r="W35" i="1" s="1"/>
  <c r="R35" i="1"/>
  <c r="S35" i="1" s="1"/>
  <c r="T35" i="1" s="1"/>
  <c r="R34" i="1"/>
  <c r="S34" i="1" s="1"/>
  <c r="T34" i="1" s="1"/>
  <c r="U33" i="1"/>
  <c r="V33" i="1" s="1"/>
  <c r="W33" i="1" s="1"/>
  <c r="R33" i="1"/>
  <c r="R32" i="1"/>
  <c r="S32" i="1" s="1"/>
  <c r="T32" i="1" s="1"/>
  <c r="U31" i="1"/>
  <c r="V31" i="1" s="1"/>
  <c r="W31" i="1" s="1"/>
  <c r="U29" i="1"/>
  <c r="V29" i="1" s="1"/>
  <c r="W29" i="1" s="1"/>
  <c r="U27" i="1"/>
  <c r="V27" i="1" s="1"/>
  <c r="W27" i="1" s="1"/>
  <c r="R27" i="1"/>
  <c r="S27" i="1" s="1"/>
  <c r="T27" i="1" s="1"/>
  <c r="R26" i="1"/>
  <c r="S26" i="1" s="1"/>
  <c r="T26" i="1" s="1"/>
  <c r="U25" i="1"/>
  <c r="V25" i="1" s="1"/>
  <c r="W25" i="1" s="1"/>
  <c r="R25" i="1"/>
  <c r="S25" i="1" s="1"/>
  <c r="T25" i="1" s="1"/>
  <c r="R24" i="1"/>
  <c r="S24" i="1" s="1"/>
  <c r="T24" i="1" s="1"/>
  <c r="U23" i="1"/>
  <c r="V23" i="1" s="1"/>
  <c r="W23" i="1" s="1"/>
  <c r="U21" i="1"/>
  <c r="V21" i="1" s="1"/>
  <c r="W21" i="1" s="1"/>
  <c r="U19" i="1"/>
  <c r="V19" i="1" s="1"/>
  <c r="W19" i="1" s="1"/>
  <c r="R19" i="1"/>
  <c r="S19" i="1" s="1"/>
  <c r="T19" i="1" s="1"/>
  <c r="R18" i="1"/>
  <c r="S18" i="1" s="1"/>
  <c r="T18" i="1" s="1"/>
  <c r="U17" i="1"/>
  <c r="V17" i="1" s="1"/>
  <c r="W17" i="1" s="1"/>
  <c r="R17" i="1"/>
  <c r="S17" i="1" s="1"/>
  <c r="T17" i="1" s="1"/>
  <c r="R16" i="1"/>
  <c r="S16" i="1" s="1"/>
  <c r="T16" i="1" s="1"/>
  <c r="U15" i="1"/>
  <c r="V15" i="1" s="1"/>
  <c r="W15" i="1" s="1"/>
  <c r="R15" i="1"/>
  <c r="S15" i="1" s="1"/>
  <c r="T15" i="1" s="1"/>
  <c r="U13" i="1"/>
  <c r="V13" i="1" s="1"/>
  <c r="W13" i="1" s="1"/>
  <c r="R13" i="1"/>
  <c r="S13" i="1" s="1"/>
  <c r="T13" i="1" s="1"/>
  <c r="U11" i="1"/>
  <c r="V11" i="1" s="1"/>
  <c r="W11" i="1" s="1"/>
  <c r="R11" i="1"/>
  <c r="S11" i="1" s="1"/>
  <c r="T11" i="1" s="1"/>
  <c r="R10" i="1"/>
  <c r="S10" i="1" s="1"/>
  <c r="T10" i="1" s="1"/>
  <c r="U9" i="1"/>
  <c r="V9" i="1" s="1"/>
  <c r="W9" i="1" s="1"/>
  <c r="R9" i="1"/>
  <c r="S9" i="1" s="1"/>
  <c r="T9" i="1" s="1"/>
  <c r="U7" i="1"/>
  <c r="V7" i="1" s="1"/>
  <c r="W7" i="1" s="1"/>
  <c r="R7" i="1"/>
  <c r="S7" i="1" s="1"/>
  <c r="T7" i="1" s="1"/>
  <c r="U5" i="1"/>
  <c r="V5" i="1" s="1"/>
  <c r="W5" i="1" s="1"/>
  <c r="R5" i="1"/>
  <c r="S5" i="1" s="1"/>
  <c r="T5" i="1" s="1"/>
  <c r="U3" i="1"/>
  <c r="V3" i="1" s="1"/>
  <c r="W3" i="1" s="1"/>
  <c r="R3" i="1"/>
  <c r="S3" i="1" s="1"/>
  <c r="T3" i="1" s="1"/>
  <c r="Z79" i="1"/>
  <c r="Z80" i="1" s="1"/>
  <c r="AF52" i="1"/>
  <c r="AF53" i="1"/>
  <c r="AF54" i="1"/>
  <c r="AC56" i="1" s="1"/>
  <c r="AC58" i="1" s="1" a="1"/>
  <c r="AC58" i="1" s="1"/>
  <c r="AF69" i="1"/>
  <c r="AB69" i="1"/>
  <c r="Y71" i="1" s="1"/>
  <c r="Y73" i="1" s="1" a="1"/>
  <c r="Y73" i="1" s="1"/>
  <c r="AF68" i="1"/>
  <c r="AB68" i="1"/>
  <c r="AF67" i="1"/>
  <c r="AB67" i="1"/>
  <c r="U16" i="1"/>
  <c r="V16" i="1" s="1"/>
  <c r="W16" i="1" s="1"/>
  <c r="U18" i="1"/>
  <c r="V18" i="1" s="1"/>
  <c r="W18" i="1" s="1"/>
  <c r="U20" i="1"/>
  <c r="V20" i="1" s="1"/>
  <c r="W20" i="1" s="1"/>
  <c r="U22" i="1"/>
  <c r="V22" i="1" s="1"/>
  <c r="W22" i="1" s="1"/>
  <c r="U24" i="1"/>
  <c r="V24" i="1" s="1"/>
  <c r="W24" i="1" s="1"/>
  <c r="U26" i="1"/>
  <c r="V26" i="1" s="1"/>
  <c r="W26" i="1" s="1"/>
  <c r="U28" i="1"/>
  <c r="V28" i="1" s="1"/>
  <c r="W28" i="1" s="1"/>
  <c r="U30" i="1"/>
  <c r="U32" i="1"/>
  <c r="V32" i="1" s="1"/>
  <c r="W32" i="1" s="1"/>
  <c r="U34" i="1"/>
  <c r="V34" i="1" s="1"/>
  <c r="W34" i="1" s="1"/>
  <c r="U36" i="1"/>
  <c r="V36" i="1" s="1"/>
  <c r="W36" i="1" s="1"/>
  <c r="U38" i="1"/>
  <c r="U40" i="1"/>
  <c r="V40" i="1" s="1"/>
  <c r="W40" i="1" s="1"/>
  <c r="U42" i="1"/>
  <c r="V42" i="1" s="1"/>
  <c r="W42" i="1" s="1"/>
  <c r="U44" i="1"/>
  <c r="V44" i="1" s="1"/>
  <c r="W44" i="1" s="1"/>
  <c r="U46" i="1"/>
  <c r="U48" i="1"/>
  <c r="V48" i="1" s="1"/>
  <c r="W48" i="1" s="1"/>
  <c r="U4" i="1"/>
  <c r="V4" i="1" s="1"/>
  <c r="W4" i="1" s="1"/>
  <c r="U6" i="1"/>
  <c r="V6" i="1" s="1"/>
  <c r="W6" i="1" s="1"/>
  <c r="U8" i="1"/>
  <c r="V8" i="1" s="1"/>
  <c r="W8" i="1" s="1"/>
  <c r="U10" i="1"/>
  <c r="V10" i="1" s="1"/>
  <c r="W10" i="1" s="1"/>
  <c r="U12" i="1"/>
  <c r="V12" i="1" s="1"/>
  <c r="W12" i="1" s="1"/>
  <c r="U2" i="1"/>
  <c r="V2" i="1" s="1"/>
  <c r="W2" i="1" s="1"/>
  <c r="R20" i="1"/>
  <c r="S20" i="1" s="1"/>
  <c r="T20" i="1" s="1"/>
  <c r="R21" i="1"/>
  <c r="S21" i="1" s="1"/>
  <c r="T21" i="1" s="1"/>
  <c r="R22" i="1"/>
  <c r="S22" i="1" s="1"/>
  <c r="T22" i="1" s="1"/>
  <c r="R23" i="1"/>
  <c r="S23" i="1" s="1"/>
  <c r="T23" i="1" s="1"/>
  <c r="R28" i="1"/>
  <c r="S28" i="1" s="1"/>
  <c r="T28" i="1" s="1"/>
  <c r="R29" i="1"/>
  <c r="S29" i="1" s="1"/>
  <c r="T29" i="1" s="1"/>
  <c r="R30" i="1"/>
  <c r="S30" i="1" s="1"/>
  <c r="T30" i="1" s="1"/>
  <c r="R31" i="1"/>
  <c r="S31" i="1" s="1"/>
  <c r="T31" i="1" s="1"/>
  <c r="R36" i="1"/>
  <c r="S36" i="1" s="1"/>
  <c r="T36" i="1" s="1"/>
  <c r="R37" i="1"/>
  <c r="S37" i="1" s="1"/>
  <c r="T37" i="1" s="1"/>
  <c r="R38" i="1"/>
  <c r="S38" i="1" s="1"/>
  <c r="T38" i="1" s="1"/>
  <c r="R39" i="1"/>
  <c r="S39" i="1" s="1"/>
  <c r="T39" i="1" s="1"/>
  <c r="R44" i="1"/>
  <c r="S44" i="1" s="1"/>
  <c r="T44" i="1" s="1"/>
  <c r="R45" i="1"/>
  <c r="S45" i="1" s="1"/>
  <c r="T45" i="1" s="1"/>
  <c r="R46" i="1"/>
  <c r="S46" i="1" s="1"/>
  <c r="T46" i="1" s="1"/>
  <c r="R47" i="1"/>
  <c r="S47" i="1" s="1"/>
  <c r="T47" i="1" s="1"/>
  <c r="R4" i="1"/>
  <c r="S4" i="1" s="1"/>
  <c r="T4" i="1" s="1"/>
  <c r="R6" i="1"/>
  <c r="S6" i="1" s="1"/>
  <c r="T6" i="1" s="1"/>
  <c r="R8" i="1"/>
  <c r="S8" i="1" s="1"/>
  <c r="T8" i="1" s="1"/>
  <c r="R12" i="1"/>
  <c r="S12" i="1" s="1"/>
  <c r="T12" i="1" s="1"/>
  <c r="R2" i="1"/>
  <c r="S2" i="1" s="1"/>
  <c r="T2" i="1" s="1"/>
  <c r="AB53" i="1"/>
  <c r="AB54" i="1"/>
  <c r="AB52" i="1"/>
  <c r="V30" i="1"/>
  <c r="W30" i="1" s="1"/>
  <c r="V38" i="1"/>
  <c r="W38" i="1" s="1"/>
  <c r="V46" i="1"/>
  <c r="W46" i="1" s="1"/>
  <c r="Y56" i="1" l="1"/>
  <c r="Y58" i="1" s="1" a="1"/>
  <c r="Y58" i="1" s="1"/>
  <c r="AC57" i="1"/>
  <c r="AC72" i="1"/>
  <c r="Y57" i="1"/>
  <c r="AC71" i="1"/>
  <c r="AC73" i="1" s="1" a="1"/>
  <c r="AC73" i="1" s="1"/>
  <c r="Y72" i="1"/>
  <c r="AD33" i="1"/>
  <c r="AD15" i="1"/>
  <c r="AD2" i="1"/>
  <c r="AA15" i="1"/>
  <c r="AA2" i="1"/>
  <c r="Y15" i="1"/>
  <c r="Z15" i="1" s="1" a="1"/>
  <c r="Z15" i="1" s="1"/>
  <c r="AB15" i="1"/>
  <c r="AC15" i="1" s="1" a="1"/>
  <c r="AC15" i="1" s="1"/>
  <c r="Y2" i="1"/>
  <c r="Z2" i="1" s="1" a="1"/>
  <c r="Z2" i="1" s="1"/>
  <c r="AB33" i="1"/>
  <c r="AC33" i="1" s="1" a="1"/>
  <c r="AC33" i="1" s="1"/>
  <c r="S33" i="1"/>
  <c r="T33" i="1" s="1"/>
  <c r="AB2" i="1"/>
  <c r="AC2" i="1" s="1" a="1"/>
  <c r="AC2" i="1" s="1"/>
  <c r="Y33" i="1" l="1"/>
  <c r="Z33" i="1" s="1" a="1"/>
  <c r="Z33" i="1" s="1"/>
  <c r="AA3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<sst xmlns="http://schemas.openxmlformats.org/spreadsheetml/2006/main" count="61" uniqueCount="34">
  <si>
    <t>RL</t>
  </si>
  <si>
    <t>RT</t>
  </si>
  <si>
    <t>Error(RL)</t>
  </si>
  <si>
    <t>Error(RT)</t>
  </si>
  <si>
    <t>nu</t>
  </si>
  <si>
    <t>Q</t>
  </si>
  <si>
    <t>q (GeV)</t>
  </si>
  <si>
    <t>nu (GeV)</t>
  </si>
  <si>
    <t>W^2 (GeV^2)</t>
  </si>
  <si>
    <t>Ex (GeV)</t>
  </si>
  <si>
    <t>RL (GeV^-1)</t>
  </si>
  <si>
    <t>RL error (GeV^-1)</t>
  </si>
  <si>
    <t>RT (GeV^-1)</t>
  </si>
  <si>
    <t>RT error (GeV^-1)</t>
  </si>
  <si>
    <t>RL ratio</t>
  </si>
  <si>
    <t>RL ratio error</t>
  </si>
  <si>
    <t>RT ratio</t>
  </si>
  <si>
    <t>RT ratio error</t>
  </si>
  <si>
    <t>our extraction:</t>
  </si>
  <si>
    <t>RL ratio weighted average</t>
  </si>
  <si>
    <t>RT ratio weighted average</t>
  </si>
  <si>
    <t>RL ratio weight</t>
  </si>
  <si>
    <t>RT ratio weight</t>
  </si>
  <si>
    <t>RL ratio average RMS</t>
  </si>
  <si>
    <t>RL ratio average error</t>
  </si>
  <si>
    <t>RT ratio average RMS</t>
  </si>
  <si>
    <t>RT ratio average error</t>
  </si>
  <si>
    <t>q bin</t>
  </si>
  <si>
    <t>weighted average</t>
  </si>
  <si>
    <t>weighted average error</t>
  </si>
  <si>
    <t>weighted average RMS</t>
  </si>
  <si>
    <t>q</t>
  </si>
  <si>
    <t>Q2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</si>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</sst>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rgb="FF00B0F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31EC5-2DEB-CE49-B0A2-5D20CC265A4B}">
  <dimension ref="A1:AL80"/>
  <sheetViews>
    <sheetView tabSelected="1" topLeftCell="R27" zoomScale="75" zoomScaleNormal="150" workbookViewId="0">
      <selection activeCell="AE75" sqref="AE75"/>
    </sheetView>
  </sheetViews>
  <sheetFormatPr baseColWidth="10" defaultRowHeight="16" x14ac:dyDescent="0.2"/>
  <cols>
    <col min="8" max="8" width="17.1640625" customWidth="1"/>
    <col min="19" max="19" width="14" customWidth="1"/>
    <col min="20" max="20" width="14.5" customWidth="1"/>
    <col min="22" max="22" width="13.83203125" customWidth="1"/>
    <col min="23" max="23" width="14.6640625" customWidth="1"/>
    <col min="24" max="24" width="23.5" customWidth="1"/>
    <col min="25" max="25" width="23.6640625" customWidth="1"/>
    <col min="26" max="26" width="18.6640625" customWidth="1"/>
    <col min="27" max="27" width="20.1640625" customWidth="1"/>
    <col min="28" max="28" width="23" customWidth="1"/>
    <col min="29" max="29" width="20" customWidth="1"/>
    <col min="30" max="30" width="20.83203125" customWidth="1"/>
    <col min="31" max="31" width="21" customWidth="1"/>
  </cols>
  <sheetData>
    <row r="1" spans="1:38" x14ac:dyDescent="0.2">
      <c r="A1" t="s">
        <v>4</v>
      </c>
      <c r="B1" t="s">
        <v>0</v>
      </c>
      <c r="C1" t="s">
        <v>2</v>
      </c>
      <c r="D1" t="s">
        <v>1</v>
      </c>
      <c r="E1" t="s">
        <v>3</v>
      </c>
      <c r="F1" t="s">
        <v>5</v>
      </c>
      <c r="H1" t="s">
        <v>18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R1" t="s">
        <v>14</v>
      </c>
      <c r="S1" t="s">
        <v>15</v>
      </c>
      <c r="T1" t="s">
        <v>21</v>
      </c>
      <c r="U1" t="s">
        <v>16</v>
      </c>
      <c r="V1" t="s">
        <v>17</v>
      </c>
      <c r="W1" t="s">
        <v>22</v>
      </c>
      <c r="Y1" t="s">
        <v>19</v>
      </c>
      <c r="Z1" t="s">
        <v>23</v>
      </c>
      <c r="AA1" t="s">
        <v>24</v>
      </c>
      <c r="AB1" t="s">
        <v>20</v>
      </c>
      <c r="AC1" t="s">
        <v>25</v>
      </c>
      <c r="AD1" t="s">
        <v>26</v>
      </c>
      <c r="AG1" t="s">
        <v>19</v>
      </c>
      <c r="AH1" t="s">
        <v>23</v>
      </c>
      <c r="AI1" t="s">
        <v>24</v>
      </c>
      <c r="AJ1" t="s">
        <v>20</v>
      </c>
      <c r="AK1" t="s">
        <v>25</v>
      </c>
      <c r="AL1" t="s">
        <v>26</v>
      </c>
    </row>
    <row r="2" spans="1:38" x14ac:dyDescent="0.2">
      <c r="A2">
        <v>0.03</v>
      </c>
      <c r="B2">
        <v>2.2350000000000002E-2</v>
      </c>
      <c r="C2">
        <v>1.2499999999999901E-3</v>
      </c>
      <c r="D2">
        <v>9.3100000000000006E-3</v>
      </c>
      <c r="E2">
        <v>7.2999999999999899E-4</v>
      </c>
      <c r="F2">
        <v>0.3</v>
      </c>
      <c r="I2">
        <v>0.3</v>
      </c>
      <c r="J2">
        <v>0.03</v>
      </c>
      <c r="K2">
        <v>0.84755000000000003</v>
      </c>
      <c r="L2">
        <v>2.6013999999999999E-2</v>
      </c>
      <c r="M2">
        <v>1.9543999999999999E-2</v>
      </c>
      <c r="N2">
        <v>1.5403999999999999E-3</v>
      </c>
      <c r="O2">
        <v>9.7987000000000005E-3</v>
      </c>
      <c r="P2">
        <v>5.9982999999999998E-4</v>
      </c>
      <c r="R2" s="1">
        <f>B2/M2</f>
        <v>1.1435734752353666</v>
      </c>
      <c r="S2" s="1">
        <f>R2*SQRT((C2/B2)^2+(N2/M2)^2)</f>
        <v>0.11051980149043836</v>
      </c>
      <c r="T2">
        <f>1/(S2^2)</f>
        <v>81.869060690555656</v>
      </c>
      <c r="U2" s="1">
        <f>D2/O2</f>
        <v>0.95012603712737409</v>
      </c>
      <c r="V2" s="1">
        <f>U2*SQRT((E2/D2)^2+(P2/O2)^2)</f>
        <v>9.4514789375767155E-2</v>
      </c>
      <c r="W2">
        <f>1/(V2^2)</f>
        <v>111.94390647528697</v>
      </c>
      <c r="Y2">
        <f>SUMPRODUCT(R2:R13,T2:T13) /SUM(T2:T13)</f>
        <v>1.0335270154058758</v>
      </c>
      <c r="Z2" cm="1">
        <f t="array" ref="Z2">SQRT(SUM(POWER((R2:R13-Y2),2))/(ROWS(R2:R13)-1))</f>
        <v>7.5177167368499803E-2</v>
      </c>
      <c r="AA2">
        <f>1/SQRT(SUM(T2:T13))</f>
        <v>2.0820722733621101E-2</v>
      </c>
      <c r="AB2">
        <f>SUMPRODUCT(U2:U13,W2:W13) /SUM(W2:W13)</f>
        <v>0.89735956390723537</v>
      </c>
      <c r="AC2" cm="1">
        <f t="array" ref="AC2">SQRT(SUM(POWER((U2:U13-AB2),2))/(ROWS(U2:U13)-1))</f>
        <v>9.4724989000527976E-2</v>
      </c>
      <c r="AD2">
        <f>1/SQRT(SUM(W2:W13))</f>
        <v>2.661278134026179E-2</v>
      </c>
      <c r="AG2">
        <v>1.0335270154058758</v>
      </c>
      <c r="AH2">
        <v>7.5177167368499803E-2</v>
      </c>
      <c r="AI2">
        <v>2.0820722733621101E-2</v>
      </c>
      <c r="AJ2">
        <v>0.89735956390723537</v>
      </c>
      <c r="AK2">
        <v>9.4724989000527976E-2</v>
      </c>
      <c r="AL2">
        <v>2.661278134026179E-2</v>
      </c>
    </row>
    <row r="3" spans="1:38" x14ac:dyDescent="0.2">
      <c r="A3">
        <v>0.04</v>
      </c>
      <c r="B3">
        <v>2.5399999999999999E-2</v>
      </c>
      <c r="C3">
        <v>1.1000000000000001E-3</v>
      </c>
      <c r="D3">
        <v>1.3044999999999999E-2</v>
      </c>
      <c r="E3">
        <v>9.4499999999999998E-4</v>
      </c>
      <c r="F3">
        <v>0.3</v>
      </c>
      <c r="I3">
        <v>0.3</v>
      </c>
      <c r="J3">
        <v>0.04</v>
      </c>
      <c r="K3">
        <v>0.86702000000000001</v>
      </c>
      <c r="L3">
        <v>3.6046000000000002E-2</v>
      </c>
      <c r="M3">
        <v>2.5253000000000001E-2</v>
      </c>
      <c r="N3">
        <v>2.4698E-4</v>
      </c>
      <c r="O3">
        <v>1.3675E-2</v>
      </c>
      <c r="P3">
        <v>1.3996000000000001E-4</v>
      </c>
      <c r="R3" s="1">
        <f>B3/M3</f>
        <v>1.0058210905634972</v>
      </c>
      <c r="S3" s="1">
        <f>R3*SQRT((C3/B3)^2+(N3/M3)^2)</f>
        <v>4.4656151752178817E-2</v>
      </c>
      <c r="T3">
        <f t="shared" ref="T3:T48" si="0">1/(S3^2)</f>
        <v>501.46128593969473</v>
      </c>
      <c r="U3" s="1">
        <f>D3/O3</f>
        <v>0.95393053016453377</v>
      </c>
      <c r="V3" s="1">
        <f>U3*SQRT((E3/D3)^2+(P3/O3)^2)</f>
        <v>6.9790484298163605E-2</v>
      </c>
      <c r="W3">
        <f t="shared" ref="W3:W48" si="1">1/(V3^2)</f>
        <v>205.30880534217118</v>
      </c>
      <c r="AG3">
        <v>1.077122327137229</v>
      </c>
      <c r="AH3">
        <v>6.9784036917795791E-2</v>
      </c>
      <c r="AI3">
        <v>2.2980196323339298E-2</v>
      </c>
      <c r="AJ3">
        <v>0.89900678774761866</v>
      </c>
      <c r="AK3">
        <v>4.3055695722469506E-2</v>
      </c>
      <c r="AL3">
        <v>1.5388964207412165E-2</v>
      </c>
    </row>
    <row r="4" spans="1:38" x14ac:dyDescent="0.2">
      <c r="A4">
        <v>0.05</v>
      </c>
      <c r="B4">
        <v>2.63E-2</v>
      </c>
      <c r="C4">
        <v>1.1999999999999899E-3</v>
      </c>
      <c r="D4">
        <v>1.7485000000000001E-2</v>
      </c>
      <c r="E4">
        <v>1.2449999999999898E-3</v>
      </c>
      <c r="F4">
        <v>0.3</v>
      </c>
      <c r="I4">
        <v>0.3</v>
      </c>
      <c r="J4">
        <v>0.05</v>
      </c>
      <c r="K4">
        <v>0.88668000000000002</v>
      </c>
      <c r="L4">
        <v>4.6086000000000002E-2</v>
      </c>
      <c r="M4">
        <v>2.5375000000000002E-2</v>
      </c>
      <c r="N4">
        <v>4.4631E-4</v>
      </c>
      <c r="O4">
        <v>1.9503E-2</v>
      </c>
      <c r="P4">
        <v>4.8696999999999998E-4</v>
      </c>
      <c r="R4" s="1">
        <f>B4/M4</f>
        <v>1.0364532019704433</v>
      </c>
      <c r="S4" s="1">
        <f>R4*SQRT((C4/B4)^2+(N4/M4)^2)</f>
        <v>5.0682618002665158E-2</v>
      </c>
      <c r="T4">
        <f t="shared" si="0"/>
        <v>389.29777324466227</v>
      </c>
      <c r="U4" s="1">
        <f>D4/O4</f>
        <v>0.89652873916833309</v>
      </c>
      <c r="V4" s="1">
        <f>U4*SQRT((E4/D4)^2+(P4/O4)^2)</f>
        <v>6.764749705681479E-2</v>
      </c>
      <c r="W4">
        <f t="shared" si="1"/>
        <v>218.5226885586134</v>
      </c>
      <c r="AG4">
        <v>1.1040866134975766</v>
      </c>
      <c r="AH4">
        <v>0.27992911318150554</v>
      </c>
      <c r="AI4">
        <v>5.0719266314180847E-2</v>
      </c>
      <c r="AJ4">
        <v>0.93710806646430744</v>
      </c>
      <c r="AK4">
        <v>6.2378690725133877E-2</v>
      </c>
      <c r="AL4">
        <v>1.3147579510701489E-2</v>
      </c>
    </row>
    <row r="5" spans="1:38" x14ac:dyDescent="0.2">
      <c r="A5">
        <v>0.06</v>
      </c>
      <c r="B5">
        <v>2.7299999999999901E-2</v>
      </c>
      <c r="C5">
        <v>1.4E-3</v>
      </c>
      <c r="D5">
        <v>1.9759999999999899E-2</v>
      </c>
      <c r="E5">
        <v>1.34E-3</v>
      </c>
      <c r="F5">
        <v>0.3</v>
      </c>
      <c r="I5">
        <v>0.3</v>
      </c>
      <c r="J5">
        <v>0.06</v>
      </c>
      <c r="K5">
        <v>0.90654999999999997</v>
      </c>
      <c r="L5">
        <v>5.6134999999999997E-2</v>
      </c>
      <c r="M5">
        <v>2.7064999999999999E-2</v>
      </c>
      <c r="N5">
        <v>5.1387000000000004E-4</v>
      </c>
      <c r="O5">
        <v>2.1479000000000002E-2</v>
      </c>
      <c r="P5">
        <v>5.4520000000000002E-4</v>
      </c>
      <c r="R5" s="1">
        <f>B5/M5</f>
        <v>1.0086828006650619</v>
      </c>
      <c r="S5" s="1">
        <f>R5*SQRT((C5/B5)^2+(N5/M5)^2)</f>
        <v>5.5158779279048928E-2</v>
      </c>
      <c r="T5">
        <f t="shared" si="0"/>
        <v>328.67805442856621</v>
      </c>
      <c r="U5" s="1">
        <f>D5/O5</f>
        <v>0.9199683411704408</v>
      </c>
      <c r="V5" s="1">
        <f>U5*SQRT((E5/D5)^2+(P5/O5)^2)</f>
        <v>6.6613585575789391E-2</v>
      </c>
      <c r="W5">
        <f t="shared" si="1"/>
        <v>225.35872574150241</v>
      </c>
    </row>
    <row r="6" spans="1:38" x14ac:dyDescent="0.2">
      <c r="A6">
        <v>7.0000000000000007E-2</v>
      </c>
      <c r="B6">
        <v>2.62999999999999E-2</v>
      </c>
      <c r="C6">
        <v>1.4E-3</v>
      </c>
      <c r="D6">
        <v>2.034E-2</v>
      </c>
      <c r="E6">
        <v>1.3699999999999899E-3</v>
      </c>
      <c r="F6">
        <v>0.3</v>
      </c>
      <c r="I6">
        <v>0.3</v>
      </c>
      <c r="J6">
        <v>7.0000000000000007E-2</v>
      </c>
      <c r="K6">
        <v>0.92661000000000004</v>
      </c>
      <c r="L6">
        <v>6.6193000000000002E-2</v>
      </c>
      <c r="M6">
        <v>2.5784000000000001E-2</v>
      </c>
      <c r="N6">
        <v>5.4646999999999996E-4</v>
      </c>
      <c r="O6">
        <v>2.2703000000000001E-2</v>
      </c>
      <c r="P6">
        <v>5.8370000000000004E-4</v>
      </c>
      <c r="R6" s="1">
        <f>B6/M6</f>
        <v>1.0200124107973898</v>
      </c>
      <c r="S6" s="1">
        <f>R6*SQRT((C6/B6)^2+(N6/M6)^2)</f>
        <v>5.8442629176787823E-2</v>
      </c>
      <c r="T6">
        <f t="shared" si="0"/>
        <v>292.77939506100876</v>
      </c>
      <c r="U6" s="1">
        <f>D6/O6</f>
        <v>0.8959168391842488</v>
      </c>
      <c r="V6" s="1">
        <f>U6*SQRT((E6/D6)^2+(P6/O6)^2)</f>
        <v>6.4591247292280107E-2</v>
      </c>
      <c r="W6">
        <f t="shared" si="1"/>
        <v>239.69151356439767</v>
      </c>
    </row>
    <row r="7" spans="1:38" x14ac:dyDescent="0.2">
      <c r="A7">
        <v>0.08</v>
      </c>
      <c r="B7">
        <v>2.5599999999999897E-2</v>
      </c>
      <c r="C7">
        <v>2.3999999999999998E-3</v>
      </c>
      <c r="D7">
        <v>1.7689999999999897E-2</v>
      </c>
      <c r="E7">
        <v>2.8599999999999997E-3</v>
      </c>
      <c r="F7">
        <v>0.3</v>
      </c>
      <c r="I7">
        <v>0.3</v>
      </c>
      <c r="J7">
        <v>0.08</v>
      </c>
      <c r="K7">
        <v>0.94688000000000005</v>
      </c>
      <c r="L7">
        <v>7.6260999999999995E-2</v>
      </c>
      <c r="M7">
        <v>2.4416E-2</v>
      </c>
      <c r="N7">
        <v>4.8361999999999998E-4</v>
      </c>
      <c r="O7">
        <v>2.0743999999999999E-2</v>
      </c>
      <c r="P7">
        <v>5.3264000000000002E-4</v>
      </c>
      <c r="R7" s="1">
        <f>B7/M7</f>
        <v>1.0484927916120534</v>
      </c>
      <c r="S7" s="1">
        <f>R7*SQRT((C7/B7)^2+(N7/M7)^2)</f>
        <v>0.10046618146194369</v>
      </c>
      <c r="T7">
        <f t="shared" si="0"/>
        <v>99.074116540430126</v>
      </c>
      <c r="U7" s="1">
        <f>D7/O7</f>
        <v>0.85277670651754234</v>
      </c>
      <c r="V7" s="1">
        <f>U7*SQRT((E7/D7)^2+(P7/O7)^2)</f>
        <v>0.13959916333437411</v>
      </c>
      <c r="W7">
        <f t="shared" si="1"/>
        <v>51.313822686252145</v>
      </c>
    </row>
    <row r="8" spans="1:38" x14ac:dyDescent="0.2">
      <c r="A8">
        <v>0.09</v>
      </c>
      <c r="B8">
        <v>2.3600000000000003E-2</v>
      </c>
      <c r="C8">
        <v>2E-3</v>
      </c>
      <c r="D8">
        <v>1.44E-2</v>
      </c>
      <c r="E8">
        <v>2.3699999999999897E-3</v>
      </c>
      <c r="F8">
        <v>0.3</v>
      </c>
      <c r="I8">
        <v>0.3</v>
      </c>
      <c r="J8">
        <v>0.09</v>
      </c>
      <c r="K8">
        <v>0.96735000000000004</v>
      </c>
      <c r="L8">
        <v>8.6336999999999997E-2</v>
      </c>
      <c r="M8">
        <v>2.2123E-2</v>
      </c>
      <c r="N8">
        <v>4.2534000000000002E-4</v>
      </c>
      <c r="O8">
        <v>1.7499000000000001E-2</v>
      </c>
      <c r="P8">
        <v>4.7879999999999998E-4</v>
      </c>
      <c r="R8" s="1">
        <f>B8/M8</f>
        <v>1.0667630972291282</v>
      </c>
      <c r="S8" s="1">
        <f>R8*SQRT((C8/B8)^2+(N8/M8)^2)</f>
        <v>9.2700970088867074E-2</v>
      </c>
      <c r="T8">
        <f t="shared" si="0"/>
        <v>116.36742978386482</v>
      </c>
      <c r="U8" s="1">
        <f>D8/O8</f>
        <v>0.82290416595234006</v>
      </c>
      <c r="V8" s="1">
        <f>U8*SQRT((E8/D8)^2+(P8/O8)^2)</f>
        <v>0.1372951638004096</v>
      </c>
      <c r="W8">
        <f t="shared" si="1"/>
        <v>53.050504814908408</v>
      </c>
    </row>
    <row r="9" spans="1:38" x14ac:dyDescent="0.2">
      <c r="A9">
        <v>0.1</v>
      </c>
      <c r="B9">
        <v>1.865E-2</v>
      </c>
      <c r="C9">
        <v>1.15E-3</v>
      </c>
      <c r="D9">
        <v>1.3785E-2</v>
      </c>
      <c r="E9">
        <v>1.0950000000000001E-3</v>
      </c>
      <c r="F9">
        <v>0.3</v>
      </c>
      <c r="I9">
        <v>0.3</v>
      </c>
      <c r="J9">
        <v>0.1</v>
      </c>
      <c r="K9">
        <v>0.98801000000000005</v>
      </c>
      <c r="L9">
        <v>9.6421999999999994E-2</v>
      </c>
      <c r="M9">
        <v>1.8931E-2</v>
      </c>
      <c r="N9">
        <v>4.5674000000000002E-4</v>
      </c>
      <c r="O9">
        <v>1.4716999999999999E-2</v>
      </c>
      <c r="P9">
        <v>4.8113000000000002E-4</v>
      </c>
      <c r="R9" s="1">
        <f>B9/M9</f>
        <v>0.98515662141461091</v>
      </c>
      <c r="S9" s="1">
        <f>R9*SQRT((C9/B9)^2+(N9/M9)^2)</f>
        <v>6.5231339427858984E-2</v>
      </c>
      <c r="T9">
        <f t="shared" si="0"/>
        <v>235.0105763607865</v>
      </c>
      <c r="U9" s="1">
        <f>D9/O9</f>
        <v>0.93667187606169744</v>
      </c>
      <c r="V9" s="1">
        <f>U9*SQRT((E9/D9)^2+(P9/O9)^2)</f>
        <v>8.0458762014490051E-2</v>
      </c>
      <c r="W9">
        <f t="shared" si="1"/>
        <v>154.47325859853373</v>
      </c>
    </row>
    <row r="10" spans="1:38" x14ac:dyDescent="0.2">
      <c r="A10">
        <v>0.11</v>
      </c>
      <c r="B10">
        <v>1.755E-2</v>
      </c>
      <c r="C10">
        <v>1.64999999999999E-3</v>
      </c>
      <c r="D10">
        <v>8.8249999999999995E-3</v>
      </c>
      <c r="E10">
        <v>1.8549999999999999E-3</v>
      </c>
      <c r="F10">
        <v>0.3</v>
      </c>
      <c r="I10">
        <v>0.3</v>
      </c>
      <c r="J10">
        <v>0.11</v>
      </c>
      <c r="K10">
        <v>1.0088999999999999</v>
      </c>
      <c r="L10">
        <v>0.10652</v>
      </c>
      <c r="M10">
        <v>1.6345999999999999E-2</v>
      </c>
      <c r="N10">
        <v>5.1606999999999998E-4</v>
      </c>
      <c r="O10">
        <v>1.1653E-2</v>
      </c>
      <c r="P10">
        <v>6.1519999999999999E-4</v>
      </c>
      <c r="R10" s="1">
        <f>B10/M10</f>
        <v>1.0736571638321302</v>
      </c>
      <c r="S10" s="1">
        <f>R10*SQRT((C10/B10)^2+(N10/M10)^2)</f>
        <v>0.10648158223419874</v>
      </c>
      <c r="T10">
        <f t="shared" si="0"/>
        <v>88.196430450593482</v>
      </c>
      <c r="U10" s="1">
        <f>D10/O10</f>
        <v>0.75731571269201059</v>
      </c>
      <c r="V10" s="1">
        <f>U10*SQRT((E10/D10)^2+(P10/O10)^2)</f>
        <v>0.16413052221871807</v>
      </c>
      <c r="W10">
        <f t="shared" si="1"/>
        <v>37.121139345059085</v>
      </c>
    </row>
    <row r="11" spans="1:38" x14ac:dyDescent="0.2">
      <c r="A11">
        <v>0.12</v>
      </c>
      <c r="B11">
        <v>1.4149999999999901E-2</v>
      </c>
      <c r="C11">
        <v>1.3499999999999901E-3</v>
      </c>
      <c r="D11">
        <v>7.5799999999999999E-3</v>
      </c>
      <c r="E11">
        <v>1.4599999999999999E-3</v>
      </c>
      <c r="F11">
        <v>0.3</v>
      </c>
      <c r="I11">
        <v>0.3</v>
      </c>
      <c r="J11">
        <v>0.12</v>
      </c>
      <c r="K11">
        <v>1.0299</v>
      </c>
      <c r="L11">
        <v>0.11662</v>
      </c>
      <c r="M11">
        <v>1.2753E-2</v>
      </c>
      <c r="N11">
        <v>5.2970999999999997E-4</v>
      </c>
      <c r="O11">
        <v>9.8606000000000006E-3</v>
      </c>
      <c r="P11">
        <v>6.4115000000000005E-4</v>
      </c>
      <c r="R11" s="1">
        <f>B11/M11</f>
        <v>1.1095428526621109</v>
      </c>
      <c r="S11" s="1">
        <f>R11*SQRT((C11/B11)^2+(N11/M11)^2)</f>
        <v>0.11545443559349333</v>
      </c>
      <c r="T11">
        <f t="shared" si="0"/>
        <v>75.020292811714498</v>
      </c>
      <c r="U11" s="1">
        <f>D11/O11</f>
        <v>0.7687158996409954</v>
      </c>
      <c r="V11" s="1">
        <f>U11*SQRT((E11/D11)^2+(P11/O11)^2)</f>
        <v>0.15627299928593538</v>
      </c>
      <c r="W11">
        <f t="shared" si="1"/>
        <v>40.947944412231948</v>
      </c>
    </row>
    <row r="12" spans="1:38" x14ac:dyDescent="0.2">
      <c r="A12">
        <v>0.13</v>
      </c>
      <c r="B12">
        <v>1.14E-2</v>
      </c>
      <c r="C12">
        <v>1.1999999999999899E-3</v>
      </c>
      <c r="D12">
        <v>6.3600000000000002E-3</v>
      </c>
      <c r="E12">
        <v>1.2799999999999901E-3</v>
      </c>
      <c r="F12">
        <v>0.3</v>
      </c>
      <c r="I12">
        <v>0.3</v>
      </c>
      <c r="J12">
        <v>0.13</v>
      </c>
      <c r="K12">
        <v>1.0511999999999999</v>
      </c>
      <c r="L12">
        <v>0.12673000000000001</v>
      </c>
      <c r="M12">
        <v>9.4225999999999997E-3</v>
      </c>
      <c r="N12">
        <v>4.9870000000000003E-4</v>
      </c>
      <c r="O12">
        <v>8.7349000000000003E-3</v>
      </c>
      <c r="P12">
        <v>6.0278999999999997E-4</v>
      </c>
      <c r="R12" s="1">
        <f>B12/M12</f>
        <v>1.2098571519538133</v>
      </c>
      <c r="S12" s="1">
        <f>R12*SQRT((C12/B12)^2+(N12/M12)^2)</f>
        <v>0.14254503878046282</v>
      </c>
      <c r="T12">
        <f t="shared" si="0"/>
        <v>49.214807082746937</v>
      </c>
      <c r="U12" s="1">
        <f>D12/O12</f>
        <v>0.72811365900010305</v>
      </c>
      <c r="V12" s="1">
        <f>U12*SQRT((E12/D12)^2+(P12/O12)^2)</f>
        <v>0.15491380990821846</v>
      </c>
      <c r="W12">
        <f t="shared" si="1"/>
        <v>41.669638232257576</v>
      </c>
    </row>
    <row r="13" spans="1:38" x14ac:dyDescent="0.2">
      <c r="A13">
        <v>0.14000000000000001</v>
      </c>
      <c r="B13">
        <v>9.4500000000000001E-3</v>
      </c>
      <c r="C13">
        <v>1.15E-3</v>
      </c>
      <c r="D13">
        <v>5.4450000000000002E-3</v>
      </c>
      <c r="E13">
        <v>1.2149999999999902E-3</v>
      </c>
      <c r="F13">
        <v>0.3</v>
      </c>
      <c r="I13">
        <v>0.3</v>
      </c>
      <c r="J13">
        <v>0.14000000000000001</v>
      </c>
      <c r="K13">
        <v>1.0727</v>
      </c>
      <c r="L13">
        <v>0.13685</v>
      </c>
      <c r="M13">
        <v>8.4898000000000005E-3</v>
      </c>
      <c r="N13">
        <v>3.1657000000000001E-4</v>
      </c>
      <c r="O13">
        <v>7.1456000000000002E-3</v>
      </c>
      <c r="P13">
        <v>3.9911999999999999E-4</v>
      </c>
      <c r="R13" s="1">
        <f>B13/M13</f>
        <v>1.1131004263940256</v>
      </c>
      <c r="S13" s="1">
        <f>R13*SQRT((C13/B13)^2+(N13/M13)^2)</f>
        <v>0.14167294272150824</v>
      </c>
      <c r="T13">
        <f t="shared" si="0"/>
        <v>49.822575085637446</v>
      </c>
      <c r="U13" s="1">
        <f>D13/O13</f>
        <v>0.76200738916256161</v>
      </c>
      <c r="V13" s="1">
        <f>U13*SQRT((E13/D13)^2+(P13/O13)^2)</f>
        <v>0.17528075063181822</v>
      </c>
      <c r="W13">
        <f t="shared" si="1"/>
        <v>32.548542893070902</v>
      </c>
    </row>
    <row r="14" spans="1:38" x14ac:dyDescent="0.2">
      <c r="A14">
        <v>0.03</v>
      </c>
      <c r="B14">
        <v>6.8999999999999895E-3</v>
      </c>
      <c r="C14">
        <v>6.9999999999999999E-4</v>
      </c>
      <c r="D14">
        <v>1.0055E-2</v>
      </c>
      <c r="E14">
        <v>5.7499999999999999E-4</v>
      </c>
      <c r="F14">
        <v>0.38</v>
      </c>
      <c r="U14" s="1"/>
    </row>
    <row r="15" spans="1:38" x14ac:dyDescent="0.2">
      <c r="A15">
        <v>0.04</v>
      </c>
      <c r="B15">
        <v>1.095E-2</v>
      </c>
      <c r="C15">
        <v>7.4999999999999904E-4</v>
      </c>
      <c r="D15">
        <v>1.01499999999999E-2</v>
      </c>
      <c r="E15">
        <v>6.0999999999999997E-4</v>
      </c>
      <c r="F15">
        <v>0.38</v>
      </c>
      <c r="I15">
        <v>0.38</v>
      </c>
      <c r="J15">
        <v>0.04</v>
      </c>
      <c r="K15">
        <v>0.81262000000000001</v>
      </c>
      <c r="L15">
        <v>3.3612000000000003E-2</v>
      </c>
      <c r="M15">
        <v>1.0416999999999999E-2</v>
      </c>
      <c r="N15">
        <v>2.1821000000000001E-4</v>
      </c>
      <c r="O15">
        <v>1.0485E-2</v>
      </c>
      <c r="P15">
        <v>2.5914999999999998E-4</v>
      </c>
      <c r="R15" s="2">
        <f>B15/M15</f>
        <v>1.0511663626763945</v>
      </c>
      <c r="S15" s="2">
        <f>R15*SQRT((C15/B15)^2+(N15/M15)^2)</f>
        <v>7.5289558770108747E-2</v>
      </c>
      <c r="T15">
        <f t="shared" si="0"/>
        <v>176.41296367341573</v>
      </c>
      <c r="U15" s="1">
        <f>D15/O15</f>
        <v>0.96804959465902729</v>
      </c>
      <c r="V15" s="2">
        <f>U15*SQRT((E15/D15)^2+(P15/O15)^2)</f>
        <v>6.2906287510184039E-2</v>
      </c>
      <c r="W15">
        <f t="shared" si="1"/>
        <v>252.7038676830002</v>
      </c>
      <c r="Y15">
        <f>SUMPRODUCT(R15:R32,T15:T32) /SUM(T15:T32)</f>
        <v>1.077122327137229</v>
      </c>
      <c r="Z15" cm="1">
        <f t="array" ref="Z15">SQRT(SUM(POWER((R15:R32-Y15),2))/(ROWS(R15:R32)-1))</f>
        <v>6.9784036917795791E-2</v>
      </c>
      <c r="AA15">
        <f>1/SQRT(SUM(T15:T32))</f>
        <v>2.2980196323339298E-2</v>
      </c>
      <c r="AB15">
        <f>SUMPRODUCT(U15:U32,W15:W32) /SUM(W15:W32)</f>
        <v>0.89900678774761866</v>
      </c>
      <c r="AC15" cm="1">
        <f t="array" ref="AC15">SQRT(SUM(POWER((U15:U32-AB15),2))/(ROWS(U15:U32)-1))</f>
        <v>4.3055695722469506E-2</v>
      </c>
      <c r="AD15">
        <f>1/SQRT(SUM(W15:W32))</f>
        <v>1.5388964207412165E-2</v>
      </c>
    </row>
    <row r="16" spans="1:38" x14ac:dyDescent="0.2">
      <c r="A16">
        <v>0.05</v>
      </c>
      <c r="B16">
        <v>1.2749999999999999E-2</v>
      </c>
      <c r="C16">
        <v>7.4999999999999904E-4</v>
      </c>
      <c r="D16">
        <v>1.329E-2</v>
      </c>
      <c r="E16">
        <v>7.3999999999999999E-4</v>
      </c>
      <c r="F16">
        <v>0.38</v>
      </c>
      <c r="I16">
        <v>0.38</v>
      </c>
      <c r="J16">
        <v>0.05</v>
      </c>
      <c r="K16">
        <v>0.83228000000000002</v>
      </c>
      <c r="L16">
        <v>4.3652999999999997E-2</v>
      </c>
      <c r="M16">
        <v>1.1015E-2</v>
      </c>
      <c r="N16">
        <v>3.6798000000000001E-4</v>
      </c>
      <c r="O16">
        <v>1.6437E-2</v>
      </c>
      <c r="P16">
        <v>4.9728000000000001E-4</v>
      </c>
      <c r="R16" s="2">
        <f>B16/M16</f>
        <v>1.1575124829777574</v>
      </c>
      <c r="S16" s="2">
        <f>R16*SQRT((C16/B16)^2+(N16/M16)^2)</f>
        <v>7.8303360405585318E-2</v>
      </c>
      <c r="T16">
        <f t="shared" si="0"/>
        <v>163.0944563368023</v>
      </c>
      <c r="U16" s="1">
        <f>D16/O16</f>
        <v>0.80854170469063691</v>
      </c>
      <c r="V16" s="2">
        <f>U16*SQRT((E16/D16)^2+(P16/O16)^2)</f>
        <v>5.1236642676355353E-2</v>
      </c>
      <c r="W16">
        <f t="shared" si="1"/>
        <v>380.92429373618802</v>
      </c>
    </row>
    <row r="17" spans="1:23" x14ac:dyDescent="0.2">
      <c r="A17">
        <v>0.06</v>
      </c>
      <c r="B17">
        <v>1.4199999999999999E-2</v>
      </c>
      <c r="C17">
        <v>8.9999999999999998E-4</v>
      </c>
      <c r="D17">
        <v>1.6555E-2</v>
      </c>
      <c r="E17">
        <v>8.6500000000000097E-4</v>
      </c>
      <c r="F17">
        <v>0.38</v>
      </c>
      <c r="I17">
        <v>0.38</v>
      </c>
      <c r="J17">
        <v>0.06</v>
      </c>
      <c r="K17">
        <v>0.85214999999999996</v>
      </c>
      <c r="L17">
        <v>5.3702E-2</v>
      </c>
      <c r="M17">
        <v>1.3639999999999999E-2</v>
      </c>
      <c r="N17">
        <v>3.0530999999999999E-4</v>
      </c>
      <c r="O17">
        <v>1.8277999999999999E-2</v>
      </c>
      <c r="P17">
        <v>4.0142999999999998E-4</v>
      </c>
      <c r="R17" s="2">
        <f>B17/M17</f>
        <v>1.0410557184750733</v>
      </c>
      <c r="S17" s="2">
        <f>R17*SQRT((C17/B17)^2+(N17/M17)^2)</f>
        <v>6.9976278300941733E-2</v>
      </c>
      <c r="T17">
        <f t="shared" si="0"/>
        <v>204.22002194036983</v>
      </c>
      <c r="U17" s="1">
        <f>D17/O17</f>
        <v>0.9057336688915637</v>
      </c>
      <c r="V17" s="2">
        <f>U17*SQRT((E17/D17)^2+(P17/O17)^2)</f>
        <v>5.1335370488373562E-2</v>
      </c>
      <c r="W17">
        <f t="shared" si="1"/>
        <v>379.46052097434875</v>
      </c>
    </row>
    <row r="18" spans="1:23" x14ac:dyDescent="0.2">
      <c r="A18">
        <v>7.0000000000000007E-2</v>
      </c>
      <c r="B18">
        <v>1.6E-2</v>
      </c>
      <c r="C18">
        <v>1E-3</v>
      </c>
      <c r="D18">
        <v>1.9274999999999997E-2</v>
      </c>
      <c r="E18">
        <v>1.0249999999999999E-3</v>
      </c>
      <c r="F18">
        <v>0.38</v>
      </c>
      <c r="I18">
        <v>0.38</v>
      </c>
      <c r="J18">
        <v>7.0000000000000007E-2</v>
      </c>
      <c r="K18">
        <v>0.87221000000000004</v>
      </c>
      <c r="L18">
        <v>6.3759999999999997E-2</v>
      </c>
      <c r="M18">
        <v>1.4956000000000001E-2</v>
      </c>
      <c r="N18">
        <v>3.4249999999999998E-4</v>
      </c>
      <c r="O18">
        <v>2.1763000000000001E-2</v>
      </c>
      <c r="P18">
        <v>4.5129000000000002E-4</v>
      </c>
      <c r="R18" s="2">
        <f>B18/M18</f>
        <v>1.0698047606311847</v>
      </c>
      <c r="S18" s="2">
        <f>R18*SQRT((C18/B18)^2+(N18/M18)^2)</f>
        <v>7.1209818532203789E-2</v>
      </c>
      <c r="T18">
        <f t="shared" si="0"/>
        <v>197.20605344435486</v>
      </c>
      <c r="U18" s="1">
        <f>D18/O18</f>
        <v>0.88567752607636796</v>
      </c>
      <c r="V18" s="2">
        <f>U18*SQRT((E18/D18)^2+(P18/O18)^2)</f>
        <v>5.0552501323109345E-2</v>
      </c>
      <c r="W18">
        <f t="shared" si="1"/>
        <v>391.30437317228757</v>
      </c>
    </row>
    <row r="19" spans="1:23" x14ac:dyDescent="0.2">
      <c r="A19">
        <v>0.08</v>
      </c>
      <c r="B19">
        <v>1.72E-2</v>
      </c>
      <c r="C19">
        <v>1.1999999999999899E-3</v>
      </c>
      <c r="D19">
        <v>2.16449999999999E-2</v>
      </c>
      <c r="E19">
        <v>1.2149999999999902E-3</v>
      </c>
      <c r="F19">
        <v>0.38</v>
      </c>
      <c r="I19">
        <v>0.38</v>
      </c>
      <c r="J19">
        <v>0.08</v>
      </c>
      <c r="K19">
        <v>0.89248000000000005</v>
      </c>
      <c r="L19">
        <v>7.3827000000000004E-2</v>
      </c>
      <c r="M19">
        <v>1.6468E-2</v>
      </c>
      <c r="N19">
        <v>4.2593999999999998E-4</v>
      </c>
      <c r="O19">
        <v>2.3841999999999999E-2</v>
      </c>
      <c r="P19">
        <v>5.3050999999999999E-4</v>
      </c>
      <c r="R19" s="2">
        <f>B19/M19</f>
        <v>1.044449842118047</v>
      </c>
      <c r="S19" s="2">
        <f>R19*SQRT((C19/B19)^2+(N19/M19)^2)</f>
        <v>7.7714922484772422E-2</v>
      </c>
      <c r="T19">
        <f t="shared" si="0"/>
        <v>165.5736274855266</v>
      </c>
      <c r="U19" s="1">
        <f>D19/O19</f>
        <v>0.90785169029443424</v>
      </c>
      <c r="V19" s="2">
        <f>U19*SQRT((E19/D19)^2+(P19/O19)^2)</f>
        <v>5.4818232757453594E-2</v>
      </c>
      <c r="W19">
        <f t="shared" si="1"/>
        <v>332.77442286666519</v>
      </c>
    </row>
    <row r="20" spans="1:23" x14ac:dyDescent="0.2">
      <c r="A20">
        <v>0.09</v>
      </c>
      <c r="B20">
        <v>1.8149999999999999E-2</v>
      </c>
      <c r="C20">
        <v>1.15E-3</v>
      </c>
      <c r="D20">
        <v>2.2734999999999998E-2</v>
      </c>
      <c r="E20">
        <v>1.2149999999999902E-3</v>
      </c>
      <c r="F20">
        <v>0.38</v>
      </c>
      <c r="I20">
        <v>0.38</v>
      </c>
      <c r="J20">
        <v>0.09</v>
      </c>
      <c r="K20">
        <v>0.91295000000000004</v>
      </c>
      <c r="L20">
        <v>8.3903000000000005E-2</v>
      </c>
      <c r="M20">
        <v>1.7481E-2</v>
      </c>
      <c r="N20">
        <v>4.5323999999999999E-4</v>
      </c>
      <c r="O20">
        <v>2.4747999999999999E-2</v>
      </c>
      <c r="P20">
        <v>5.6130999999999998E-4</v>
      </c>
      <c r="R20" s="2">
        <f>B20/M20</f>
        <v>1.0382701218465762</v>
      </c>
      <c r="S20" s="2">
        <f>R20*SQRT((C20/B20)^2+(N20/M20)^2)</f>
        <v>7.1080496053638489E-2</v>
      </c>
      <c r="T20">
        <f t="shared" si="0"/>
        <v>197.92429197753174</v>
      </c>
      <c r="U20" s="1">
        <f>D20/O20</f>
        <v>0.91866009374494906</v>
      </c>
      <c r="V20" s="2">
        <f>U20*SQRT((E20/D20)^2+(P20/O20)^2)</f>
        <v>5.3333405357393941E-2</v>
      </c>
      <c r="W20">
        <f t="shared" si="1"/>
        <v>351.56155046596814</v>
      </c>
    </row>
    <row r="21" spans="1:23" x14ac:dyDescent="0.2">
      <c r="A21">
        <v>0.1</v>
      </c>
      <c r="B21">
        <v>1.7649999999999999E-2</v>
      </c>
      <c r="C21">
        <v>1.3500000000000001E-3</v>
      </c>
      <c r="D21">
        <v>2.3375E-2</v>
      </c>
      <c r="E21">
        <v>1.3449999999999901E-3</v>
      </c>
      <c r="F21">
        <v>0.38</v>
      </c>
      <c r="I21">
        <v>0.38</v>
      </c>
      <c r="J21">
        <v>0.1</v>
      </c>
      <c r="K21">
        <v>0.93361000000000005</v>
      </c>
      <c r="L21">
        <v>9.3988000000000002E-2</v>
      </c>
      <c r="M21">
        <v>1.6857E-2</v>
      </c>
      <c r="N21">
        <v>5.3459999999999998E-4</v>
      </c>
      <c r="O21">
        <v>2.5427000000000002E-2</v>
      </c>
      <c r="P21">
        <v>6.6872999999999998E-4</v>
      </c>
      <c r="R21" s="2">
        <f>B21/M21</f>
        <v>1.0470427715489115</v>
      </c>
      <c r="S21" s="2">
        <f>R21*SQRT((C21/B21)^2+(N21/M21)^2)</f>
        <v>8.6696574386326095E-2</v>
      </c>
      <c r="T21">
        <f t="shared" si="0"/>
        <v>133.04425459381605</v>
      </c>
      <c r="U21" s="1">
        <f>D21/O21</f>
        <v>0.91929838360797567</v>
      </c>
      <c r="V21" s="2">
        <f>U21*SQRT((E21/D21)^2+(P21/O21)^2)</f>
        <v>5.816009138213931E-2</v>
      </c>
      <c r="W21">
        <f t="shared" si="1"/>
        <v>295.63090955272577</v>
      </c>
    </row>
    <row r="22" spans="1:23" x14ac:dyDescent="0.2">
      <c r="A22">
        <v>0.11</v>
      </c>
      <c r="B22">
        <v>1.755E-2</v>
      </c>
      <c r="C22">
        <v>1.25E-3</v>
      </c>
      <c r="D22">
        <v>2.1989999999999999E-2</v>
      </c>
      <c r="E22">
        <v>1.2499999999999901E-3</v>
      </c>
      <c r="F22">
        <v>0.38</v>
      </c>
      <c r="I22">
        <v>0.38</v>
      </c>
      <c r="J22">
        <v>0.11</v>
      </c>
      <c r="K22">
        <v>0.95448</v>
      </c>
      <c r="L22">
        <v>0.10408000000000001</v>
      </c>
      <c r="M22">
        <v>1.541E-2</v>
      </c>
      <c r="N22">
        <v>5.4735000000000005E-4</v>
      </c>
      <c r="O22">
        <v>2.5151E-2</v>
      </c>
      <c r="P22">
        <v>6.7743999999999996E-4</v>
      </c>
      <c r="R22" s="2">
        <f>B22/M22</f>
        <v>1.1388708630759248</v>
      </c>
      <c r="S22" s="2">
        <f>R22*SQRT((C22/B22)^2+(N22/M22)^2)</f>
        <v>9.0643105604016977E-2</v>
      </c>
      <c r="T22">
        <f t="shared" si="0"/>
        <v>121.71117252163563</v>
      </c>
      <c r="U22" s="1">
        <f>D22/O22</f>
        <v>0.87431911256013672</v>
      </c>
      <c r="V22" s="2">
        <f>U22*SQRT((E22/D22)^2+(P22/O22)^2)</f>
        <v>5.4996911140816805E-2</v>
      </c>
      <c r="W22">
        <f t="shared" si="1"/>
        <v>330.61564681488403</v>
      </c>
    </row>
    <row r="23" spans="1:23" x14ac:dyDescent="0.2">
      <c r="A23">
        <v>0.12</v>
      </c>
      <c r="B23">
        <v>1.66E-2</v>
      </c>
      <c r="C23">
        <v>1.1999999999999899E-3</v>
      </c>
      <c r="D23">
        <v>2.0324999999999999E-2</v>
      </c>
      <c r="E23">
        <v>1.1850000000000001E-3</v>
      </c>
      <c r="F23">
        <v>0.38</v>
      </c>
      <c r="I23">
        <v>0.38</v>
      </c>
      <c r="J23">
        <v>0.12</v>
      </c>
      <c r="K23">
        <v>0.97553999999999996</v>
      </c>
      <c r="L23">
        <v>0.11419</v>
      </c>
      <c r="M23">
        <v>1.461E-2</v>
      </c>
      <c r="N23">
        <v>4.7684000000000002E-4</v>
      </c>
      <c r="O23">
        <v>2.3172000000000002E-2</v>
      </c>
      <c r="P23">
        <v>6.4174000000000002E-4</v>
      </c>
      <c r="R23" s="2">
        <f>B23/M23</f>
        <v>1.1362080766598222</v>
      </c>
      <c r="S23" s="2">
        <f>R23*SQRT((C23/B23)^2+(N23/M23)^2)</f>
        <v>9.0118964688859049E-2</v>
      </c>
      <c r="T23">
        <f t="shared" si="0"/>
        <v>123.13105836139457</v>
      </c>
      <c r="U23" s="1">
        <f>D23/O23</f>
        <v>0.87713619886069383</v>
      </c>
      <c r="V23" s="2">
        <f>U23*SQRT((E23/D23)^2+(P23/O23)^2)</f>
        <v>5.6615617346614279E-2</v>
      </c>
      <c r="W23">
        <f t="shared" si="1"/>
        <v>311.98053996675145</v>
      </c>
    </row>
    <row r="24" spans="1:23" x14ac:dyDescent="0.2">
      <c r="A24">
        <v>0.13</v>
      </c>
      <c r="B24">
        <v>1.4449999999999999E-2</v>
      </c>
      <c r="C24">
        <v>1.15E-3</v>
      </c>
      <c r="D24">
        <v>1.83E-2</v>
      </c>
      <c r="E24">
        <v>1.09E-3</v>
      </c>
      <c r="F24">
        <v>0.38</v>
      </c>
      <c r="I24">
        <v>0.38</v>
      </c>
      <c r="J24">
        <v>0.13</v>
      </c>
      <c r="K24">
        <v>0.99680999999999997</v>
      </c>
      <c r="L24">
        <v>0.12429999999999999</v>
      </c>
      <c r="M24">
        <v>1.3946999999999999E-2</v>
      </c>
      <c r="N24">
        <v>3.5860999999999998E-4</v>
      </c>
      <c r="O24">
        <v>1.9438E-2</v>
      </c>
      <c r="P24">
        <v>4.4662E-4</v>
      </c>
      <c r="R24" s="2">
        <f>B24/M24</f>
        <v>1.0360651036065103</v>
      </c>
      <c r="S24" s="2">
        <f>R24*SQRT((C24/B24)^2+(N24/M24)^2)</f>
        <v>8.6651599814621838E-2</v>
      </c>
      <c r="T24">
        <f t="shared" si="0"/>
        <v>133.18239771430805</v>
      </c>
      <c r="U24" s="1">
        <f>D24/O24</f>
        <v>0.94145488218952567</v>
      </c>
      <c r="V24" s="2">
        <f>U24*SQRT((E24/D24)^2+(P24/O24)^2)</f>
        <v>6.0103310276251293E-2</v>
      </c>
      <c r="W24">
        <f t="shared" si="1"/>
        <v>276.82366609093157</v>
      </c>
    </row>
    <row r="25" spans="1:23" x14ac:dyDescent="0.2">
      <c r="A25">
        <v>0.14000000000000001</v>
      </c>
      <c r="B25">
        <v>1.2699999999999999E-2</v>
      </c>
      <c r="C25">
        <v>1.1000000000000001E-3</v>
      </c>
      <c r="D25">
        <v>1.583E-2</v>
      </c>
      <c r="E25">
        <v>9.8999999999999999E-4</v>
      </c>
      <c r="F25">
        <v>0.38</v>
      </c>
      <c r="I25">
        <v>0.38</v>
      </c>
      <c r="J25">
        <v>0.14000000000000001</v>
      </c>
      <c r="K25">
        <v>1.0183</v>
      </c>
      <c r="L25">
        <v>0.13442000000000001</v>
      </c>
      <c r="M25">
        <v>1.1342E-2</v>
      </c>
      <c r="N25">
        <v>3.924E-4</v>
      </c>
      <c r="O25">
        <v>1.7538000000000002E-2</v>
      </c>
      <c r="P25">
        <v>4.8877999999999997E-4</v>
      </c>
      <c r="R25" s="2">
        <f>B25/M25</f>
        <v>1.1197319696702521</v>
      </c>
      <c r="S25" s="2">
        <f>R25*SQRT((C25/B25)^2+(N25/M25)^2)</f>
        <v>0.10443547726152017</v>
      </c>
      <c r="T25">
        <f t="shared" si="0"/>
        <v>91.686182055804323</v>
      </c>
      <c r="U25" s="1">
        <f>D25/O25</f>
        <v>0.90261147223172533</v>
      </c>
      <c r="V25" s="2">
        <f>U25*SQRT((E25/D25)^2+(P25/O25)^2)</f>
        <v>6.1800290860188879E-2</v>
      </c>
      <c r="W25">
        <f t="shared" si="1"/>
        <v>261.82973238533214</v>
      </c>
    </row>
    <row r="26" spans="1:23" x14ac:dyDescent="0.2">
      <c r="A26">
        <v>0.15</v>
      </c>
      <c r="B26">
        <v>1.055E-2</v>
      </c>
      <c r="C26">
        <v>1.3500000000000001E-3</v>
      </c>
      <c r="D26">
        <v>1.3644999999999999E-2</v>
      </c>
      <c r="E26">
        <v>1.5049999999999998E-3</v>
      </c>
      <c r="F26">
        <v>0.38</v>
      </c>
      <c r="I26">
        <v>0.38</v>
      </c>
      <c r="J26">
        <v>0.15</v>
      </c>
      <c r="K26">
        <v>1.0399</v>
      </c>
      <c r="L26">
        <v>0.14455000000000001</v>
      </c>
      <c r="M26">
        <v>9.6971000000000002E-3</v>
      </c>
      <c r="N26">
        <v>3.7271E-4</v>
      </c>
      <c r="O26">
        <v>1.5275E-2</v>
      </c>
      <c r="P26">
        <v>4.3143000000000001E-4</v>
      </c>
      <c r="R26" s="2">
        <f>B26/M26</f>
        <v>1.0879541306163698</v>
      </c>
      <c r="S26" s="2">
        <f>R26*SQRT((C26/B26)^2+(N26/M26)^2)</f>
        <v>0.14536125805030167</v>
      </c>
      <c r="T26">
        <f t="shared" si="0"/>
        <v>47.326311078024389</v>
      </c>
      <c r="U26" s="1">
        <f>D26/O26</f>
        <v>0.89328968903436978</v>
      </c>
      <c r="V26" s="2">
        <f>U26*SQRT((E26/D26)^2+(P26/O26)^2)</f>
        <v>0.10170612512115995</v>
      </c>
      <c r="W26">
        <f t="shared" si="1"/>
        <v>96.673130642181732</v>
      </c>
    </row>
    <row r="27" spans="1:23" x14ac:dyDescent="0.2">
      <c r="A27">
        <v>0.16</v>
      </c>
      <c r="B27">
        <v>8.5000000000000006E-3</v>
      </c>
      <c r="C27">
        <v>1.1999999999999999E-3</v>
      </c>
      <c r="D27">
        <v>1.23649999999999E-2</v>
      </c>
      <c r="E27">
        <v>1.4450000000000001E-3</v>
      </c>
      <c r="F27">
        <v>0.38</v>
      </c>
      <c r="I27">
        <v>0.38</v>
      </c>
      <c r="J27">
        <v>0.16</v>
      </c>
      <c r="K27">
        <v>1.0618000000000001</v>
      </c>
      <c r="L27">
        <v>0.15468999999999999</v>
      </c>
      <c r="M27">
        <v>8.3058999999999997E-3</v>
      </c>
      <c r="N27">
        <v>3.4415999999999998E-4</v>
      </c>
      <c r="O27">
        <v>1.2989000000000001E-2</v>
      </c>
      <c r="P27">
        <v>3.835E-4</v>
      </c>
      <c r="R27" s="2">
        <f>B27/M27</f>
        <v>1.0233689305192695</v>
      </c>
      <c r="S27" s="2">
        <f>R27*SQRT((C27/B27)^2+(N27/M27)^2)</f>
        <v>0.15056989970415943</v>
      </c>
      <c r="T27">
        <f t="shared" si="0"/>
        <v>44.108641053297532</v>
      </c>
      <c r="U27" s="1">
        <f>D27/O27</f>
        <v>0.9519593502194087</v>
      </c>
      <c r="V27" s="2">
        <f>U27*SQRT((E27/D27)^2+(P27/O27)^2)</f>
        <v>0.11474359620896216</v>
      </c>
      <c r="W27">
        <f t="shared" si="1"/>
        <v>75.952677062248213</v>
      </c>
    </row>
    <row r="28" spans="1:23" x14ac:dyDescent="0.2">
      <c r="A28">
        <v>0.17</v>
      </c>
      <c r="B28">
        <v>7.4000000000000003E-3</v>
      </c>
      <c r="C28">
        <v>1.1000000000000001E-3</v>
      </c>
      <c r="D28">
        <v>1.082E-2</v>
      </c>
      <c r="E28">
        <v>1.25E-3</v>
      </c>
      <c r="F28">
        <v>0.38</v>
      </c>
      <c r="I28">
        <v>0.38</v>
      </c>
      <c r="J28">
        <v>0.17</v>
      </c>
      <c r="K28">
        <v>1.0839000000000001</v>
      </c>
      <c r="L28">
        <v>0.16483</v>
      </c>
      <c r="M28">
        <v>6.6788999999999998E-3</v>
      </c>
      <c r="N28">
        <v>2.9621999999999998E-4</v>
      </c>
      <c r="O28">
        <v>1.2094000000000001E-2</v>
      </c>
      <c r="P28">
        <v>3.5243999999999998E-4</v>
      </c>
      <c r="R28" s="2">
        <f>B28/M28</f>
        <v>1.1079668807737801</v>
      </c>
      <c r="S28" s="2">
        <f>R28*SQRT((C28/B28)^2+(N28/M28)^2)</f>
        <v>0.17187236549004545</v>
      </c>
      <c r="T28">
        <f t="shared" si="0"/>
        <v>33.852277440806418</v>
      </c>
      <c r="U28" s="1">
        <f>D28/O28</f>
        <v>0.89465850835124849</v>
      </c>
      <c r="V28" s="2">
        <f>U28*SQRT((E28/D28)^2+(P28/O28)^2)</f>
        <v>0.10659465503598785</v>
      </c>
      <c r="W28">
        <f t="shared" si="1"/>
        <v>88.009416793097671</v>
      </c>
    </row>
    <row r="29" spans="1:23" x14ac:dyDescent="0.2">
      <c r="A29">
        <v>0.18</v>
      </c>
      <c r="B29">
        <v>6.7999999999999996E-3</v>
      </c>
      <c r="C29">
        <v>1E-3</v>
      </c>
      <c r="D29">
        <v>9.0899999999999991E-3</v>
      </c>
      <c r="E29">
        <v>1.05999999999999E-3</v>
      </c>
      <c r="F29">
        <v>0.38</v>
      </c>
      <c r="I29">
        <v>0.38</v>
      </c>
      <c r="J29">
        <v>0.18</v>
      </c>
      <c r="K29">
        <v>1.1061000000000001</v>
      </c>
      <c r="L29">
        <v>0.17499000000000001</v>
      </c>
      <c r="M29">
        <v>5.4482999999999997E-3</v>
      </c>
      <c r="N29">
        <v>2.9064E-4</v>
      </c>
      <c r="O29">
        <v>1.0980999999999999E-2</v>
      </c>
      <c r="P29">
        <v>3.567E-4</v>
      </c>
      <c r="R29" s="2">
        <f>B29/M29</f>
        <v>1.2480957362847127</v>
      </c>
      <c r="S29" s="2">
        <f>R29*SQRT((C29/B29)^2+(N29/M29)^2)</f>
        <v>0.19524619927801751</v>
      </c>
      <c r="T29">
        <f t="shared" si="0"/>
        <v>26.232206530924813</v>
      </c>
      <c r="U29" s="1">
        <f>D29/O29</f>
        <v>0.82779346143338495</v>
      </c>
      <c r="V29" s="2">
        <f>U29*SQRT((E29/D29)^2+(P29/O29)^2)</f>
        <v>0.10020558504144229</v>
      </c>
      <c r="W29">
        <f t="shared" si="1"/>
        <v>99.590094406665202</v>
      </c>
    </row>
    <row r="30" spans="1:23" x14ac:dyDescent="0.2">
      <c r="A30">
        <v>0.19</v>
      </c>
      <c r="B30">
        <v>4.94999999999999E-3</v>
      </c>
      <c r="C30">
        <v>9.4999999999999891E-4</v>
      </c>
      <c r="D30">
        <v>9.6600000000000002E-3</v>
      </c>
      <c r="E30">
        <v>1.1199999999999899E-3</v>
      </c>
      <c r="F30">
        <v>0.38</v>
      </c>
      <c r="I30">
        <v>0.38</v>
      </c>
      <c r="J30">
        <v>0.19</v>
      </c>
      <c r="K30">
        <v>1.1286</v>
      </c>
      <c r="L30">
        <v>0.18515999999999999</v>
      </c>
      <c r="M30">
        <v>4.2592999999999997E-3</v>
      </c>
      <c r="N30">
        <v>3.0550999999999999E-4</v>
      </c>
      <c r="O30">
        <v>1.0932000000000001E-2</v>
      </c>
      <c r="P30">
        <v>3.8383999999999998E-4</v>
      </c>
      <c r="R30" s="2">
        <f>B30/M30</f>
        <v>1.1621627967036814</v>
      </c>
      <c r="S30" s="2">
        <f>R30*SQRT((C30/B30)^2+(N30/M30)^2)</f>
        <v>0.23810967620175238</v>
      </c>
      <c r="T30">
        <f t="shared" si="0"/>
        <v>17.63786081371164</v>
      </c>
      <c r="U30" s="1">
        <f>D30/O30</f>
        <v>0.88364434687156967</v>
      </c>
      <c r="V30" s="2">
        <f>U30*SQRT((E30/D30)^2+(P30/O30)^2)</f>
        <v>0.10704642269419157</v>
      </c>
      <c r="W30">
        <f t="shared" si="1"/>
        <v>87.268132628086633</v>
      </c>
    </row>
    <row r="31" spans="1:23" x14ac:dyDescent="0.2">
      <c r="A31">
        <v>0.2</v>
      </c>
      <c r="B31">
        <v>3.5999999999999999E-3</v>
      </c>
      <c r="C31">
        <v>1E-3</v>
      </c>
      <c r="D31">
        <v>1.0525E-2</v>
      </c>
      <c r="E31">
        <v>1.0249999999999999E-3</v>
      </c>
      <c r="F31">
        <v>0.38</v>
      </c>
      <c r="I31">
        <v>0.38</v>
      </c>
      <c r="J31">
        <v>0.2</v>
      </c>
      <c r="K31">
        <v>1.1513</v>
      </c>
      <c r="L31">
        <v>0.19533</v>
      </c>
      <c r="M31">
        <v>3.346E-3</v>
      </c>
      <c r="N31">
        <v>3.1279000000000002E-4</v>
      </c>
      <c r="O31">
        <v>1.1191E-2</v>
      </c>
      <c r="P31">
        <v>3.7545999999999999E-4</v>
      </c>
      <c r="R31" s="2">
        <f>B31/M31</f>
        <v>1.0759115361625822</v>
      </c>
      <c r="S31" s="2">
        <f>R31*SQRT((C31/B31)^2+(N31/M31)^2)</f>
        <v>0.31533448297389571</v>
      </c>
      <c r="T31">
        <f t="shared" si="0"/>
        <v>10.056736471418729</v>
      </c>
      <c r="U31" s="1">
        <f>D31/O31</f>
        <v>0.94048789205611649</v>
      </c>
      <c r="V31" s="2">
        <f>U31*SQRT((E31/D31)^2+(P31/O31)^2)</f>
        <v>9.6874250942091789E-2</v>
      </c>
      <c r="W31">
        <f t="shared" si="1"/>
        <v>106.55731901676489</v>
      </c>
    </row>
    <row r="32" spans="1:23" x14ac:dyDescent="0.2">
      <c r="A32">
        <v>0.21</v>
      </c>
      <c r="B32">
        <v>2.5999999999999999E-3</v>
      </c>
      <c r="C32">
        <v>1E-3</v>
      </c>
      <c r="D32">
        <v>1.10999999999999E-2</v>
      </c>
      <c r="E32">
        <v>1.0899999999999901E-3</v>
      </c>
      <c r="F32">
        <v>0.38</v>
      </c>
      <c r="I32">
        <v>0.38</v>
      </c>
      <c r="J32">
        <v>0.21</v>
      </c>
      <c r="K32">
        <v>1.1740999999999999</v>
      </c>
      <c r="L32">
        <v>0.20551</v>
      </c>
      <c r="M32">
        <v>2.7742999999999999E-3</v>
      </c>
      <c r="N32">
        <v>2.7474999999999998E-4</v>
      </c>
      <c r="O32">
        <v>1.1474E-2</v>
      </c>
      <c r="P32">
        <v>3.1126999999999999E-4</v>
      </c>
      <c r="R32" s="2">
        <f>B32/M32</f>
        <v>0.93717334102296068</v>
      </c>
      <c r="S32" s="2">
        <f>R32*SQRT((C32/B32)^2+(N32/M32)^2)</f>
        <v>0.37220854254327346</v>
      </c>
      <c r="T32">
        <f t="shared" si="0"/>
        <v>7.2181736735294946</v>
      </c>
      <c r="U32" s="1">
        <f>D32/O32</f>
        <v>0.96740456684677534</v>
      </c>
      <c r="V32" s="2">
        <f>U32*SQRT((E32/D32)^2+(P32/O32)^2)</f>
        <v>9.8555834076212975E-2</v>
      </c>
      <c r="W32">
        <f t="shared" si="1"/>
        <v>102.95212722612683</v>
      </c>
    </row>
    <row r="33" spans="1:30" x14ac:dyDescent="0.2">
      <c r="A33">
        <v>4.4999999999999998E-2</v>
      </c>
      <c r="B33">
        <v>4.8149999999999999E-4</v>
      </c>
      <c r="C33">
        <v>1.485E-4</v>
      </c>
      <c r="D33">
        <v>1.4E-3</v>
      </c>
      <c r="E33">
        <v>1.4999999999999898E-4</v>
      </c>
      <c r="F33">
        <v>0.56999999999999995</v>
      </c>
      <c r="I33">
        <v>0.56999999999999995</v>
      </c>
      <c r="J33">
        <v>4.4999999999999998E-2</v>
      </c>
      <c r="K33">
        <v>0.64193</v>
      </c>
      <c r="L33">
        <v>3.0557999999999998E-2</v>
      </c>
      <c r="M33">
        <v>4.9647000000000005E-4</v>
      </c>
      <c r="N33" s="5">
        <v>7.7869999999999998E-5</v>
      </c>
      <c r="O33">
        <v>1.2279000000000001E-3</v>
      </c>
      <c r="P33" s="5">
        <v>7.4683000000000003E-5</v>
      </c>
      <c r="R33" s="2">
        <f>B33/M33</f>
        <v>0.96984712067194379</v>
      </c>
      <c r="S33" s="3">
        <f>R33*SQRT((C33/B33)^2+(N33/M33)^2)</f>
        <v>0.33557070040216697</v>
      </c>
      <c r="T33">
        <f t="shared" si="0"/>
        <v>8.8803877948182173</v>
      </c>
      <c r="U33" s="1">
        <f>D33/O33</f>
        <v>1.1401579933219317</v>
      </c>
      <c r="V33" s="3">
        <f>U33*SQRT((E33/D33)^2+(P33/O33)^2)</f>
        <v>0.14047040052544588</v>
      </c>
      <c r="W33">
        <f t="shared" si="1"/>
        <v>50.679270932208205</v>
      </c>
      <c r="Y33">
        <f>SUMPRODUCT(R33:R48,T33:T48) /SUM(T33:T48)</f>
        <v>1.1040866134975766</v>
      </c>
      <c r="Z33" cm="1">
        <f t="array" ref="Z33">SQRT(SUM(POWER((R33:R48-Y33),2))/(ROWS(R33:R48)-1))</f>
        <v>0.27992911318150554</v>
      </c>
      <c r="AA33">
        <f>1/SQRT(SUM(T33:T48))</f>
        <v>5.0719266314180847E-2</v>
      </c>
      <c r="AB33">
        <f>SUMPRODUCT(U33:U48,W33:W48) /SUM(W33:W48)</f>
        <v>0.93710806646430744</v>
      </c>
      <c r="AC33" cm="1">
        <f t="array" ref="AC33">SQRT(SUM(POWER((U33:U48-AB33),2))/(ROWS(U33:U48)-1))</f>
        <v>6.2378690725133877E-2</v>
      </c>
      <c r="AD33">
        <f>1/SQRT(SUM(W33:W48))</f>
        <v>1.3147579510701489E-2</v>
      </c>
    </row>
    <row r="34" spans="1:30" x14ac:dyDescent="0.2">
      <c r="A34">
        <v>6.5000000000000002E-2</v>
      </c>
      <c r="B34">
        <v>9.7199999999999999E-4</v>
      </c>
      <c r="C34">
        <v>2.5000000000000001E-4</v>
      </c>
      <c r="D34">
        <v>3.13E-3</v>
      </c>
      <c r="E34">
        <v>1.7999999999999998E-4</v>
      </c>
      <c r="F34">
        <v>0.56999999999999995</v>
      </c>
      <c r="I34">
        <v>0.56999999999999995</v>
      </c>
      <c r="J34">
        <v>6.5000000000000002E-2</v>
      </c>
      <c r="K34">
        <v>0.68166000000000004</v>
      </c>
      <c r="L34">
        <v>5.0656E-2</v>
      </c>
      <c r="M34">
        <v>6.0382000000000003E-4</v>
      </c>
      <c r="N34" s="5">
        <v>6.0628999999999998E-5</v>
      </c>
      <c r="O34">
        <v>3.3546000000000001E-3</v>
      </c>
      <c r="P34" s="5">
        <v>7.6100000000000007E-5</v>
      </c>
      <c r="R34" s="2">
        <f>B34/M34</f>
        <v>1.6097512503726275</v>
      </c>
      <c r="S34" s="3">
        <f>R34*SQRT((C34/B34)^2+(N34/M34)^2)</f>
        <v>0.44446239649275376</v>
      </c>
      <c r="T34">
        <f t="shared" si="0"/>
        <v>5.0620910546768663</v>
      </c>
      <c r="U34" s="1">
        <f>D34/O34</f>
        <v>0.93304715912478386</v>
      </c>
      <c r="V34" s="3">
        <f>U34*SQRT((E34/D34)^2+(P34/O34)^2)</f>
        <v>5.7681560814693986E-2</v>
      </c>
      <c r="W34">
        <f t="shared" si="1"/>
        <v>300.55640883713562</v>
      </c>
    </row>
    <row r="35" spans="1:30" x14ac:dyDescent="0.2">
      <c r="A35">
        <v>8.5000000000000006E-2</v>
      </c>
      <c r="B35">
        <v>1.6849999999999901E-3</v>
      </c>
      <c r="C35">
        <v>2.41E-4</v>
      </c>
      <c r="D35">
        <v>5.7400000000000003E-3</v>
      </c>
      <c r="E35">
        <v>2.99999999999999E-4</v>
      </c>
      <c r="F35">
        <v>0.56999999999999995</v>
      </c>
      <c r="I35">
        <v>0.56999999999999995</v>
      </c>
      <c r="J35">
        <v>8.5000000000000006E-2</v>
      </c>
      <c r="K35">
        <v>0.72219</v>
      </c>
      <c r="L35">
        <v>7.0790000000000006E-2</v>
      </c>
      <c r="M35">
        <v>1.2068999999999999E-3</v>
      </c>
      <c r="N35" s="5">
        <v>8.7647999999999998E-5</v>
      </c>
      <c r="O35">
        <v>6.0366999999999999E-3</v>
      </c>
      <c r="P35">
        <v>1.1383999999999999E-4</v>
      </c>
      <c r="R35" s="2">
        <f>B35/M35</f>
        <v>1.3961388681746543</v>
      </c>
      <c r="S35" s="3">
        <f>R35*SQRT((C35/B35)^2+(N35/M35)^2)</f>
        <v>0.22395153142942664</v>
      </c>
      <c r="T35">
        <f t="shared" si="0"/>
        <v>19.93847448167784</v>
      </c>
      <c r="U35" s="1">
        <f>D35/O35</f>
        <v>0.95085063031126282</v>
      </c>
      <c r="V35" s="3">
        <f>U35*SQRT((E35/D35)^2+(P35/O35)^2)</f>
        <v>5.2832000922014163E-2</v>
      </c>
      <c r="W35">
        <f t="shared" si="1"/>
        <v>358.26623657208631</v>
      </c>
    </row>
    <row r="36" spans="1:30" x14ac:dyDescent="0.2">
      <c r="A36">
        <v>0.105</v>
      </c>
      <c r="B36">
        <v>2.787E-3</v>
      </c>
      <c r="C36">
        <v>3.6099999999999999E-4</v>
      </c>
      <c r="D36">
        <v>8.7449999999999993E-3</v>
      </c>
      <c r="E36">
        <v>3.9500000000000001E-4</v>
      </c>
      <c r="F36">
        <v>0.56999999999999995</v>
      </c>
      <c r="I36">
        <v>0.56999999999999995</v>
      </c>
      <c r="J36">
        <v>0.105</v>
      </c>
      <c r="K36">
        <v>0.76351999999999998</v>
      </c>
      <c r="L36">
        <v>9.0959999999999999E-2</v>
      </c>
      <c r="M36">
        <v>2.6193000000000002E-3</v>
      </c>
      <c r="N36">
        <v>1.8103999999999999E-4</v>
      </c>
      <c r="O36">
        <v>9.6007000000000002E-3</v>
      </c>
      <c r="P36">
        <v>1.9342E-4</v>
      </c>
      <c r="R36" s="2">
        <f>B36/M36</f>
        <v>1.0640247394342</v>
      </c>
      <c r="S36" s="3">
        <f>R36*SQRT((C36/B36)^2+(N36/M36)^2)</f>
        <v>0.15621705091864335</v>
      </c>
      <c r="T36">
        <f t="shared" si="0"/>
        <v>40.97728027371798</v>
      </c>
      <c r="U36" s="1">
        <f>D36/O36</f>
        <v>0.91087108231691427</v>
      </c>
      <c r="V36" s="3">
        <f>U36*SQRT((E36/D36)^2+(P36/O36)^2)</f>
        <v>4.5049808035087589E-2</v>
      </c>
      <c r="W36">
        <f t="shared" si="1"/>
        <v>492.73579232305946</v>
      </c>
    </row>
    <row r="37" spans="1:30" x14ac:dyDescent="0.2">
      <c r="A37">
        <v>0.125</v>
      </c>
      <c r="B37">
        <v>4.3144999999999998E-3</v>
      </c>
      <c r="C37">
        <v>5.9249999999999906E-4</v>
      </c>
      <c r="D37">
        <v>1.2414999999999999E-2</v>
      </c>
      <c r="E37">
        <v>4.35E-4</v>
      </c>
      <c r="F37">
        <v>0.56999999999999995</v>
      </c>
      <c r="I37">
        <v>0.56999999999999995</v>
      </c>
      <c r="J37">
        <v>0.125</v>
      </c>
      <c r="K37">
        <v>0.80564999999999998</v>
      </c>
      <c r="L37">
        <v>0.11117</v>
      </c>
      <c r="M37">
        <v>3.4115E-3</v>
      </c>
      <c r="N37">
        <v>1.9117E-4</v>
      </c>
      <c r="O37">
        <v>1.3415E-2</v>
      </c>
      <c r="P37">
        <v>2.3781E-4</v>
      </c>
      <c r="R37" s="2">
        <f>B37/M37</f>
        <v>1.2646929503151105</v>
      </c>
      <c r="S37" s="3">
        <f>R37*SQRT((C37/B37)^2+(N37/M37)^2)</f>
        <v>0.187580067265744</v>
      </c>
      <c r="T37">
        <f t="shared" si="0"/>
        <v>28.420166994665561</v>
      </c>
      <c r="U37" s="1">
        <f>D37/O37</f>
        <v>0.92545657845695106</v>
      </c>
      <c r="V37" s="3">
        <f>U37*SQRT((E37/D37)^2+(P37/O37)^2)</f>
        <v>3.6340315686284722E-2</v>
      </c>
      <c r="W37">
        <f t="shared" si="1"/>
        <v>757.22092833537044</v>
      </c>
    </row>
    <row r="38" spans="1:30" x14ac:dyDescent="0.2">
      <c r="A38">
        <v>0.14499999999999999</v>
      </c>
      <c r="B38">
        <v>5.3609999999999994E-3</v>
      </c>
      <c r="C38">
        <v>6.3900000000000003E-4</v>
      </c>
      <c r="D38">
        <v>1.5384999999999999E-2</v>
      </c>
      <c r="E38">
        <v>6.1499999999999999E-4</v>
      </c>
      <c r="F38">
        <v>0.56999999999999995</v>
      </c>
      <c r="I38">
        <v>0.56999999999999995</v>
      </c>
      <c r="J38">
        <v>0.14499999999999999</v>
      </c>
      <c r="K38">
        <v>0.84858</v>
      </c>
      <c r="L38">
        <v>0.13141</v>
      </c>
      <c r="M38">
        <v>4.5862999999999998E-3</v>
      </c>
      <c r="N38">
        <v>2.8807000000000003E-4</v>
      </c>
      <c r="O38">
        <v>1.6753000000000001E-2</v>
      </c>
      <c r="P38">
        <v>3.5484999999999998E-4</v>
      </c>
      <c r="R38" s="2">
        <f>B38/M38</f>
        <v>1.168916119747945</v>
      </c>
      <c r="S38" s="3">
        <f>R38*SQRT((C38/B38)^2+(N38/M38)^2)</f>
        <v>0.15748936572233674</v>
      </c>
      <c r="T38">
        <f t="shared" si="0"/>
        <v>40.31786554292912</v>
      </c>
      <c r="U38" s="1">
        <f>D38/O38</f>
        <v>0.9183429833462663</v>
      </c>
      <c r="V38" s="3">
        <f>U38*SQRT((E38/D38)^2+(P38/O38)^2)</f>
        <v>4.154492096677926E-2</v>
      </c>
      <c r="W38">
        <f t="shared" si="1"/>
        <v>579.38083556287972</v>
      </c>
    </row>
    <row r="39" spans="1:30" x14ac:dyDescent="0.2">
      <c r="A39">
        <v>0.16500000000000001</v>
      </c>
      <c r="B39">
        <v>6.1665000000000001E-3</v>
      </c>
      <c r="C39">
        <v>7.59499999999999E-4</v>
      </c>
      <c r="D39">
        <v>1.754E-2</v>
      </c>
      <c r="E39">
        <v>7.6999999999999898E-4</v>
      </c>
      <c r="F39">
        <v>0.56999999999999995</v>
      </c>
      <c r="I39">
        <v>0.56999999999999995</v>
      </c>
      <c r="J39">
        <v>0.16500000000000001</v>
      </c>
      <c r="K39">
        <v>0.89231000000000005</v>
      </c>
      <c r="L39">
        <v>0.15168000000000001</v>
      </c>
      <c r="M39">
        <v>6.2245E-3</v>
      </c>
      <c r="N39">
        <v>3.4164999999999998E-4</v>
      </c>
      <c r="O39">
        <v>1.8456E-2</v>
      </c>
      <c r="P39">
        <v>3.1386000000000001E-4</v>
      </c>
      <c r="R39" s="2">
        <f>B39/M39</f>
        <v>0.99068198248855333</v>
      </c>
      <c r="S39" s="3">
        <f>R39*SQRT((C39/B39)^2+(N39/M39)^2)</f>
        <v>0.1335857583258947</v>
      </c>
      <c r="T39">
        <f t="shared" si="0"/>
        <v>56.037619716177637</v>
      </c>
      <c r="U39" s="1">
        <f>D39/O39</f>
        <v>0.95036844386649333</v>
      </c>
      <c r="V39" s="3">
        <f>U39*SQRT((E39/D39)^2+(P39/O39)^2)</f>
        <v>4.4741858180848845E-2</v>
      </c>
      <c r="W39">
        <f t="shared" si="1"/>
        <v>499.54195163257799</v>
      </c>
    </row>
    <row r="40" spans="1:30" x14ac:dyDescent="0.2">
      <c r="A40">
        <v>0.186</v>
      </c>
      <c r="B40">
        <v>7.0460000000000002E-3</v>
      </c>
      <c r="C40">
        <v>8.2399999999999997E-4</v>
      </c>
      <c r="D40">
        <v>1.7999999999999999E-2</v>
      </c>
      <c r="E40">
        <v>8.0000000000000004E-4</v>
      </c>
      <c r="F40">
        <v>0.56999999999999995</v>
      </c>
      <c r="I40">
        <v>0.56999999999999995</v>
      </c>
      <c r="J40">
        <v>0.185</v>
      </c>
      <c r="K40">
        <v>0.93684000000000001</v>
      </c>
      <c r="L40">
        <v>0.17199999999999999</v>
      </c>
      <c r="M40">
        <v>5.9354000000000004E-3</v>
      </c>
      <c r="N40">
        <v>3.3523E-4</v>
      </c>
      <c r="O40">
        <v>1.9965E-2</v>
      </c>
      <c r="P40">
        <v>3.6519999999999999E-4</v>
      </c>
      <c r="R40" s="2">
        <f>B40/M40</f>
        <v>1.1871146005323987</v>
      </c>
      <c r="S40" s="3">
        <f>R40*SQRT((C40/B40)^2+(N40/M40)^2)</f>
        <v>0.15417086385043907</v>
      </c>
      <c r="T40">
        <f t="shared" si="0"/>
        <v>42.072216078056982</v>
      </c>
      <c r="U40" s="1">
        <f>D40/O40</f>
        <v>0.90157776108189325</v>
      </c>
      <c r="V40" s="3">
        <f>U40*SQRT((E40/D40)^2+(P40/O40)^2)</f>
        <v>4.3331165746992154E-2</v>
      </c>
      <c r="W40">
        <f t="shared" si="1"/>
        <v>532.59765973848903</v>
      </c>
    </row>
    <row r="41" spans="1:30" x14ac:dyDescent="0.2">
      <c r="A41">
        <v>0.20499999999999999</v>
      </c>
      <c r="B41">
        <v>5.8979999999999996E-3</v>
      </c>
      <c r="C41">
        <v>8.61E-4</v>
      </c>
      <c r="D41">
        <v>1.8914999999999998E-2</v>
      </c>
      <c r="E41">
        <v>8.6499999999999902E-4</v>
      </c>
      <c r="F41">
        <v>0.56999999999999995</v>
      </c>
      <c r="I41">
        <v>0.56999999999999995</v>
      </c>
      <c r="J41">
        <v>0.20499999999999999</v>
      </c>
      <c r="K41">
        <v>0.98216999999999999</v>
      </c>
      <c r="L41">
        <v>0.19234999999999999</v>
      </c>
      <c r="M41">
        <v>6.2472999999999999E-3</v>
      </c>
      <c r="N41">
        <v>3.8712000000000002E-4</v>
      </c>
      <c r="O41">
        <v>1.9439000000000001E-2</v>
      </c>
      <c r="P41">
        <v>4.0187000000000003E-4</v>
      </c>
      <c r="R41" s="2">
        <f>B41/M41</f>
        <v>0.94408784594945017</v>
      </c>
      <c r="S41" s="3">
        <f>R41*SQRT((C41/B41)^2+(N41/M41)^2)</f>
        <v>0.14972183985402518</v>
      </c>
      <c r="T41">
        <f t="shared" si="0"/>
        <v>44.609739729874477</v>
      </c>
      <c r="U41" s="1">
        <f>D41/O41</f>
        <v>0.9730438808580687</v>
      </c>
      <c r="V41" s="3">
        <f>U41*SQRT((E41/D41)^2+(P41/O41)^2)</f>
        <v>4.8833856295886963E-2</v>
      </c>
      <c r="W41">
        <f t="shared" si="1"/>
        <v>419.33195441960771</v>
      </c>
    </row>
    <row r="42" spans="1:30" x14ac:dyDescent="0.2">
      <c r="A42">
        <v>0.22500000000000001</v>
      </c>
      <c r="B42">
        <v>6.2965E-3</v>
      </c>
      <c r="C42">
        <v>8.3350000000000004E-4</v>
      </c>
      <c r="D42">
        <v>1.66699999999999E-2</v>
      </c>
      <c r="E42">
        <v>8.0000000000000004E-4</v>
      </c>
      <c r="F42">
        <v>0.56999999999999995</v>
      </c>
      <c r="I42">
        <v>0.56999999999999995</v>
      </c>
      <c r="J42">
        <v>0.22500000000000001</v>
      </c>
      <c r="K42">
        <v>1.0283</v>
      </c>
      <c r="L42">
        <v>0.21273</v>
      </c>
      <c r="M42">
        <v>5.6595999999999999E-3</v>
      </c>
      <c r="N42">
        <v>3.9802000000000001E-4</v>
      </c>
      <c r="O42">
        <v>1.7781999999999999E-2</v>
      </c>
      <c r="P42">
        <v>4.0242000000000001E-4</v>
      </c>
      <c r="R42" s="2">
        <f>B42/M42</f>
        <v>1.1125344547317833</v>
      </c>
      <c r="S42" s="3">
        <f>R42*SQRT((C42/B42)^2+(N42/M42)^2)</f>
        <v>0.16676514770828293</v>
      </c>
      <c r="T42">
        <f t="shared" si="0"/>
        <v>35.957493868164136</v>
      </c>
      <c r="U42" s="1">
        <f>D42/O42</f>
        <v>0.9374648520976212</v>
      </c>
      <c r="V42" s="3">
        <f>U42*SQRT((E42/D42)^2+(P42/O42)^2)</f>
        <v>4.9740700670596313E-2</v>
      </c>
      <c r="W42">
        <f t="shared" si="1"/>
        <v>404.1812872332784</v>
      </c>
    </row>
    <row r="43" spans="1:30" x14ac:dyDescent="0.2">
      <c r="A43">
        <v>0.245</v>
      </c>
      <c r="B43">
        <v>5.3429999999999997E-3</v>
      </c>
      <c r="C43">
        <v>7.8699999999999907E-4</v>
      </c>
      <c r="D43">
        <v>1.431E-2</v>
      </c>
      <c r="E43">
        <v>7.3999999999999901E-4</v>
      </c>
      <c r="F43">
        <v>0.56999999999999995</v>
      </c>
      <c r="I43">
        <v>0.56999999999999995</v>
      </c>
      <c r="J43">
        <v>0.245</v>
      </c>
      <c r="K43">
        <v>1.0751999999999999</v>
      </c>
      <c r="L43">
        <v>0.23315</v>
      </c>
      <c r="M43">
        <v>4.0768000000000002E-3</v>
      </c>
      <c r="N43">
        <v>3.9618999999999999E-4</v>
      </c>
      <c r="O43">
        <v>1.61E-2</v>
      </c>
      <c r="P43">
        <v>4.0131999999999999E-4</v>
      </c>
      <c r="R43" s="2">
        <f>B43/M43</f>
        <v>1.3105867346938773</v>
      </c>
      <c r="S43" s="3">
        <f>R43*SQRT((C43/B43)^2+(N43/M43)^2)</f>
        <v>0.23127395782974908</v>
      </c>
      <c r="T43">
        <f t="shared" si="0"/>
        <v>18.695906816064237</v>
      </c>
      <c r="U43" s="1">
        <f>D43/O43</f>
        <v>0.88881987577639754</v>
      </c>
      <c r="V43" s="3">
        <f>U43*SQRT((E43/D43)^2+(P43/O43)^2)</f>
        <v>5.1023842558258509E-2</v>
      </c>
      <c r="W43">
        <f t="shared" si="1"/>
        <v>384.10828642016236</v>
      </c>
    </row>
    <row r="44" spans="1:30" x14ac:dyDescent="0.2">
      <c r="A44">
        <v>0.26500000000000001</v>
      </c>
      <c r="B44">
        <v>3.4814999999999898E-3</v>
      </c>
      <c r="C44">
        <v>7.9649999999999903E-4</v>
      </c>
      <c r="D44">
        <v>1.3524999999999902E-2</v>
      </c>
      <c r="E44">
        <v>7.9499999999999905E-4</v>
      </c>
      <c r="F44">
        <v>0.56999999999999995</v>
      </c>
      <c r="I44">
        <v>0.56999999999999995</v>
      </c>
      <c r="J44">
        <v>0.26500000000000001</v>
      </c>
      <c r="K44">
        <v>1.123</v>
      </c>
      <c r="L44">
        <v>0.25361</v>
      </c>
      <c r="M44">
        <v>3.6958E-3</v>
      </c>
      <c r="N44">
        <v>4.5701999999999998E-4</v>
      </c>
      <c r="O44">
        <v>1.3357000000000001E-2</v>
      </c>
      <c r="P44">
        <v>4.0774000000000002E-4</v>
      </c>
      <c r="R44" s="2">
        <f>B44/M44</f>
        <v>0.94201526056604523</v>
      </c>
      <c r="S44" s="3">
        <f>R44*SQRT((C44/B44)^2+(N44/M44)^2)</f>
        <v>0.2449823430971303</v>
      </c>
      <c r="T44">
        <f t="shared" si="0"/>
        <v>16.662126673318213</v>
      </c>
      <c r="U44" s="1">
        <f>D44/O44</f>
        <v>1.0125776746275288</v>
      </c>
      <c r="V44" s="3">
        <f>U44*SQRT((E44/D44)^2+(P44/O44)^2)</f>
        <v>6.7067115149894302E-2</v>
      </c>
      <c r="W44">
        <f t="shared" si="1"/>
        <v>222.32113365891817</v>
      </c>
    </row>
    <row r="45" spans="1:30" x14ac:dyDescent="0.2">
      <c r="A45">
        <v>0.28499999999999998</v>
      </c>
      <c r="B45">
        <v>3.0739999999999999E-3</v>
      </c>
      <c r="C45">
        <v>7.4099999999999904E-4</v>
      </c>
      <c r="D45">
        <v>1.2619999999999999E-2</v>
      </c>
      <c r="E45">
        <v>7.9999999999999906E-4</v>
      </c>
      <c r="F45">
        <v>0.56999999999999995</v>
      </c>
      <c r="I45">
        <v>0.56999999999999995</v>
      </c>
      <c r="J45">
        <v>0.28499999999999998</v>
      </c>
      <c r="K45">
        <v>1.1715</v>
      </c>
      <c r="L45">
        <v>0.27410000000000001</v>
      </c>
      <c r="M45">
        <v>3.3015000000000002E-3</v>
      </c>
      <c r="N45">
        <v>5.2676999999999997E-4</v>
      </c>
      <c r="O45">
        <v>1.2892000000000001E-2</v>
      </c>
      <c r="P45">
        <v>5.4818E-4</v>
      </c>
      <c r="R45" s="2">
        <f>B45/M45</f>
        <v>0.93109192791155526</v>
      </c>
      <c r="S45" s="3">
        <f>R45*SQRT((C45/B45)^2+(N45/M45)^2)</f>
        <v>0.26915603274266747</v>
      </c>
      <c r="T45">
        <f t="shared" si="0"/>
        <v>13.803580849404518</v>
      </c>
      <c r="U45" s="1">
        <f>D45/O45</f>
        <v>0.97890164443065453</v>
      </c>
      <c r="V45" s="3">
        <f>U45*SQRT((E45/D45)^2+(P45/O45)^2)</f>
        <v>7.4721079980432037E-2</v>
      </c>
      <c r="W45">
        <f t="shared" si="1"/>
        <v>179.10747827355814</v>
      </c>
    </row>
    <row r="46" spans="1:30" x14ac:dyDescent="0.2">
      <c r="A46">
        <v>0.30499999999999999</v>
      </c>
      <c r="B46">
        <v>3.0000000000000001E-3</v>
      </c>
      <c r="C46">
        <v>8.3299999999999997E-4</v>
      </c>
      <c r="D46">
        <v>1.329E-2</v>
      </c>
      <c r="E46">
        <v>8.0000000000000004E-4</v>
      </c>
      <c r="F46">
        <v>0.56999999999999995</v>
      </c>
      <c r="I46">
        <v>0.56999999999999995</v>
      </c>
      <c r="J46">
        <v>0.30499999999999999</v>
      </c>
      <c r="K46">
        <v>1.2208000000000001</v>
      </c>
      <c r="L46">
        <v>0.29463</v>
      </c>
      <c r="M46">
        <v>2.9746999999999998E-3</v>
      </c>
      <c r="N46">
        <v>6.0145000000000001E-4</v>
      </c>
      <c r="O46">
        <v>1.3572000000000001E-2</v>
      </c>
      <c r="P46">
        <v>5.9091999999999999E-4</v>
      </c>
      <c r="R46" s="2">
        <f>B46/M46</f>
        <v>1.0085050593337144</v>
      </c>
      <c r="S46" s="3">
        <f>R46*SQRT((C46/B46)^2+(N46/M46)^2)</f>
        <v>0.34640196242167764</v>
      </c>
      <c r="T46">
        <f t="shared" si="0"/>
        <v>8.3337278263414891</v>
      </c>
      <c r="U46" s="1">
        <f>D46/O46</f>
        <v>0.97922192749778947</v>
      </c>
      <c r="V46" s="3">
        <f>U46*SQRT((E46/D46)^2+(P46/O46)^2)</f>
        <v>7.2747786006352941E-2</v>
      </c>
      <c r="W46">
        <f t="shared" si="1"/>
        <v>188.95589208126074</v>
      </c>
    </row>
    <row r="47" spans="1:30" x14ac:dyDescent="0.2">
      <c r="A47">
        <v>0.32500000000000001</v>
      </c>
      <c r="B47">
        <v>3.3144999999999997E-3</v>
      </c>
      <c r="C47">
        <v>9.8149999999999995E-4</v>
      </c>
      <c r="D47">
        <v>1.457E-2</v>
      </c>
      <c r="E47">
        <v>8.59999999999999E-4</v>
      </c>
      <c r="F47">
        <v>0.56999999999999995</v>
      </c>
      <c r="I47">
        <v>0.56999999999999995</v>
      </c>
      <c r="J47">
        <v>0.32500000000000001</v>
      </c>
      <c r="K47">
        <v>1.2709999999999999</v>
      </c>
      <c r="L47">
        <v>0.31519000000000003</v>
      </c>
      <c r="M47">
        <v>3.5768000000000002E-3</v>
      </c>
      <c r="N47">
        <v>8.1335999999999995E-4</v>
      </c>
      <c r="O47">
        <v>1.5009E-2</v>
      </c>
      <c r="P47">
        <v>7.0122000000000001E-4</v>
      </c>
      <c r="R47" s="2">
        <f>B47/M47</f>
        <v>0.92666629389398336</v>
      </c>
      <c r="S47" s="3">
        <f>R47*SQRT((C47/B47)^2+(N47/M47)^2)</f>
        <v>0.34598187575960682</v>
      </c>
      <c r="T47">
        <f t="shared" si="0"/>
        <v>8.3539775186908614</v>
      </c>
      <c r="U47" s="1">
        <f>D47/O47</f>
        <v>0.97075088280365118</v>
      </c>
      <c r="V47" s="3">
        <f>U47*SQRT((E47/D47)^2+(P47/O47)^2)</f>
        <v>7.3076025959201166E-2</v>
      </c>
      <c r="W47">
        <f t="shared" si="1"/>
        <v>187.26221549247424</v>
      </c>
    </row>
    <row r="48" spans="1:30" x14ac:dyDescent="0.2">
      <c r="A48">
        <v>0.34499999999999997</v>
      </c>
      <c r="B48">
        <v>3.0739999999999999E-3</v>
      </c>
      <c r="C48">
        <v>1.3520000000000001E-3</v>
      </c>
      <c r="D48">
        <v>1.7264999999999999E-2</v>
      </c>
      <c r="E48">
        <v>1.07499999999999E-3</v>
      </c>
      <c r="F48">
        <v>0.56999999999999995</v>
      </c>
      <c r="I48">
        <v>0.56999999999999995</v>
      </c>
      <c r="J48">
        <v>0.34499999999999997</v>
      </c>
      <c r="K48">
        <v>1.3219000000000001</v>
      </c>
      <c r="L48">
        <v>0.33578999999999998</v>
      </c>
      <c r="M48">
        <v>1.6363E-3</v>
      </c>
      <c r="N48">
        <v>8.4866E-4</v>
      </c>
      <c r="O48">
        <v>1.8797000000000001E-2</v>
      </c>
      <c r="P48">
        <v>6.7860999999999996E-4</v>
      </c>
      <c r="R48" s="2">
        <f>B48/M48</f>
        <v>1.878628613334963</v>
      </c>
      <c r="S48" s="3">
        <f>R48*SQRT((C48/B48)^2+(N48/M48)^2)</f>
        <v>1.2775131912787279</v>
      </c>
      <c r="T48">
        <f t="shared" si="0"/>
        <v>0.61273009745611273</v>
      </c>
      <c r="U48" s="1">
        <f>D48/O48</f>
        <v>0.91849763260094686</v>
      </c>
      <c r="V48" s="3">
        <f>U48*SQRT((E48/D48)^2+(P48/O48)^2)</f>
        <v>6.6107903802032367E-2</v>
      </c>
      <c r="W48">
        <f t="shared" si="1"/>
        <v>228.81960264617939</v>
      </c>
    </row>
    <row r="51" spans="24:35" x14ac:dyDescent="0.2">
      <c r="X51" t="s">
        <v>27</v>
      </c>
      <c r="Y51" t="s">
        <v>19</v>
      </c>
      <c r="Z51" t="s">
        <v>23</v>
      </c>
      <c r="AA51" t="s">
        <v>24</v>
      </c>
      <c r="AB51" t="s">
        <v>21</v>
      </c>
      <c r="AC51" t="s">
        <v>20</v>
      </c>
      <c r="AD51" t="s">
        <v>25</v>
      </c>
      <c r="AE51" t="s">
        <v>26</v>
      </c>
      <c r="AF51" t="s">
        <v>22</v>
      </c>
    </row>
    <row r="52" spans="24:35" x14ac:dyDescent="0.2">
      <c r="X52">
        <v>0.3</v>
      </c>
      <c r="Y52">
        <v>0.97869156043453065</v>
      </c>
      <c r="Z52">
        <v>8.4274792712375174E-2</v>
      </c>
      <c r="AA52">
        <v>1.9745571494773937E-2</v>
      </c>
      <c r="AB52">
        <f>1/AA52^2</f>
        <v>2564.8418063906979</v>
      </c>
      <c r="AC52">
        <v>1.032148135909148</v>
      </c>
      <c r="AD52">
        <v>0.18719912445307851</v>
      </c>
      <c r="AE52">
        <v>3.0978447348383963E-2</v>
      </c>
      <c r="AF52">
        <f>1/AE52^2</f>
        <v>1042.0311603564057</v>
      </c>
    </row>
    <row r="53" spans="24:35" x14ac:dyDescent="0.2">
      <c r="X53">
        <v>0.38</v>
      </c>
      <c r="Y53">
        <v>0.92245939095642937</v>
      </c>
      <c r="Z53">
        <v>5.8987647791827878E-2</v>
      </c>
      <c r="AA53">
        <v>1.9682056852849284E-2</v>
      </c>
      <c r="AB53">
        <f t="shared" ref="AB53:AB54" si="2">1/AA53^2</f>
        <v>2581.4221729697738</v>
      </c>
      <c r="AC53">
        <v>1.1057831078074809</v>
      </c>
      <c r="AD53">
        <v>5.4062551578785659E-2</v>
      </c>
      <c r="AE53">
        <v>1.8927282874215287E-2</v>
      </c>
      <c r="AF53">
        <f t="shared" ref="AF53:AF54" si="3">1/AE53^2</f>
        <v>2791.408870864665</v>
      </c>
    </row>
    <row r="54" spans="24:35" x14ac:dyDescent="0.2">
      <c r="X54">
        <v>0.56999999999999995</v>
      </c>
      <c r="Y54">
        <v>0.85450794771894889</v>
      </c>
      <c r="Z54">
        <v>0.17446371036128472</v>
      </c>
      <c r="AA54">
        <v>3.9307217158227742E-2</v>
      </c>
      <c r="AB54">
        <f t="shared" si="2"/>
        <v>647.22517837160979</v>
      </c>
      <c r="AC54">
        <v>1.0622570544761158</v>
      </c>
      <c r="AD54">
        <v>6.0509755256846307E-2</v>
      </c>
      <c r="AE54">
        <v>1.490496686893761E-2</v>
      </c>
      <c r="AF54">
        <f t="shared" si="3"/>
        <v>4501.3001188921717</v>
      </c>
    </row>
    <row r="56" spans="24:35" x14ac:dyDescent="0.2">
      <c r="X56" t="s">
        <v>28</v>
      </c>
      <c r="Y56">
        <f>SUMPRODUCT(Y52:Y54,AB52:AB54)/SUM(AB52:AB54)</f>
        <v>0.93976273466558324</v>
      </c>
      <c r="AC56">
        <f>SUMPRODUCT(AC52:AC54,AF52:AF54)/SUM(AF52:AF54)</f>
        <v>1.0730701786297541</v>
      </c>
    </row>
    <row r="57" spans="24:35" x14ac:dyDescent="0.2">
      <c r="X57" t="s">
        <v>29</v>
      </c>
      <c r="Y57">
        <f>1/SQRT(SUM(AB52:AB54))</f>
        <v>1.3138019457669637E-2</v>
      </c>
      <c r="AC57">
        <f>1/SQRT(SUM(AF52:AF54))</f>
        <v>1.0953526612819026E-2</v>
      </c>
    </row>
    <row r="58" spans="24:35" x14ac:dyDescent="0.2">
      <c r="X58" t="s">
        <v>30</v>
      </c>
      <c r="Y58" cm="1">
        <f t="array" ref="Y58">SQRT(SUM(POWER((Y52:Y54-Y56),2))/(ROWS(Y52:Y54)-1))</f>
        <v>6.7391534618905194E-2</v>
      </c>
      <c r="AC58" cm="1">
        <f t="array" ref="AC58">SQRT(SUM(POWER((AC52:AC54-AC56),2))/(ROWS(AC52:AC54)-1))</f>
        <v>3.7826399311698136E-2</v>
      </c>
    </row>
    <row r="63" spans="24:35" x14ac:dyDescent="0.2">
      <c r="AH63" s="4"/>
      <c r="AI63" s="4"/>
    </row>
    <row r="64" spans="24:35" x14ac:dyDescent="0.2">
      <c r="AH64" s="4"/>
      <c r="AI64" s="4"/>
    </row>
    <row r="65" spans="24:35" x14ac:dyDescent="0.2">
      <c r="AH65" s="4"/>
      <c r="AI65" s="4"/>
    </row>
    <row r="66" spans="24:35" x14ac:dyDescent="0.2">
      <c r="X66" t="s">
        <v>27</v>
      </c>
      <c r="Y66" t="s">
        <v>19</v>
      </c>
      <c r="Z66" t="s">
        <v>23</v>
      </c>
      <c r="AA66" t="s">
        <v>24</v>
      </c>
      <c r="AB66" t="s">
        <v>21</v>
      </c>
      <c r="AC66" t="s">
        <v>20</v>
      </c>
      <c r="AD66" t="s">
        <v>25</v>
      </c>
      <c r="AE66" t="s">
        <v>26</v>
      </c>
      <c r="AF66" t="s">
        <v>22</v>
      </c>
    </row>
    <row r="67" spans="24:35" x14ac:dyDescent="0.2">
      <c r="X67">
        <v>0.3</v>
      </c>
      <c r="Y67">
        <v>1.0335270154058758</v>
      </c>
      <c r="Z67">
        <v>7.5177167368499803E-2</v>
      </c>
      <c r="AA67">
        <v>2.0820722733621101E-2</v>
      </c>
      <c r="AB67">
        <f>1/AA67^2</f>
        <v>2306.7917974802613</v>
      </c>
      <c r="AC67">
        <v>0.89735956390723537</v>
      </c>
      <c r="AD67">
        <v>9.4724989000527976E-2</v>
      </c>
      <c r="AE67">
        <v>2.661278134026179E-2</v>
      </c>
      <c r="AF67">
        <f>1/AE67^2</f>
        <v>1411.9504906642856</v>
      </c>
    </row>
    <row r="68" spans="24:35" x14ac:dyDescent="0.2">
      <c r="X68">
        <v>0.38</v>
      </c>
      <c r="Y68">
        <v>1.077122327137229</v>
      </c>
      <c r="Z68">
        <v>6.9784036917795791E-2</v>
      </c>
      <c r="AA68">
        <v>2.2980196323339298E-2</v>
      </c>
      <c r="AB68">
        <f t="shared" ref="AB68:AB69" si="4">1/AA68^2</f>
        <v>1893.6186871666728</v>
      </c>
      <c r="AC68">
        <v>0.89900678774761866</v>
      </c>
      <c r="AD68">
        <v>4.3055695722469506E-2</v>
      </c>
      <c r="AE68">
        <v>1.5388964207412165E-2</v>
      </c>
      <c r="AF68">
        <f t="shared" ref="AF68:AF69" si="5">1/AE68^2</f>
        <v>4222.6124214842539</v>
      </c>
    </row>
    <row r="69" spans="24:35" x14ac:dyDescent="0.2">
      <c r="X69">
        <v>0.56999999999999995</v>
      </c>
      <c r="Y69">
        <v>1.1040866134975766</v>
      </c>
      <c r="Z69">
        <v>0.27992911318150554</v>
      </c>
      <c r="AA69">
        <v>5.0719266314180847E-2</v>
      </c>
      <c r="AB69">
        <f t="shared" si="4"/>
        <v>388.73538531603418</v>
      </c>
      <c r="AC69">
        <v>0.93710806646430744</v>
      </c>
      <c r="AD69">
        <v>6.2378690725133877E-2</v>
      </c>
      <c r="AE69">
        <v>1.3147579510701489E-2</v>
      </c>
      <c r="AF69">
        <f t="shared" si="5"/>
        <v>5785.0669341592438</v>
      </c>
    </row>
    <row r="71" spans="24:35" x14ac:dyDescent="0.2">
      <c r="X71" t="s">
        <v>28</v>
      </c>
      <c r="Y71">
        <f>SUMPRODUCT(Y67:Y69,AB67:AB69)/SUM(AB67:AB69)</f>
        <v>1.0574926753861187</v>
      </c>
      <c r="AC71">
        <f>SUMPRODUCT(AC67:AC69,AF67:AF69)/SUM(AF67:AF69)</f>
        <v>0.91810483664050391</v>
      </c>
    </row>
    <row r="72" spans="24:35" x14ac:dyDescent="0.2">
      <c r="X72" t="s">
        <v>29</v>
      </c>
      <c r="Y72">
        <f>1/SQRT(SUM(AB67:AB69))</f>
        <v>1.4761621614233228E-2</v>
      </c>
      <c r="AC72">
        <f>1/SQRT(SUM(AF67:AF69))</f>
        <v>9.3578049024686909E-3</v>
      </c>
    </row>
    <row r="73" spans="24:35" x14ac:dyDescent="0.2">
      <c r="X73" t="s">
        <v>30</v>
      </c>
      <c r="Y73" cm="1">
        <f t="array" ref="Y73">SQRT(SUM(POWER((Y67:Y69-Y71),2))/(ROWS(Y67:Y69)-1))</f>
        <v>3.9564322026877062E-2</v>
      </c>
      <c r="AC73" cm="1">
        <f t="array" ref="AC73">SQRT(SUM(POWER((AC67:AC69-AC71),2))/(ROWS(AC67:AC69)-1))</f>
        <v>2.4043965521820924E-2</v>
      </c>
    </row>
    <row r="77" spans="24:35" x14ac:dyDescent="0.2">
      <c r="Y77" t="s">
        <v>33</v>
      </c>
      <c r="Z77">
        <v>0.93799999999999994</v>
      </c>
    </row>
    <row r="78" spans="24:35" x14ac:dyDescent="0.2">
      <c r="Y78" t="s">
        <v>32</v>
      </c>
      <c r="Z78">
        <v>0.8</v>
      </c>
    </row>
    <row r="79" spans="24:35" x14ac:dyDescent="0.2">
      <c r="Y79" t="s">
        <v>4</v>
      </c>
      <c r="Z79">
        <f>Z78/(2*Z77)</f>
        <v>0.4264392324093817</v>
      </c>
    </row>
    <row r="80" spans="24:35" x14ac:dyDescent="0.2">
      <c r="Y80" t="s">
        <v>31</v>
      </c>
      <c r="Z80">
        <f>SQRT(Z78+Z79^2)</f>
        <v>0.99088365560135394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Bodek, Arie</dc:creator>
  <cp:lastModifiedBy>Lin, Zihao</cp:lastModifiedBy>
  <dcterms:created xsi:type="dcterms:W3CDTF">2023-11-04T10:26:45Z</dcterms:created>
  <dcterms:modified xsi:type="dcterms:W3CDTF">2025-09-20T02:50:10Z</dcterms:modified>
</cp:coreProperties>
</file>