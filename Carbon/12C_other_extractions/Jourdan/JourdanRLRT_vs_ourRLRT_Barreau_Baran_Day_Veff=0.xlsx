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ihaolin/Desktop/2025 Spring/RLRT_extraction_2025/Carbon/12C_other_extractions/Jourdan/"/>
    </mc:Choice>
  </mc:AlternateContent>
  <xr:revisionPtr revIDLastSave="0" documentId="13_ncr:1_{ECCCCC3A-18C2-564E-B379-4E460DEE1989}" xr6:coauthVersionLast="47" xr6:coauthVersionMax="47" xr10:uidLastSave="{00000000-0000-0000-0000-000000000000}"/>
  <bookViews>
    <workbookView xWindow="2200" yWindow="-20140" windowWidth="34200" windowHeight="20140" xr2:uid="{BFC40FB7-1575-7E49-9DBF-CBD03EBE8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7" i="1" l="1"/>
  <c r="AB68" i="1"/>
  <c r="AB69" i="1"/>
  <c r="R48" i="1"/>
  <c r="S48" i="1" s="1"/>
  <c r="T48" i="1" s="1"/>
  <c r="U47" i="1"/>
  <c r="V47" i="1" s="1"/>
  <c r="W47" i="1" s="1"/>
  <c r="U45" i="1"/>
  <c r="V45" i="1" s="1"/>
  <c r="W45" i="1" s="1"/>
  <c r="U43" i="1"/>
  <c r="V43" i="1" s="1"/>
  <c r="W43" i="1" s="1"/>
  <c r="R43" i="1"/>
  <c r="S43" i="1" s="1"/>
  <c r="T43" i="1" s="1"/>
  <c r="R42" i="1"/>
  <c r="S42" i="1" s="1"/>
  <c r="T42" i="1" s="1"/>
  <c r="U41" i="1"/>
  <c r="V41" i="1" s="1"/>
  <c r="W41" i="1" s="1"/>
  <c r="R41" i="1"/>
  <c r="S41" i="1" s="1"/>
  <c r="T41" i="1" s="1"/>
  <c r="R40" i="1"/>
  <c r="S40" i="1" s="1"/>
  <c r="T40" i="1" s="1"/>
  <c r="U39" i="1"/>
  <c r="V39" i="1" s="1"/>
  <c r="W39" i="1" s="1"/>
  <c r="U37" i="1"/>
  <c r="V37" i="1" s="1"/>
  <c r="W37" i="1" s="1"/>
  <c r="U35" i="1"/>
  <c r="V35" i="1" s="1"/>
  <c r="W35" i="1" s="1"/>
  <c r="R35" i="1"/>
  <c r="S35" i="1" s="1"/>
  <c r="T35" i="1" s="1"/>
  <c r="R34" i="1"/>
  <c r="S34" i="1" s="1"/>
  <c r="T34" i="1" s="1"/>
  <c r="U33" i="1"/>
  <c r="V33" i="1" s="1"/>
  <c r="W33" i="1" s="1"/>
  <c r="R33" i="1"/>
  <c r="R32" i="1"/>
  <c r="S32" i="1" s="1"/>
  <c r="T32" i="1" s="1"/>
  <c r="U31" i="1"/>
  <c r="V31" i="1" s="1"/>
  <c r="W31" i="1" s="1"/>
  <c r="U29" i="1"/>
  <c r="V29" i="1" s="1"/>
  <c r="W29" i="1" s="1"/>
  <c r="U27" i="1"/>
  <c r="V27" i="1" s="1"/>
  <c r="W27" i="1" s="1"/>
  <c r="R27" i="1"/>
  <c r="S27" i="1" s="1"/>
  <c r="T27" i="1" s="1"/>
  <c r="R26" i="1"/>
  <c r="S26" i="1" s="1"/>
  <c r="T26" i="1" s="1"/>
  <c r="U25" i="1"/>
  <c r="V25" i="1" s="1"/>
  <c r="W25" i="1" s="1"/>
  <c r="R25" i="1"/>
  <c r="S25" i="1" s="1"/>
  <c r="T25" i="1" s="1"/>
  <c r="R24" i="1"/>
  <c r="S24" i="1" s="1"/>
  <c r="T24" i="1" s="1"/>
  <c r="U23" i="1"/>
  <c r="V23" i="1" s="1"/>
  <c r="W23" i="1" s="1"/>
  <c r="U21" i="1"/>
  <c r="V21" i="1" s="1"/>
  <c r="W21" i="1" s="1"/>
  <c r="U19" i="1"/>
  <c r="V19" i="1" s="1"/>
  <c r="W19" i="1" s="1"/>
  <c r="R19" i="1"/>
  <c r="S19" i="1" s="1"/>
  <c r="T19" i="1" s="1"/>
  <c r="R18" i="1"/>
  <c r="S18" i="1" s="1"/>
  <c r="T18" i="1" s="1"/>
  <c r="U17" i="1"/>
  <c r="V17" i="1" s="1"/>
  <c r="W17" i="1" s="1"/>
  <c r="R17" i="1"/>
  <c r="S17" i="1" s="1"/>
  <c r="T17" i="1" s="1"/>
  <c r="R16" i="1"/>
  <c r="S16" i="1" s="1"/>
  <c r="T16" i="1" s="1"/>
  <c r="U15" i="1"/>
  <c r="V15" i="1" s="1"/>
  <c r="W15" i="1" s="1"/>
  <c r="R15" i="1"/>
  <c r="S15" i="1" s="1"/>
  <c r="T15" i="1" s="1"/>
  <c r="U13" i="1"/>
  <c r="V13" i="1" s="1"/>
  <c r="W13" i="1" s="1"/>
  <c r="R13" i="1"/>
  <c r="S13" i="1" s="1"/>
  <c r="T13" i="1" s="1"/>
  <c r="U11" i="1"/>
  <c r="V11" i="1" s="1"/>
  <c r="W11" i="1" s="1"/>
  <c r="R11" i="1"/>
  <c r="S11" i="1" s="1"/>
  <c r="T11" i="1" s="1"/>
  <c r="R10" i="1"/>
  <c r="S10" i="1" s="1"/>
  <c r="T10" i="1" s="1"/>
  <c r="U9" i="1"/>
  <c r="V9" i="1" s="1"/>
  <c r="W9" i="1" s="1"/>
  <c r="R9" i="1"/>
  <c r="S9" i="1" s="1"/>
  <c r="T9" i="1" s="1"/>
  <c r="U7" i="1"/>
  <c r="V7" i="1" s="1"/>
  <c r="W7" i="1" s="1"/>
  <c r="R7" i="1"/>
  <c r="S7" i="1" s="1"/>
  <c r="T7" i="1" s="1"/>
  <c r="U5" i="1"/>
  <c r="V5" i="1" s="1"/>
  <c r="W5" i="1" s="1"/>
  <c r="R5" i="1"/>
  <c r="S5" i="1" s="1"/>
  <c r="T5" i="1" s="1"/>
  <c r="U3" i="1"/>
  <c r="V3" i="1" s="1"/>
  <c r="W3" i="1" s="1"/>
  <c r="R3" i="1"/>
  <c r="S3" i="1" s="1"/>
  <c r="T3" i="1" s="1"/>
  <c r="Z79" i="1"/>
  <c r="Z80" i="1" s="1"/>
  <c r="AF52" i="1"/>
  <c r="AF53" i="1"/>
  <c r="AF54" i="1"/>
  <c r="AC56" i="1" s="1"/>
  <c r="AC58" i="1" s="1" a="1"/>
  <c r="AC58" i="1" s="1"/>
  <c r="AF69" i="1"/>
  <c r="Y71" i="1"/>
  <c r="Y73" i="1" s="1" a="1"/>
  <c r="Y73" i="1" s="1"/>
  <c r="AF68" i="1"/>
  <c r="AF67" i="1"/>
  <c r="U16" i="1"/>
  <c r="V16" i="1" s="1"/>
  <c r="W16" i="1" s="1"/>
  <c r="U18" i="1"/>
  <c r="V18" i="1" s="1"/>
  <c r="W18" i="1" s="1"/>
  <c r="U20" i="1"/>
  <c r="V20" i="1" s="1"/>
  <c r="W20" i="1" s="1"/>
  <c r="U22" i="1"/>
  <c r="V22" i="1" s="1"/>
  <c r="W22" i="1" s="1"/>
  <c r="U24" i="1"/>
  <c r="V24" i="1" s="1"/>
  <c r="W24" i="1" s="1"/>
  <c r="U26" i="1"/>
  <c r="V26" i="1" s="1"/>
  <c r="W26" i="1" s="1"/>
  <c r="U28" i="1"/>
  <c r="V28" i="1" s="1"/>
  <c r="W28" i="1" s="1"/>
  <c r="U30" i="1"/>
  <c r="U32" i="1"/>
  <c r="V32" i="1" s="1"/>
  <c r="W32" i="1" s="1"/>
  <c r="U34" i="1"/>
  <c r="V34" i="1" s="1"/>
  <c r="W34" i="1" s="1"/>
  <c r="U36" i="1"/>
  <c r="V36" i="1" s="1"/>
  <c r="W36" i="1" s="1"/>
  <c r="U38" i="1"/>
  <c r="V38" i="1" s="1"/>
  <c r="W38" i="1" s="1"/>
  <c r="U40" i="1"/>
  <c r="V40" i="1" s="1"/>
  <c r="W40" i="1" s="1"/>
  <c r="U42" i="1"/>
  <c r="V42" i="1" s="1"/>
  <c r="W42" i="1" s="1"/>
  <c r="U44" i="1"/>
  <c r="V44" i="1" s="1"/>
  <c r="W44" i="1" s="1"/>
  <c r="U46" i="1"/>
  <c r="U48" i="1"/>
  <c r="V48" i="1" s="1"/>
  <c r="W48" i="1" s="1"/>
  <c r="U4" i="1"/>
  <c r="V4" i="1" s="1"/>
  <c r="W4" i="1" s="1"/>
  <c r="U6" i="1"/>
  <c r="V6" i="1" s="1"/>
  <c r="W6" i="1" s="1"/>
  <c r="U8" i="1"/>
  <c r="V8" i="1" s="1"/>
  <c r="W8" i="1" s="1"/>
  <c r="U10" i="1"/>
  <c r="V10" i="1" s="1"/>
  <c r="W10" i="1" s="1"/>
  <c r="U12" i="1"/>
  <c r="V12" i="1" s="1"/>
  <c r="W12" i="1" s="1"/>
  <c r="R20" i="1"/>
  <c r="S20" i="1" s="1"/>
  <c r="T20" i="1" s="1"/>
  <c r="R21" i="1"/>
  <c r="S21" i="1" s="1"/>
  <c r="T21" i="1" s="1"/>
  <c r="R22" i="1"/>
  <c r="S22" i="1" s="1"/>
  <c r="T22" i="1" s="1"/>
  <c r="R23" i="1"/>
  <c r="S23" i="1" s="1"/>
  <c r="T23" i="1" s="1"/>
  <c r="R28" i="1"/>
  <c r="S28" i="1" s="1"/>
  <c r="T28" i="1" s="1"/>
  <c r="R29" i="1"/>
  <c r="S29" i="1" s="1"/>
  <c r="T29" i="1" s="1"/>
  <c r="R30" i="1"/>
  <c r="S30" i="1" s="1"/>
  <c r="T30" i="1" s="1"/>
  <c r="R31" i="1"/>
  <c r="S31" i="1" s="1"/>
  <c r="T31" i="1" s="1"/>
  <c r="R36" i="1"/>
  <c r="S36" i="1" s="1"/>
  <c r="T36" i="1" s="1"/>
  <c r="R37" i="1"/>
  <c r="S37" i="1" s="1"/>
  <c r="T37" i="1" s="1"/>
  <c r="R38" i="1"/>
  <c r="S38" i="1" s="1"/>
  <c r="T38" i="1" s="1"/>
  <c r="R39" i="1"/>
  <c r="S39" i="1" s="1"/>
  <c r="T39" i="1" s="1"/>
  <c r="R44" i="1"/>
  <c r="S44" i="1" s="1"/>
  <c r="T44" i="1" s="1"/>
  <c r="R45" i="1"/>
  <c r="S45" i="1" s="1"/>
  <c r="T45" i="1" s="1"/>
  <c r="R46" i="1"/>
  <c r="S46" i="1" s="1"/>
  <c r="T46" i="1" s="1"/>
  <c r="R47" i="1"/>
  <c r="S47" i="1" s="1"/>
  <c r="T47" i="1" s="1"/>
  <c r="R4" i="1"/>
  <c r="S4" i="1" s="1"/>
  <c r="T4" i="1" s="1"/>
  <c r="R6" i="1"/>
  <c r="S6" i="1" s="1"/>
  <c r="T6" i="1" s="1"/>
  <c r="R8" i="1"/>
  <c r="S8" i="1" s="1"/>
  <c r="T8" i="1" s="1"/>
  <c r="R12" i="1"/>
  <c r="S12" i="1" s="1"/>
  <c r="T12" i="1" s="1"/>
  <c r="AB53" i="1"/>
  <c r="AB54" i="1"/>
  <c r="AB52" i="1"/>
  <c r="V30" i="1"/>
  <c r="W30" i="1" s="1"/>
  <c r="V46" i="1"/>
  <c r="W46" i="1" s="1"/>
  <c r="Y56" i="1" l="1"/>
  <c r="Y58" i="1" s="1" a="1"/>
  <c r="Y58" i="1" s="1"/>
  <c r="AC57" i="1"/>
  <c r="AC72" i="1"/>
  <c r="Y57" i="1"/>
  <c r="AC71" i="1"/>
  <c r="AC73" i="1" s="1" a="1"/>
  <c r="AC73" i="1" s="1"/>
  <c r="Y72" i="1"/>
  <c r="AD33" i="1"/>
  <c r="AD15" i="1"/>
  <c r="AD2" i="1"/>
  <c r="AA15" i="1"/>
  <c r="AA2" i="1"/>
  <c r="Y15" i="1"/>
  <c r="Z15" i="1" s="1" a="1"/>
  <c r="Z15" i="1" s="1"/>
  <c r="AB15" i="1"/>
  <c r="AC15" i="1" s="1" a="1"/>
  <c r="AC15" i="1" s="1"/>
  <c r="Y2" i="1"/>
  <c r="Z2" i="1" s="1" a="1"/>
  <c r="Z2" i="1" s="1"/>
  <c r="AB33" i="1"/>
  <c r="AC33" i="1" s="1" a="1"/>
  <c r="AC33" i="1" s="1"/>
  <c r="S33" i="1"/>
  <c r="T33" i="1" s="1"/>
  <c r="AB2" i="1"/>
  <c r="AC2" i="1" s="1" a="1"/>
  <c r="AC2" i="1" s="1"/>
  <c r="Y33" i="1" l="1"/>
  <c r="Z33" i="1" s="1" a="1"/>
  <c r="Z33" i="1" s="1"/>
  <c r="AA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<sst xmlns="http://schemas.openxmlformats.org/spreadsheetml/2006/main" count="61" uniqueCount="34">
  <si>
    <t>RL</t>
  </si>
  <si>
    <t>RT</t>
  </si>
  <si>
    <t>Error(RL)</t>
  </si>
  <si>
    <t>Error(RT)</t>
  </si>
  <si>
    <t>nu</t>
  </si>
  <si>
    <t>Q</t>
  </si>
  <si>
    <t>q (GeV)</t>
  </si>
  <si>
    <t>nu (GeV)</t>
  </si>
  <si>
    <t>W^2 (GeV^2)</t>
  </si>
  <si>
    <t>Ex (GeV)</t>
  </si>
  <si>
    <t>RL (GeV^-1)</t>
  </si>
  <si>
    <t>RL error (GeV^-1)</t>
  </si>
  <si>
    <t>RT (GeV^-1)</t>
  </si>
  <si>
    <t>RT error (GeV^-1)</t>
  </si>
  <si>
    <t>RL ratio</t>
  </si>
  <si>
    <t>RL ratio error</t>
  </si>
  <si>
    <t>RT ratio</t>
  </si>
  <si>
    <t>RT ratio error</t>
  </si>
  <si>
    <t>our extraction:</t>
  </si>
  <si>
    <t>RL ratio weighted average</t>
  </si>
  <si>
    <t>RT ratio weighted average</t>
  </si>
  <si>
    <t>RL ratio weight</t>
  </si>
  <si>
    <t>RT ratio weight</t>
  </si>
  <si>
    <t>RL ratio average RMS</t>
  </si>
  <si>
    <t>RL ratio average error</t>
  </si>
  <si>
    <t>RT ratio average RMS</t>
  </si>
  <si>
    <t>RT ratio average error</t>
  </si>
  <si>
    <t>q bin</t>
  </si>
  <si>
    <t>weighted average</t>
  </si>
  <si>
    <t>weighted average error</t>
  </si>
  <si>
    <t>weighted average RMS</t>
  </si>
  <si>
    <t>q</t>
  </si>
  <si>
    <t>Q2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</si>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</sst>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00B0F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31EC5-2DEB-CE49-B0A2-5D20CC265A4B}">
  <dimension ref="A1:AL80"/>
  <sheetViews>
    <sheetView tabSelected="1" topLeftCell="P40" zoomScale="75" zoomScaleNormal="150" workbookViewId="0">
      <selection activeCell="AE82" sqref="AE82"/>
    </sheetView>
  </sheetViews>
  <sheetFormatPr baseColWidth="10" defaultRowHeight="16" x14ac:dyDescent="0.2"/>
  <cols>
    <col min="8" max="8" width="17.1640625" customWidth="1"/>
    <col min="19" max="19" width="14" customWidth="1"/>
    <col min="20" max="20" width="14.5" customWidth="1"/>
    <col min="22" max="22" width="13.83203125" customWidth="1"/>
    <col min="23" max="23" width="14.6640625" customWidth="1"/>
    <col min="24" max="24" width="23.5" customWidth="1"/>
    <col min="25" max="25" width="23.6640625" customWidth="1"/>
    <col min="26" max="26" width="18.6640625" customWidth="1"/>
    <col min="27" max="27" width="20.1640625" customWidth="1"/>
    <col min="28" max="28" width="23" customWidth="1"/>
    <col min="29" max="29" width="20" customWidth="1"/>
    <col min="30" max="30" width="20.83203125" customWidth="1"/>
    <col min="31" max="31" width="21" customWidth="1"/>
  </cols>
  <sheetData>
    <row r="1" spans="1:38" x14ac:dyDescent="0.2">
      <c r="A1" t="s">
        <v>4</v>
      </c>
      <c r="B1" t="s">
        <v>0</v>
      </c>
      <c r="C1" t="s">
        <v>2</v>
      </c>
      <c r="D1" t="s">
        <v>1</v>
      </c>
      <c r="E1" t="s">
        <v>3</v>
      </c>
      <c r="F1" t="s">
        <v>5</v>
      </c>
      <c r="H1" t="s">
        <v>18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R1" t="s">
        <v>14</v>
      </c>
      <c r="S1" t="s">
        <v>15</v>
      </c>
      <c r="T1" t="s">
        <v>21</v>
      </c>
      <c r="U1" t="s">
        <v>16</v>
      </c>
      <c r="V1" t="s">
        <v>17</v>
      </c>
      <c r="W1" t="s">
        <v>22</v>
      </c>
      <c r="Y1" t="s">
        <v>19</v>
      </c>
      <c r="Z1" t="s">
        <v>23</v>
      </c>
      <c r="AA1" t="s">
        <v>24</v>
      </c>
      <c r="AB1" t="s">
        <v>20</v>
      </c>
      <c r="AC1" t="s">
        <v>25</v>
      </c>
      <c r="AD1" t="s">
        <v>26</v>
      </c>
      <c r="AG1" t="s">
        <v>19</v>
      </c>
      <c r="AH1" t="s">
        <v>23</v>
      </c>
      <c r="AI1" t="s">
        <v>24</v>
      </c>
      <c r="AJ1" t="s">
        <v>20</v>
      </c>
      <c r="AK1" t="s">
        <v>25</v>
      </c>
      <c r="AL1" t="s">
        <v>26</v>
      </c>
    </row>
    <row r="2" spans="1:38" x14ac:dyDescent="0.2">
      <c r="A2">
        <v>0.03</v>
      </c>
      <c r="B2">
        <v>2.2350000000000002E-2</v>
      </c>
      <c r="C2">
        <v>1.2499999999999901E-3</v>
      </c>
      <c r="D2">
        <v>9.3100000000000006E-3</v>
      </c>
      <c r="E2">
        <v>7.2999999999999899E-4</v>
      </c>
      <c r="F2">
        <v>0.3</v>
      </c>
      <c r="R2" s="1"/>
      <c r="S2" s="1"/>
      <c r="U2" s="1"/>
      <c r="V2" s="1"/>
      <c r="Y2">
        <f>SUMPRODUCT(R2:R13,T2:T13) /SUM(T2:T13)</f>
        <v>1.0489013918994463</v>
      </c>
      <c r="Z2" cm="1">
        <f t="array" ref="Z2">SQRT(SUM(POWER((R2:R13-Y2),2))/(ROWS(R2:R13)-1))</f>
        <v>0.32480922789375793</v>
      </c>
      <c r="AA2">
        <f>1/SQRT(SUM(T2:T13))</f>
        <v>2.2122741895392928E-2</v>
      </c>
      <c r="AB2">
        <f>SUMPRODUCT(U2:U13,W2:W13) /SUM(W2:W13)</f>
        <v>0.85384752126825803</v>
      </c>
      <c r="AC2" cm="1">
        <f t="array" ref="AC2">SQRT(SUM(POWER((U2:U13-AB2),2))/(ROWS(U2:U13)-1))</f>
        <v>0.27697573070096654</v>
      </c>
      <c r="AD2">
        <f>1/SQRT(SUM(W2:W13))</f>
        <v>2.7571940400513719E-2</v>
      </c>
      <c r="AG2">
        <v>1.0489013918994463</v>
      </c>
      <c r="AH2">
        <v>0.32480922789375793</v>
      </c>
      <c r="AI2">
        <v>2.2122741895392928E-2</v>
      </c>
      <c r="AJ2">
        <v>0.85384752126825803</v>
      </c>
      <c r="AK2">
        <v>0.27697573070096654</v>
      </c>
      <c r="AL2">
        <v>2.7571940400513719E-2</v>
      </c>
    </row>
    <row r="3" spans="1:38" x14ac:dyDescent="0.2">
      <c r="A3">
        <v>0.04</v>
      </c>
      <c r="B3">
        <v>2.5399999999999999E-2</v>
      </c>
      <c r="C3">
        <v>1.1000000000000001E-3</v>
      </c>
      <c r="D3">
        <v>1.3044999999999999E-2</v>
      </c>
      <c r="E3">
        <v>9.4499999999999998E-4</v>
      </c>
      <c r="F3">
        <v>0.3</v>
      </c>
      <c r="I3">
        <v>0.3</v>
      </c>
      <c r="J3">
        <v>0.04</v>
      </c>
      <c r="K3">
        <v>0.86702000000000001</v>
      </c>
      <c r="L3">
        <v>3.6046000000000002E-2</v>
      </c>
      <c r="M3">
        <v>2.5180000000000001E-2</v>
      </c>
      <c r="N3">
        <v>5.1079999999999995E-4</v>
      </c>
      <c r="O3">
        <v>1.4449E-2</v>
      </c>
      <c r="P3">
        <v>6.0117999999999999E-4</v>
      </c>
      <c r="R3" s="1">
        <f t="shared" ref="R3:R13" si="0">B3/M3</f>
        <v>1.0087370929308974</v>
      </c>
      <c r="S3" s="1">
        <f t="shared" ref="S3:S13" si="1">R3*SQRT((C3/B3)^2+(N3/M3)^2)</f>
        <v>4.8240663491917121E-2</v>
      </c>
      <c r="T3">
        <f t="shared" ref="T3:T48" si="2">1/(S3^2)</f>
        <v>429.70801594687839</v>
      </c>
      <c r="U3" s="1">
        <f t="shared" ref="U3:U13" si="3">D3/O3</f>
        <v>0.90283064571942695</v>
      </c>
      <c r="V3" s="1">
        <f t="shared" ref="V3:V13" si="4">U3*SQRT((E3/D3)^2+(P3/O3)^2)</f>
        <v>7.5422425823791189E-2</v>
      </c>
      <c r="W3">
        <f t="shared" ref="W3:W48" si="5">1/(V3^2)</f>
        <v>175.79195938931434</v>
      </c>
      <c r="AG3">
        <v>1.0769379148217875</v>
      </c>
      <c r="AH3">
        <v>9.0252913070152707E-2</v>
      </c>
      <c r="AI3">
        <v>2.3030745095420954E-2</v>
      </c>
      <c r="AJ3">
        <v>0.90361102238434854</v>
      </c>
      <c r="AK3">
        <v>5.4752334352686262E-2</v>
      </c>
      <c r="AL3">
        <v>1.5547129109399933E-2</v>
      </c>
    </row>
    <row r="4" spans="1:38" x14ac:dyDescent="0.2">
      <c r="A4">
        <v>0.05</v>
      </c>
      <c r="B4">
        <v>2.63E-2</v>
      </c>
      <c r="C4">
        <v>1.1999999999999899E-3</v>
      </c>
      <c r="D4">
        <v>1.7485000000000001E-2</v>
      </c>
      <c r="E4">
        <v>1.2449999999999898E-3</v>
      </c>
      <c r="F4">
        <v>0.3</v>
      </c>
      <c r="I4">
        <v>0.3</v>
      </c>
      <c r="J4">
        <v>0.05</v>
      </c>
      <c r="K4">
        <v>0.88668000000000002</v>
      </c>
      <c r="L4">
        <v>4.6086000000000002E-2</v>
      </c>
      <c r="M4">
        <v>2.5026E-2</v>
      </c>
      <c r="N4">
        <v>4.6092000000000003E-4</v>
      </c>
      <c r="O4">
        <v>1.9439000000000001E-2</v>
      </c>
      <c r="P4">
        <v>5.5190000000000003E-4</v>
      </c>
      <c r="R4" s="1">
        <f t="shared" si="0"/>
        <v>1.0509070566610725</v>
      </c>
      <c r="S4" s="1">
        <f t="shared" si="1"/>
        <v>5.1709188934948566E-2</v>
      </c>
      <c r="T4">
        <f t="shared" si="2"/>
        <v>373.99392544255483</v>
      </c>
      <c r="U4" s="1">
        <f t="shared" si="3"/>
        <v>0.89948042594783684</v>
      </c>
      <c r="V4" s="1">
        <f t="shared" si="4"/>
        <v>6.8950112925845644E-2</v>
      </c>
      <c r="W4">
        <f t="shared" si="5"/>
        <v>210.3439554409095</v>
      </c>
      <c r="AG4">
        <v>1.0634961734511286</v>
      </c>
      <c r="AH4">
        <v>0.18186977477153182</v>
      </c>
      <c r="AI4">
        <v>4.9322529877526236E-2</v>
      </c>
      <c r="AJ4">
        <v>0.96948342595026871</v>
      </c>
      <c r="AK4">
        <v>6.0086055454731967E-2</v>
      </c>
      <c r="AL4">
        <v>1.3683363784335715E-2</v>
      </c>
    </row>
    <row r="5" spans="1:38" x14ac:dyDescent="0.2">
      <c r="A5">
        <v>0.06</v>
      </c>
      <c r="B5">
        <v>2.7299999999999901E-2</v>
      </c>
      <c r="C5">
        <v>1.4E-3</v>
      </c>
      <c r="D5">
        <v>1.9759999999999899E-2</v>
      </c>
      <c r="E5">
        <v>1.34E-3</v>
      </c>
      <c r="F5">
        <v>0.3</v>
      </c>
      <c r="I5">
        <v>0.3</v>
      </c>
      <c r="J5">
        <v>0.06</v>
      </c>
      <c r="K5">
        <v>0.90654999999999997</v>
      </c>
      <c r="L5">
        <v>5.6134999999999997E-2</v>
      </c>
      <c r="M5">
        <v>2.6577E-2</v>
      </c>
      <c r="N5">
        <v>5.5535999999999997E-4</v>
      </c>
      <c r="O5">
        <v>2.1742999999999998E-2</v>
      </c>
      <c r="P5">
        <v>6.4824999999999995E-4</v>
      </c>
      <c r="R5" s="1">
        <f t="shared" si="0"/>
        <v>1.0272039733604208</v>
      </c>
      <c r="S5" s="1">
        <f t="shared" si="1"/>
        <v>5.6882458764416027E-2</v>
      </c>
      <c r="T5">
        <f t="shared" si="2"/>
        <v>309.06034045829921</v>
      </c>
      <c r="U5" s="1">
        <f t="shared" si="3"/>
        <v>0.90879823391435866</v>
      </c>
      <c r="V5" s="1">
        <f t="shared" si="4"/>
        <v>6.7322217942547183E-2</v>
      </c>
      <c r="W5">
        <f t="shared" si="5"/>
        <v>220.63945145210647</v>
      </c>
    </row>
    <row r="6" spans="1:38" x14ac:dyDescent="0.2">
      <c r="A6">
        <v>7.0000000000000007E-2</v>
      </c>
      <c r="B6">
        <v>2.62999999999999E-2</v>
      </c>
      <c r="C6">
        <v>1.4E-3</v>
      </c>
      <c r="D6">
        <v>2.034E-2</v>
      </c>
      <c r="E6">
        <v>1.3699999999999899E-3</v>
      </c>
      <c r="F6">
        <v>0.3</v>
      </c>
      <c r="I6">
        <v>0.3</v>
      </c>
      <c r="J6">
        <v>7.0000000000000007E-2</v>
      </c>
      <c r="K6">
        <v>0.92661000000000004</v>
      </c>
      <c r="L6">
        <v>6.6193000000000002E-2</v>
      </c>
      <c r="M6">
        <v>2.5297E-2</v>
      </c>
      <c r="N6">
        <v>5.9210000000000003E-4</v>
      </c>
      <c r="O6">
        <v>2.3302E-2</v>
      </c>
      <c r="P6">
        <v>7.0144000000000001E-4</v>
      </c>
      <c r="R6" s="1">
        <f t="shared" si="0"/>
        <v>1.0396489702336207</v>
      </c>
      <c r="S6" s="1">
        <f t="shared" si="1"/>
        <v>6.0456077098011672E-2</v>
      </c>
      <c r="T6">
        <f t="shared" si="2"/>
        <v>273.60250789232884</v>
      </c>
      <c r="U6" s="1">
        <f t="shared" si="3"/>
        <v>0.87288644751523481</v>
      </c>
      <c r="V6" s="1">
        <f t="shared" si="4"/>
        <v>6.4397667533372921E-2</v>
      </c>
      <c r="W6">
        <f t="shared" si="5"/>
        <v>241.13470756994468</v>
      </c>
    </row>
    <row r="7" spans="1:38" x14ac:dyDescent="0.2">
      <c r="A7">
        <v>0.08</v>
      </c>
      <c r="B7">
        <v>2.5599999999999897E-2</v>
      </c>
      <c r="C7">
        <v>2.3999999999999998E-3</v>
      </c>
      <c r="D7">
        <v>1.7689999999999897E-2</v>
      </c>
      <c r="E7">
        <v>2.8599999999999997E-3</v>
      </c>
      <c r="F7">
        <v>0.3</v>
      </c>
      <c r="I7">
        <v>0.3</v>
      </c>
      <c r="J7">
        <v>0.08</v>
      </c>
      <c r="K7">
        <v>0.94688000000000005</v>
      </c>
      <c r="L7">
        <v>7.6260999999999995E-2</v>
      </c>
      <c r="M7">
        <v>2.3764E-2</v>
      </c>
      <c r="N7">
        <v>5.5197999999999998E-4</v>
      </c>
      <c r="O7">
        <v>2.1839000000000001E-2</v>
      </c>
      <c r="P7">
        <v>6.9337999999999995E-4</v>
      </c>
      <c r="R7" s="1">
        <f t="shared" si="0"/>
        <v>1.0772597205857557</v>
      </c>
      <c r="S7" s="1">
        <f t="shared" si="1"/>
        <v>0.10404668584019038</v>
      </c>
      <c r="T7">
        <f t="shared" si="2"/>
        <v>92.372670077585866</v>
      </c>
      <c r="U7" s="1">
        <f t="shared" si="3"/>
        <v>0.81001877375337228</v>
      </c>
      <c r="V7" s="1">
        <f t="shared" si="4"/>
        <v>0.13345973658338015</v>
      </c>
      <c r="W7">
        <f t="shared" si="5"/>
        <v>56.143498730390569</v>
      </c>
    </row>
    <row r="8" spans="1:38" x14ac:dyDescent="0.2">
      <c r="A8">
        <v>0.09</v>
      </c>
      <c r="B8">
        <v>2.3600000000000003E-2</v>
      </c>
      <c r="C8">
        <v>2E-3</v>
      </c>
      <c r="D8">
        <v>1.44E-2</v>
      </c>
      <c r="E8">
        <v>2.3699999999999897E-3</v>
      </c>
      <c r="F8">
        <v>0.3</v>
      </c>
      <c r="I8">
        <v>0.3</v>
      </c>
      <c r="J8">
        <v>0.09</v>
      </c>
      <c r="K8">
        <v>0.96735000000000004</v>
      </c>
      <c r="L8">
        <v>8.6336999999999997E-2</v>
      </c>
      <c r="M8">
        <v>2.1484E-2</v>
      </c>
      <c r="N8">
        <v>4.7575999999999998E-4</v>
      </c>
      <c r="O8">
        <v>1.8737E-2</v>
      </c>
      <c r="P8">
        <v>5.9223999999999995E-4</v>
      </c>
      <c r="R8" s="1">
        <f t="shared" si="0"/>
        <v>1.098491900949544</v>
      </c>
      <c r="S8" s="1">
        <f t="shared" si="1"/>
        <v>9.6218352024319026E-2</v>
      </c>
      <c r="T8">
        <f t="shared" si="2"/>
        <v>108.01502524021896</v>
      </c>
      <c r="U8" s="1">
        <f t="shared" si="3"/>
        <v>0.76853284944227995</v>
      </c>
      <c r="V8" s="1">
        <f t="shared" si="4"/>
        <v>0.1287991865790736</v>
      </c>
      <c r="W8">
        <f t="shared" si="5"/>
        <v>60.280071592493755</v>
      </c>
    </row>
    <row r="9" spans="1:38" x14ac:dyDescent="0.2">
      <c r="A9">
        <v>0.1</v>
      </c>
      <c r="B9">
        <v>1.865E-2</v>
      </c>
      <c r="C9">
        <v>1.15E-3</v>
      </c>
      <c r="D9">
        <v>1.3785E-2</v>
      </c>
      <c r="E9">
        <v>1.0950000000000001E-3</v>
      </c>
      <c r="F9">
        <v>0.3</v>
      </c>
      <c r="I9">
        <v>0.3</v>
      </c>
      <c r="J9">
        <v>0.1</v>
      </c>
      <c r="K9">
        <v>0.98801000000000005</v>
      </c>
      <c r="L9">
        <v>9.6421999999999994E-2</v>
      </c>
      <c r="M9">
        <v>1.8335000000000001E-2</v>
      </c>
      <c r="N9">
        <v>5.4445000000000003E-4</v>
      </c>
      <c r="O9">
        <v>1.6011000000000001E-2</v>
      </c>
      <c r="P9">
        <v>6.4860999999999999E-4</v>
      </c>
      <c r="R9" s="1">
        <f t="shared" si="0"/>
        <v>1.0171802563403327</v>
      </c>
      <c r="S9" s="1">
        <f t="shared" si="1"/>
        <v>6.961552536084302E-2</v>
      </c>
      <c r="T9">
        <f t="shared" si="2"/>
        <v>206.34207337734483</v>
      </c>
      <c r="U9" s="1">
        <f t="shared" si="3"/>
        <v>0.86097058272437699</v>
      </c>
      <c r="V9" s="1">
        <f t="shared" si="4"/>
        <v>7.6770721100272124E-2</v>
      </c>
      <c r="W9">
        <f t="shared" si="5"/>
        <v>169.67144565001394</v>
      </c>
    </row>
    <row r="10" spans="1:38" x14ac:dyDescent="0.2">
      <c r="A10">
        <v>0.11</v>
      </c>
      <c r="B10">
        <v>1.755E-2</v>
      </c>
      <c r="C10">
        <v>1.64999999999999E-3</v>
      </c>
      <c r="D10">
        <v>8.8249999999999995E-3</v>
      </c>
      <c r="E10">
        <v>1.8549999999999999E-3</v>
      </c>
      <c r="F10">
        <v>0.3</v>
      </c>
      <c r="I10">
        <v>0.3</v>
      </c>
      <c r="J10">
        <v>0.11</v>
      </c>
      <c r="K10">
        <v>1.0088999999999999</v>
      </c>
      <c r="L10">
        <v>0.10652</v>
      </c>
      <c r="M10">
        <v>1.6143999999999999E-2</v>
      </c>
      <c r="N10">
        <v>5.8865999999999996E-4</v>
      </c>
      <c r="O10">
        <v>1.2177E-2</v>
      </c>
      <c r="P10">
        <v>7.1681999999999996E-4</v>
      </c>
      <c r="R10" s="1">
        <f t="shared" si="0"/>
        <v>1.0870911793855302</v>
      </c>
      <c r="S10" s="1">
        <f t="shared" si="1"/>
        <v>0.10962262346346455</v>
      </c>
      <c r="T10">
        <f t="shared" si="2"/>
        <v>83.214616760519121</v>
      </c>
      <c r="U10" s="1">
        <f t="shared" si="3"/>
        <v>0.7247269442391393</v>
      </c>
      <c r="V10" s="1">
        <f t="shared" si="4"/>
        <v>0.1581974766434254</v>
      </c>
      <c r="W10">
        <f t="shared" si="5"/>
        <v>39.957738112748949</v>
      </c>
    </row>
    <row r="11" spans="1:38" x14ac:dyDescent="0.2">
      <c r="A11">
        <v>0.12</v>
      </c>
      <c r="B11">
        <v>1.4149999999999901E-2</v>
      </c>
      <c r="C11">
        <v>1.3499999999999901E-3</v>
      </c>
      <c r="D11">
        <v>7.5799999999999999E-3</v>
      </c>
      <c r="E11">
        <v>1.4599999999999999E-3</v>
      </c>
      <c r="F11">
        <v>0.3</v>
      </c>
      <c r="I11">
        <v>0.3</v>
      </c>
      <c r="J11">
        <v>0.12</v>
      </c>
      <c r="K11">
        <v>1.0299</v>
      </c>
      <c r="L11">
        <v>0.11662</v>
      </c>
      <c r="M11">
        <v>1.2322E-2</v>
      </c>
      <c r="N11">
        <v>5.5928E-4</v>
      </c>
      <c r="O11">
        <v>1.0907E-2</v>
      </c>
      <c r="P11">
        <v>6.8247999999999996E-4</v>
      </c>
      <c r="R11" s="1">
        <f t="shared" si="0"/>
        <v>1.148352540172042</v>
      </c>
      <c r="S11" s="1">
        <f t="shared" si="1"/>
        <v>0.12132664375929694</v>
      </c>
      <c r="T11">
        <f t="shared" si="2"/>
        <v>67.934069642963763</v>
      </c>
      <c r="U11" s="1">
        <f t="shared" si="3"/>
        <v>0.69496653525259011</v>
      </c>
      <c r="V11" s="1">
        <f t="shared" si="4"/>
        <v>0.1407453480663047</v>
      </c>
      <c r="W11">
        <f t="shared" si="5"/>
        <v>50.481459340421722</v>
      </c>
    </row>
    <row r="12" spans="1:38" x14ac:dyDescent="0.2">
      <c r="A12">
        <v>0.13</v>
      </c>
      <c r="B12">
        <v>1.14E-2</v>
      </c>
      <c r="C12">
        <v>1.1999999999999899E-3</v>
      </c>
      <c r="D12">
        <v>6.3600000000000002E-3</v>
      </c>
      <c r="E12">
        <v>1.2799999999999901E-3</v>
      </c>
      <c r="F12">
        <v>0.3</v>
      </c>
      <c r="I12">
        <v>0.3</v>
      </c>
      <c r="J12">
        <v>0.13</v>
      </c>
      <c r="K12">
        <v>1.0511999999999999</v>
      </c>
      <c r="L12">
        <v>0.12673000000000001</v>
      </c>
      <c r="M12">
        <v>9.3281000000000006E-3</v>
      </c>
      <c r="N12">
        <v>3.4295000000000001E-4</v>
      </c>
      <c r="O12">
        <v>9.4643000000000001E-3</v>
      </c>
      <c r="P12">
        <v>3.7748000000000002E-4</v>
      </c>
      <c r="R12" s="1">
        <f t="shared" si="0"/>
        <v>1.222113828110762</v>
      </c>
      <c r="S12" s="1">
        <f t="shared" si="1"/>
        <v>0.13626441261467276</v>
      </c>
      <c r="T12">
        <f t="shared" si="2"/>
        <v>53.85612509371866</v>
      </c>
      <c r="U12" s="1">
        <f t="shared" si="3"/>
        <v>0.67199898566190841</v>
      </c>
      <c r="V12" s="1">
        <f t="shared" si="4"/>
        <v>0.13787531058027208</v>
      </c>
      <c r="W12">
        <f t="shared" si="5"/>
        <v>52.604996071330575</v>
      </c>
    </row>
    <row r="13" spans="1:38" x14ac:dyDescent="0.2">
      <c r="A13">
        <v>0.14000000000000001</v>
      </c>
      <c r="B13">
        <v>9.4500000000000001E-3</v>
      </c>
      <c r="C13">
        <v>1.15E-3</v>
      </c>
      <c r="D13">
        <v>5.4450000000000002E-3</v>
      </c>
      <c r="E13">
        <v>1.2149999999999902E-3</v>
      </c>
      <c r="F13">
        <v>0.3</v>
      </c>
      <c r="I13">
        <v>0.3</v>
      </c>
      <c r="J13">
        <v>0.14000000000000001</v>
      </c>
      <c r="K13">
        <v>1.0727</v>
      </c>
      <c r="L13">
        <v>0.13685</v>
      </c>
      <c r="M13">
        <v>8.1408999999999995E-3</v>
      </c>
      <c r="N13">
        <v>3.2833E-4</v>
      </c>
      <c r="O13">
        <v>7.744E-3</v>
      </c>
      <c r="P13">
        <v>4.1844000000000001E-4</v>
      </c>
      <c r="R13" s="1">
        <f t="shared" si="0"/>
        <v>1.1608053163655125</v>
      </c>
      <c r="S13" s="1">
        <f t="shared" si="1"/>
        <v>0.14881777279818437</v>
      </c>
      <c r="T13">
        <f t="shared" si="2"/>
        <v>45.153393866681988</v>
      </c>
      <c r="U13" s="1">
        <f t="shared" si="3"/>
        <v>0.703125</v>
      </c>
      <c r="V13" s="1">
        <f t="shared" si="4"/>
        <v>0.1614301560299376</v>
      </c>
      <c r="W13">
        <f t="shared" si="5"/>
        <v>38.373434125560109</v>
      </c>
    </row>
    <row r="14" spans="1:38" x14ac:dyDescent="0.2">
      <c r="A14">
        <v>0.03</v>
      </c>
      <c r="B14">
        <v>6.8999999999999895E-3</v>
      </c>
      <c r="C14">
        <v>6.9999999999999999E-4</v>
      </c>
      <c r="D14">
        <v>1.0055E-2</v>
      </c>
      <c r="E14">
        <v>5.7499999999999999E-4</v>
      </c>
      <c r="F14">
        <v>0.38</v>
      </c>
      <c r="U14" s="1"/>
    </row>
    <row r="15" spans="1:38" x14ac:dyDescent="0.2">
      <c r="A15">
        <v>0.04</v>
      </c>
      <c r="B15">
        <v>1.095E-2</v>
      </c>
      <c r="C15">
        <v>7.4999999999999904E-4</v>
      </c>
      <c r="D15">
        <v>1.01499999999999E-2</v>
      </c>
      <c r="E15">
        <v>6.0999999999999997E-4</v>
      </c>
      <c r="F15">
        <v>0.38</v>
      </c>
      <c r="I15">
        <v>0.38</v>
      </c>
      <c r="J15">
        <v>0.04</v>
      </c>
      <c r="K15">
        <v>0.81262000000000001</v>
      </c>
      <c r="L15">
        <v>3.3612000000000003E-2</v>
      </c>
      <c r="M15">
        <v>1.0328E-2</v>
      </c>
      <c r="N15">
        <v>2.4523999999999998E-4</v>
      </c>
      <c r="O15">
        <v>1.0028E-2</v>
      </c>
      <c r="P15">
        <v>3.0205999999999999E-4</v>
      </c>
      <c r="R15" s="2">
        <f t="shared" ref="R15:R48" si="6">B15/M15</f>
        <v>1.0602246320681641</v>
      </c>
      <c r="S15" s="2">
        <f t="shared" ref="S15:S48" si="7">R15*SQRT((C15/B15)^2+(N15/M15)^2)</f>
        <v>7.6858200322519818E-2</v>
      </c>
      <c r="T15">
        <f t="shared" si="2"/>
        <v>169.28542882628199</v>
      </c>
      <c r="U15" s="1">
        <f t="shared" ref="U15:U48" si="8">D15/O15</f>
        <v>1.0121659353809234</v>
      </c>
      <c r="V15" s="2">
        <f t="shared" ref="V15:V48" si="9">U15*SQRT((E15/D15)^2+(P15/O15)^2)</f>
        <v>6.8042449264698934E-2</v>
      </c>
      <c r="W15">
        <f t="shared" si="5"/>
        <v>215.9932223878015</v>
      </c>
      <c r="Y15">
        <f>SUMPRODUCT(R15:R32,T15:T32) /SUM(T15:T32)</f>
        <v>1.0769379148217875</v>
      </c>
      <c r="Z15" cm="1">
        <f t="array" ref="Z15">SQRT(SUM(POWER((R15:R32-Y15),2))/(ROWS(R15:R32)-1))</f>
        <v>9.0252913070152707E-2</v>
      </c>
      <c r="AA15">
        <f>1/SQRT(SUM(T15:T32))</f>
        <v>2.3030745095420954E-2</v>
      </c>
      <c r="AB15">
        <f>SUMPRODUCT(U15:U32,W15:W32) /SUM(W15:W32)</f>
        <v>0.90361102238434854</v>
      </c>
      <c r="AC15" cm="1">
        <f t="array" ref="AC15">SQRT(SUM(POWER((U15:U32-AB15),2))/(ROWS(U15:U32)-1))</f>
        <v>5.4752334352686262E-2</v>
      </c>
      <c r="AD15">
        <f>1/SQRT(SUM(W15:W32))</f>
        <v>1.5547129109399933E-2</v>
      </c>
    </row>
    <row r="16" spans="1:38" x14ac:dyDescent="0.2">
      <c r="A16">
        <v>0.05</v>
      </c>
      <c r="B16">
        <v>1.2749999999999999E-2</v>
      </c>
      <c r="C16">
        <v>7.4999999999999904E-4</v>
      </c>
      <c r="D16">
        <v>1.329E-2</v>
      </c>
      <c r="E16">
        <v>7.3999999999999999E-4</v>
      </c>
      <c r="F16">
        <v>0.38</v>
      </c>
      <c r="I16">
        <v>0.38</v>
      </c>
      <c r="J16">
        <v>0.05</v>
      </c>
      <c r="K16">
        <v>0.83228000000000002</v>
      </c>
      <c r="L16">
        <v>4.3652999999999997E-2</v>
      </c>
      <c r="M16">
        <v>1.1509E-2</v>
      </c>
      <c r="N16">
        <v>3.6384999999999998E-4</v>
      </c>
      <c r="O16">
        <v>1.5277000000000001E-2</v>
      </c>
      <c r="P16">
        <v>5.0149999999999999E-4</v>
      </c>
      <c r="R16" s="2">
        <f t="shared" si="6"/>
        <v>1.1078286558345642</v>
      </c>
      <c r="S16" s="2">
        <f t="shared" si="7"/>
        <v>7.3981699984054114E-2</v>
      </c>
      <c r="T16">
        <f t="shared" si="2"/>
        <v>182.70540148909015</v>
      </c>
      <c r="U16" s="1">
        <f t="shared" si="8"/>
        <v>0.8699351967009229</v>
      </c>
      <c r="V16" s="2">
        <f t="shared" si="9"/>
        <v>5.6230324795093461E-2</v>
      </c>
      <c r="W16">
        <f t="shared" si="5"/>
        <v>316.27059517740298</v>
      </c>
    </row>
    <row r="17" spans="1:23" x14ac:dyDescent="0.2">
      <c r="A17">
        <v>0.06</v>
      </c>
      <c r="B17">
        <v>1.4199999999999999E-2</v>
      </c>
      <c r="C17">
        <v>8.9999999999999998E-4</v>
      </c>
      <c r="D17">
        <v>1.6555E-2</v>
      </c>
      <c r="E17">
        <v>8.6500000000000097E-4</v>
      </c>
      <c r="F17">
        <v>0.38</v>
      </c>
      <c r="I17">
        <v>0.38</v>
      </c>
      <c r="J17">
        <v>0.06</v>
      </c>
      <c r="K17">
        <v>0.85214999999999996</v>
      </c>
      <c r="L17">
        <v>5.3702E-2</v>
      </c>
      <c r="M17">
        <v>1.4012999999999999E-2</v>
      </c>
      <c r="N17">
        <v>2.9828E-4</v>
      </c>
      <c r="O17">
        <v>1.7217E-2</v>
      </c>
      <c r="P17">
        <v>3.8853999999999999E-4</v>
      </c>
      <c r="R17" s="2">
        <f t="shared" si="6"/>
        <v>1.0133447513023621</v>
      </c>
      <c r="S17" s="2">
        <f t="shared" si="7"/>
        <v>6.7751412554481028E-2</v>
      </c>
      <c r="T17">
        <f t="shared" si="2"/>
        <v>217.85287287020603</v>
      </c>
      <c r="U17" s="1">
        <f t="shared" si="8"/>
        <v>0.96154963117848646</v>
      </c>
      <c r="V17" s="2">
        <f t="shared" si="9"/>
        <v>5.4726876338672105E-2</v>
      </c>
      <c r="W17">
        <f t="shared" si="5"/>
        <v>333.88636113415822</v>
      </c>
    </row>
    <row r="18" spans="1:23" x14ac:dyDescent="0.2">
      <c r="A18">
        <v>7.0000000000000007E-2</v>
      </c>
      <c r="B18">
        <v>1.6E-2</v>
      </c>
      <c r="C18">
        <v>1E-3</v>
      </c>
      <c r="D18">
        <v>1.9274999999999997E-2</v>
      </c>
      <c r="E18">
        <v>1.0249999999999999E-3</v>
      </c>
      <c r="F18">
        <v>0.38</v>
      </c>
      <c r="I18">
        <v>0.38</v>
      </c>
      <c r="J18">
        <v>7.0000000000000007E-2</v>
      </c>
      <c r="K18">
        <v>0.87221000000000004</v>
      </c>
      <c r="L18">
        <v>6.3759999999999997E-2</v>
      </c>
      <c r="M18">
        <v>1.5244000000000001E-2</v>
      </c>
      <c r="N18">
        <v>3.3699000000000001E-4</v>
      </c>
      <c r="O18">
        <v>2.0896999999999999E-2</v>
      </c>
      <c r="P18">
        <v>4.4114000000000002E-4</v>
      </c>
      <c r="R18" s="2">
        <f t="shared" si="6"/>
        <v>1.0495932826029912</v>
      </c>
      <c r="S18" s="2">
        <f t="shared" si="7"/>
        <v>6.9582121774168934E-2</v>
      </c>
      <c r="T18">
        <f t="shared" si="2"/>
        <v>206.54023404215096</v>
      </c>
      <c r="U18" s="1">
        <f t="shared" si="8"/>
        <v>0.92238120304349902</v>
      </c>
      <c r="V18" s="2">
        <f t="shared" si="9"/>
        <v>5.2773649398278694E-2</v>
      </c>
      <c r="W18">
        <f t="shared" si="5"/>
        <v>359.05894045084875</v>
      </c>
    </row>
    <row r="19" spans="1:23" x14ac:dyDescent="0.2">
      <c r="A19">
        <v>0.08</v>
      </c>
      <c r="B19">
        <v>1.72E-2</v>
      </c>
      <c r="C19">
        <v>1.1999999999999899E-3</v>
      </c>
      <c r="D19">
        <v>2.16449999999999E-2</v>
      </c>
      <c r="E19">
        <v>1.2149999999999902E-3</v>
      </c>
      <c r="F19">
        <v>0.38</v>
      </c>
      <c r="I19">
        <v>0.38</v>
      </c>
      <c r="J19">
        <v>0.08</v>
      </c>
      <c r="K19">
        <v>0.89248000000000005</v>
      </c>
      <c r="L19">
        <v>7.3827000000000004E-2</v>
      </c>
      <c r="M19">
        <v>1.6608000000000001E-2</v>
      </c>
      <c r="N19">
        <v>4.2202E-4</v>
      </c>
      <c r="O19">
        <v>2.3276999999999999E-2</v>
      </c>
      <c r="P19">
        <v>5.2369999999999999E-4</v>
      </c>
      <c r="R19" s="2">
        <f t="shared" si="6"/>
        <v>1.035645472061657</v>
      </c>
      <c r="S19" s="2">
        <f t="shared" si="7"/>
        <v>7.6897613237122478E-2</v>
      </c>
      <c r="T19">
        <f t="shared" si="2"/>
        <v>169.11194301741253</v>
      </c>
      <c r="U19" s="1">
        <f t="shared" si="8"/>
        <v>0.92988787214846846</v>
      </c>
      <c r="V19" s="2">
        <f t="shared" si="9"/>
        <v>5.6234058297519693E-2</v>
      </c>
      <c r="W19">
        <f t="shared" si="5"/>
        <v>316.22860077499507</v>
      </c>
    </row>
    <row r="20" spans="1:23" x14ac:dyDescent="0.2">
      <c r="A20">
        <v>0.09</v>
      </c>
      <c r="B20">
        <v>1.8149999999999999E-2</v>
      </c>
      <c r="C20">
        <v>1.15E-3</v>
      </c>
      <c r="D20">
        <v>2.2734999999999998E-2</v>
      </c>
      <c r="E20">
        <v>1.2149999999999902E-3</v>
      </c>
      <c r="F20">
        <v>0.38</v>
      </c>
      <c r="I20">
        <v>0.38</v>
      </c>
      <c r="J20">
        <v>0.09</v>
      </c>
      <c r="K20">
        <v>0.91295000000000004</v>
      </c>
      <c r="L20">
        <v>8.3903000000000005E-2</v>
      </c>
      <c r="M20">
        <v>1.7433000000000001E-2</v>
      </c>
      <c r="N20">
        <v>4.7150000000000002E-4</v>
      </c>
      <c r="O20">
        <v>2.4618000000000001E-2</v>
      </c>
      <c r="P20">
        <v>6.0488000000000002E-4</v>
      </c>
      <c r="R20" s="2">
        <f t="shared" si="6"/>
        <v>1.0411288934778866</v>
      </c>
      <c r="S20" s="2">
        <f t="shared" si="7"/>
        <v>7.1725464850307105E-2</v>
      </c>
      <c r="T20">
        <f t="shared" si="2"/>
        <v>194.38075150949476</v>
      </c>
      <c r="U20" s="1">
        <f t="shared" si="8"/>
        <v>0.92351125192948236</v>
      </c>
      <c r="V20" s="2">
        <f t="shared" si="9"/>
        <v>5.4320563571327016E-2</v>
      </c>
      <c r="W20">
        <f t="shared" si="5"/>
        <v>338.89991964992663</v>
      </c>
    </row>
    <row r="21" spans="1:23" x14ac:dyDescent="0.2">
      <c r="A21">
        <v>0.1</v>
      </c>
      <c r="B21">
        <v>1.7649999999999999E-2</v>
      </c>
      <c r="C21">
        <v>1.3500000000000001E-3</v>
      </c>
      <c r="D21">
        <v>2.3375E-2</v>
      </c>
      <c r="E21">
        <v>1.3449999999999901E-3</v>
      </c>
      <c r="F21">
        <v>0.38</v>
      </c>
      <c r="I21">
        <v>0.38</v>
      </c>
      <c r="J21">
        <v>0.1</v>
      </c>
      <c r="K21">
        <v>0.93361000000000005</v>
      </c>
      <c r="L21">
        <v>9.3988000000000002E-2</v>
      </c>
      <c r="M21">
        <v>1.6655E-2</v>
      </c>
      <c r="N21">
        <v>5.3855000000000005E-4</v>
      </c>
      <c r="O21">
        <v>2.5666999999999999E-2</v>
      </c>
      <c r="P21">
        <v>6.7476000000000005E-4</v>
      </c>
      <c r="R21" s="2">
        <f t="shared" si="6"/>
        <v>1.0597418192734913</v>
      </c>
      <c r="S21" s="2">
        <f t="shared" si="7"/>
        <v>8.8002564977560385E-2</v>
      </c>
      <c r="T21">
        <f t="shared" si="2"/>
        <v>129.12470397779856</v>
      </c>
      <c r="U21" s="1">
        <f t="shared" si="8"/>
        <v>0.91070245840963104</v>
      </c>
      <c r="V21" s="2">
        <f t="shared" si="9"/>
        <v>5.7612105090492513E-2</v>
      </c>
      <c r="W21">
        <f t="shared" si="5"/>
        <v>301.28153236512293</v>
      </c>
    </row>
    <row r="22" spans="1:23" x14ac:dyDescent="0.2">
      <c r="A22">
        <v>0.11</v>
      </c>
      <c r="B22">
        <v>1.755E-2</v>
      </c>
      <c r="C22">
        <v>1.25E-3</v>
      </c>
      <c r="D22">
        <v>2.1989999999999999E-2</v>
      </c>
      <c r="E22">
        <v>1.2499999999999901E-3</v>
      </c>
      <c r="F22">
        <v>0.38</v>
      </c>
      <c r="I22">
        <v>0.38</v>
      </c>
      <c r="J22">
        <v>0.11</v>
      </c>
      <c r="K22">
        <v>0.95448</v>
      </c>
      <c r="L22">
        <v>0.10408000000000001</v>
      </c>
      <c r="M22">
        <v>1.5004999999999999E-2</v>
      </c>
      <c r="N22">
        <v>5.5570999999999995E-4</v>
      </c>
      <c r="O22">
        <v>2.5843000000000001E-2</v>
      </c>
      <c r="P22">
        <v>6.9061999999999997E-4</v>
      </c>
      <c r="R22" s="2">
        <f t="shared" si="6"/>
        <v>1.1696101299566812</v>
      </c>
      <c r="S22" s="2">
        <f t="shared" si="7"/>
        <v>9.3894281434910881E-2</v>
      </c>
      <c r="T22">
        <f t="shared" si="2"/>
        <v>113.42837613042052</v>
      </c>
      <c r="U22" s="1">
        <f t="shared" si="8"/>
        <v>0.8509074023913632</v>
      </c>
      <c r="V22" s="2">
        <f t="shared" si="9"/>
        <v>5.3447535858175133E-2</v>
      </c>
      <c r="W22">
        <f t="shared" si="5"/>
        <v>350.06172244223603</v>
      </c>
    </row>
    <row r="23" spans="1:23" x14ac:dyDescent="0.2">
      <c r="A23">
        <v>0.12</v>
      </c>
      <c r="B23">
        <v>1.66E-2</v>
      </c>
      <c r="C23">
        <v>1.1999999999999899E-3</v>
      </c>
      <c r="D23">
        <v>2.0324999999999999E-2</v>
      </c>
      <c r="E23">
        <v>1.1850000000000001E-3</v>
      </c>
      <c r="F23">
        <v>0.38</v>
      </c>
      <c r="I23">
        <v>0.38</v>
      </c>
      <c r="J23">
        <v>0.12</v>
      </c>
      <c r="K23">
        <v>0.97553999999999996</v>
      </c>
      <c r="L23">
        <v>0.11419</v>
      </c>
      <c r="M23">
        <v>1.4064999999999999E-2</v>
      </c>
      <c r="N23">
        <v>4.8741000000000002E-4</v>
      </c>
      <c r="O23">
        <v>2.419E-2</v>
      </c>
      <c r="P23">
        <v>6.5961999999999998E-4</v>
      </c>
      <c r="R23" s="2">
        <f t="shared" si="6"/>
        <v>1.1802346249555635</v>
      </c>
      <c r="S23" s="2">
        <f t="shared" si="7"/>
        <v>9.461499567016729E-2</v>
      </c>
      <c r="T23">
        <f t="shared" si="2"/>
        <v>111.70691351709885</v>
      </c>
      <c r="U23" s="1">
        <f t="shared" si="8"/>
        <v>0.84022323274080202</v>
      </c>
      <c r="V23" s="2">
        <f t="shared" si="9"/>
        <v>5.4080300972560884E-2</v>
      </c>
      <c r="W23">
        <f t="shared" si="5"/>
        <v>341.91787063587356</v>
      </c>
    </row>
    <row r="24" spans="1:23" x14ac:dyDescent="0.2">
      <c r="A24">
        <v>0.13</v>
      </c>
      <c r="B24">
        <v>1.4449999999999999E-2</v>
      </c>
      <c r="C24">
        <v>1.15E-3</v>
      </c>
      <c r="D24">
        <v>1.83E-2</v>
      </c>
      <c r="E24">
        <v>1.09E-3</v>
      </c>
      <c r="F24">
        <v>0.38</v>
      </c>
      <c r="I24">
        <v>0.38</v>
      </c>
      <c r="J24">
        <v>0.13</v>
      </c>
      <c r="K24">
        <v>0.99680999999999997</v>
      </c>
      <c r="L24">
        <v>0.12429999999999999</v>
      </c>
      <c r="M24">
        <v>1.4019999999999999E-2</v>
      </c>
      <c r="N24">
        <v>3.8550999999999999E-4</v>
      </c>
      <c r="O24">
        <v>1.9515999999999999E-2</v>
      </c>
      <c r="P24">
        <v>4.8411999999999999E-4</v>
      </c>
      <c r="R24" s="2">
        <f t="shared" si="6"/>
        <v>1.0306704707560628</v>
      </c>
      <c r="S24" s="2">
        <f t="shared" si="7"/>
        <v>8.6783613532147669E-2</v>
      </c>
      <c r="T24">
        <f t="shared" si="2"/>
        <v>132.77751642223058</v>
      </c>
      <c r="U24" s="1">
        <f t="shared" si="8"/>
        <v>0.93769215003074413</v>
      </c>
      <c r="V24" s="2">
        <f t="shared" si="9"/>
        <v>6.0501749363357608E-2</v>
      </c>
      <c r="W24">
        <f t="shared" si="5"/>
        <v>273.18958331111588</v>
      </c>
    </row>
    <row r="25" spans="1:23" x14ac:dyDescent="0.2">
      <c r="A25">
        <v>0.14000000000000001</v>
      </c>
      <c r="B25">
        <v>1.2699999999999999E-2</v>
      </c>
      <c r="C25">
        <v>1.1000000000000001E-3</v>
      </c>
      <c r="D25">
        <v>1.583E-2</v>
      </c>
      <c r="E25">
        <v>9.8999999999999999E-4</v>
      </c>
      <c r="F25">
        <v>0.38</v>
      </c>
      <c r="I25">
        <v>0.38</v>
      </c>
      <c r="J25">
        <v>0.14000000000000001</v>
      </c>
      <c r="K25">
        <v>1.0183</v>
      </c>
      <c r="L25">
        <v>0.13442000000000001</v>
      </c>
      <c r="M25">
        <v>1.1176E-2</v>
      </c>
      <c r="N25">
        <v>3.8571999999999999E-4</v>
      </c>
      <c r="O25">
        <v>1.7957999999999998E-2</v>
      </c>
      <c r="P25">
        <v>4.6204999999999998E-4</v>
      </c>
      <c r="R25" s="2">
        <f t="shared" si="6"/>
        <v>1.1363636363636362</v>
      </c>
      <c r="S25" s="2">
        <f t="shared" si="7"/>
        <v>0.1059513847170928</v>
      </c>
      <c r="T25">
        <f t="shared" si="2"/>
        <v>89.081336855857103</v>
      </c>
      <c r="U25" s="1">
        <f t="shared" si="8"/>
        <v>0.88150128076623246</v>
      </c>
      <c r="V25" s="2">
        <f t="shared" si="9"/>
        <v>5.9611865104553387E-2</v>
      </c>
      <c r="W25">
        <f t="shared" si="5"/>
        <v>281.40679501902969</v>
      </c>
    </row>
    <row r="26" spans="1:23" x14ac:dyDescent="0.2">
      <c r="A26">
        <v>0.15</v>
      </c>
      <c r="B26">
        <v>1.055E-2</v>
      </c>
      <c r="C26">
        <v>1.3500000000000001E-3</v>
      </c>
      <c r="D26">
        <v>1.3644999999999999E-2</v>
      </c>
      <c r="E26">
        <v>1.5049999999999998E-3</v>
      </c>
      <c r="F26">
        <v>0.38</v>
      </c>
      <c r="I26">
        <v>0.38</v>
      </c>
      <c r="J26">
        <v>0.15</v>
      </c>
      <c r="K26">
        <v>1.0399</v>
      </c>
      <c r="L26">
        <v>0.14455000000000001</v>
      </c>
      <c r="M26">
        <v>9.3524999999999997E-3</v>
      </c>
      <c r="N26">
        <v>3.7994E-4</v>
      </c>
      <c r="O26">
        <v>1.5913E-2</v>
      </c>
      <c r="P26">
        <v>4.3438E-4</v>
      </c>
      <c r="R26" s="2">
        <f t="shared" si="6"/>
        <v>1.1280406308473672</v>
      </c>
      <c r="S26" s="2">
        <f t="shared" si="7"/>
        <v>0.15144608099421963</v>
      </c>
      <c r="T26">
        <f t="shared" si="2"/>
        <v>43.599742170529431</v>
      </c>
      <c r="U26" s="1">
        <f t="shared" si="8"/>
        <v>0.85747502042355306</v>
      </c>
      <c r="V26" s="2">
        <f t="shared" si="9"/>
        <v>9.7430154196515267E-2</v>
      </c>
      <c r="W26">
        <f t="shared" si="5"/>
        <v>105.34482844951921</v>
      </c>
    </row>
    <row r="27" spans="1:23" x14ac:dyDescent="0.2">
      <c r="A27">
        <v>0.16</v>
      </c>
      <c r="B27">
        <v>8.5000000000000006E-3</v>
      </c>
      <c r="C27">
        <v>1.1999999999999999E-3</v>
      </c>
      <c r="D27">
        <v>1.23649999999999E-2</v>
      </c>
      <c r="E27">
        <v>1.4450000000000001E-3</v>
      </c>
      <c r="F27">
        <v>0.38</v>
      </c>
      <c r="I27">
        <v>0.38</v>
      </c>
      <c r="J27">
        <v>0.16</v>
      </c>
      <c r="K27">
        <v>1.0618000000000001</v>
      </c>
      <c r="L27">
        <v>0.15468999999999999</v>
      </c>
      <c r="M27">
        <v>7.9363000000000003E-3</v>
      </c>
      <c r="N27">
        <v>3.5209999999999999E-4</v>
      </c>
      <c r="O27">
        <v>1.3717E-2</v>
      </c>
      <c r="P27">
        <v>3.9539000000000002E-4</v>
      </c>
      <c r="R27" s="2">
        <f t="shared" si="6"/>
        <v>1.0710280609351965</v>
      </c>
      <c r="S27" s="2">
        <f t="shared" si="7"/>
        <v>0.15849448267415142</v>
      </c>
      <c r="T27">
        <f t="shared" si="2"/>
        <v>39.808123193141896</v>
      </c>
      <c r="U27" s="1">
        <f t="shared" si="8"/>
        <v>0.90143617409053733</v>
      </c>
      <c r="V27" s="2">
        <f t="shared" si="9"/>
        <v>0.10850095216884932</v>
      </c>
      <c r="W27">
        <f t="shared" si="5"/>
        <v>84.944037777953412</v>
      </c>
    </row>
    <row r="28" spans="1:23" x14ac:dyDescent="0.2">
      <c r="A28">
        <v>0.17</v>
      </c>
      <c r="B28">
        <v>7.4000000000000003E-3</v>
      </c>
      <c r="C28">
        <v>1.1000000000000001E-3</v>
      </c>
      <c r="D28">
        <v>1.082E-2</v>
      </c>
      <c r="E28">
        <v>1.25E-3</v>
      </c>
      <c r="F28">
        <v>0.38</v>
      </c>
      <c r="I28">
        <v>0.38</v>
      </c>
      <c r="J28">
        <v>0.17</v>
      </c>
      <c r="K28">
        <v>1.0839000000000001</v>
      </c>
      <c r="L28">
        <v>0.16483</v>
      </c>
      <c r="M28">
        <v>6.3324999999999996E-3</v>
      </c>
      <c r="N28">
        <v>3.1559999999999997E-4</v>
      </c>
      <c r="O28">
        <v>1.2755000000000001E-2</v>
      </c>
      <c r="P28">
        <v>3.6753000000000003E-4</v>
      </c>
      <c r="R28" s="2">
        <f t="shared" si="6"/>
        <v>1.1685748124753259</v>
      </c>
      <c r="S28" s="2">
        <f t="shared" si="7"/>
        <v>0.18321024808390546</v>
      </c>
      <c r="T28">
        <f t="shared" si="2"/>
        <v>29.792055915864591</v>
      </c>
      <c r="U28" s="1">
        <f t="shared" si="8"/>
        <v>0.84829478635829081</v>
      </c>
      <c r="V28" s="2">
        <f t="shared" si="9"/>
        <v>0.10100310208670166</v>
      </c>
      <c r="W28">
        <f t="shared" si="5"/>
        <v>98.023583508523188</v>
      </c>
    </row>
    <row r="29" spans="1:23" x14ac:dyDescent="0.2">
      <c r="A29">
        <v>0.18</v>
      </c>
      <c r="B29">
        <v>6.7999999999999996E-3</v>
      </c>
      <c r="C29">
        <v>1E-3</v>
      </c>
      <c r="D29">
        <v>9.0899999999999991E-3</v>
      </c>
      <c r="E29">
        <v>1.05999999999999E-3</v>
      </c>
      <c r="F29">
        <v>0.38</v>
      </c>
      <c r="I29">
        <v>0.38</v>
      </c>
      <c r="J29">
        <v>0.18</v>
      </c>
      <c r="K29">
        <v>1.1061000000000001</v>
      </c>
      <c r="L29">
        <v>0.17499000000000001</v>
      </c>
      <c r="M29">
        <v>5.1812999999999998E-3</v>
      </c>
      <c r="N29">
        <v>2.9544E-4</v>
      </c>
      <c r="O29">
        <v>1.1479E-2</v>
      </c>
      <c r="P29">
        <v>3.6404999999999999E-4</v>
      </c>
      <c r="R29" s="2">
        <f t="shared" si="6"/>
        <v>1.3124119429486809</v>
      </c>
      <c r="S29" s="2">
        <f t="shared" si="7"/>
        <v>0.2070020558927243</v>
      </c>
      <c r="T29">
        <f t="shared" si="2"/>
        <v>23.337303941704626</v>
      </c>
      <c r="U29" s="1">
        <f t="shared" si="8"/>
        <v>0.7918808258559108</v>
      </c>
      <c r="V29" s="2">
        <f t="shared" si="9"/>
        <v>9.569670885072043E-2</v>
      </c>
      <c r="W29">
        <f t="shared" si="5"/>
        <v>109.19581547803655</v>
      </c>
    </row>
    <row r="30" spans="1:23" x14ac:dyDescent="0.2">
      <c r="A30">
        <v>0.19</v>
      </c>
      <c r="B30">
        <v>4.94999999999999E-3</v>
      </c>
      <c r="C30">
        <v>9.4999999999999891E-4</v>
      </c>
      <c r="D30">
        <v>9.6600000000000002E-3</v>
      </c>
      <c r="E30">
        <v>1.1199999999999899E-3</v>
      </c>
      <c r="F30">
        <v>0.38</v>
      </c>
      <c r="I30">
        <v>0.38</v>
      </c>
      <c r="J30">
        <v>0.19</v>
      </c>
      <c r="K30">
        <v>1.1286</v>
      </c>
      <c r="L30">
        <v>0.18515999999999999</v>
      </c>
      <c r="M30">
        <v>3.9754999999999999E-3</v>
      </c>
      <c r="N30">
        <v>3.0995000000000003E-4</v>
      </c>
      <c r="O30">
        <v>1.1429E-2</v>
      </c>
      <c r="P30">
        <v>3.9055999999999997E-4</v>
      </c>
      <c r="R30" s="2">
        <f t="shared" si="6"/>
        <v>1.2451263991950674</v>
      </c>
      <c r="S30" s="2">
        <f t="shared" si="7"/>
        <v>0.2579291373663819</v>
      </c>
      <c r="T30">
        <f t="shared" si="2"/>
        <v>15.031391580144524</v>
      </c>
      <c r="U30" s="1">
        <f t="shared" si="8"/>
        <v>0.84521830431358824</v>
      </c>
      <c r="V30" s="2">
        <f t="shared" si="9"/>
        <v>0.10216423519127256</v>
      </c>
      <c r="W30">
        <f t="shared" si="5"/>
        <v>95.80809911634617</v>
      </c>
    </row>
    <row r="31" spans="1:23" x14ac:dyDescent="0.2">
      <c r="A31">
        <v>0.2</v>
      </c>
      <c r="B31">
        <v>3.5999999999999999E-3</v>
      </c>
      <c r="C31">
        <v>1E-3</v>
      </c>
      <c r="D31">
        <v>1.0525E-2</v>
      </c>
      <c r="E31">
        <v>1.0249999999999999E-3</v>
      </c>
      <c r="F31">
        <v>0.38</v>
      </c>
      <c r="I31">
        <v>0.38</v>
      </c>
      <c r="J31">
        <v>0.2</v>
      </c>
      <c r="K31">
        <v>1.1513</v>
      </c>
      <c r="L31">
        <v>0.19533</v>
      </c>
      <c r="M31">
        <v>3.5038999999999999E-3</v>
      </c>
      <c r="N31">
        <v>2.7059000000000002E-4</v>
      </c>
      <c r="O31">
        <v>1.1102000000000001E-2</v>
      </c>
      <c r="P31">
        <v>3.2017999999999999E-4</v>
      </c>
      <c r="R31" s="2">
        <f t="shared" si="6"/>
        <v>1.0274265818088415</v>
      </c>
      <c r="S31" s="2">
        <f t="shared" si="7"/>
        <v>0.29622020270797678</v>
      </c>
      <c r="T31">
        <f t="shared" si="2"/>
        <v>11.396477840880836</v>
      </c>
      <c r="U31" s="1">
        <f t="shared" si="8"/>
        <v>0.94802738245361184</v>
      </c>
      <c r="V31" s="2">
        <f t="shared" si="9"/>
        <v>9.6288964182307382E-2</v>
      </c>
      <c r="W31">
        <f t="shared" si="5"/>
        <v>107.85666072873605</v>
      </c>
    </row>
    <row r="32" spans="1:23" x14ac:dyDescent="0.2">
      <c r="A32">
        <v>0.21</v>
      </c>
      <c r="B32">
        <v>2.5999999999999999E-3</v>
      </c>
      <c r="C32">
        <v>1E-3</v>
      </c>
      <c r="D32">
        <v>1.10999999999999E-2</v>
      </c>
      <c r="E32">
        <v>1.0899999999999901E-3</v>
      </c>
      <c r="F32">
        <v>0.38</v>
      </c>
      <c r="I32">
        <v>0.38</v>
      </c>
      <c r="J32">
        <v>0.21</v>
      </c>
      <c r="K32">
        <v>1.1740999999999999</v>
      </c>
      <c r="L32">
        <v>0.20551</v>
      </c>
      <c r="M32">
        <v>2.6177000000000001E-3</v>
      </c>
      <c r="N32">
        <v>2.8170000000000002E-4</v>
      </c>
      <c r="O32">
        <v>1.1749000000000001E-2</v>
      </c>
      <c r="P32">
        <v>3.2246999999999999E-4</v>
      </c>
      <c r="R32" s="2">
        <f t="shared" si="6"/>
        <v>0.99323833899988534</v>
      </c>
      <c r="S32" s="2">
        <f t="shared" si="7"/>
        <v>0.39668610160923468</v>
      </c>
      <c r="T32">
        <f t="shared" si="2"/>
        <v>6.3548606334635087</v>
      </c>
      <c r="U32" s="1">
        <f t="shared" si="8"/>
        <v>0.94476125627712138</v>
      </c>
      <c r="V32" s="2">
        <f t="shared" si="9"/>
        <v>9.6329525082054279E-2</v>
      </c>
      <c r="W32">
        <f t="shared" si="5"/>
        <v>107.76585072689338</v>
      </c>
    </row>
    <row r="33" spans="1:30" x14ac:dyDescent="0.2">
      <c r="A33">
        <v>4.4999999999999998E-2</v>
      </c>
      <c r="B33">
        <v>4.8149999999999999E-4</v>
      </c>
      <c r="C33">
        <v>1.485E-4</v>
      </c>
      <c r="D33">
        <v>1.4E-3</v>
      </c>
      <c r="E33">
        <v>1.4999999999999898E-4</v>
      </c>
      <c r="F33">
        <v>0.56999999999999995</v>
      </c>
      <c r="I33">
        <v>0.56999999999999995</v>
      </c>
      <c r="J33">
        <v>4.4999999999999998E-2</v>
      </c>
      <c r="K33">
        <v>0.64193</v>
      </c>
      <c r="L33">
        <v>3.0557999999999998E-2</v>
      </c>
      <c r="M33">
        <v>3.3364000000000001E-4</v>
      </c>
      <c r="N33" s="5">
        <v>9.6547999999999998E-5</v>
      </c>
      <c r="O33">
        <v>1.2141000000000001E-3</v>
      </c>
      <c r="P33" s="5">
        <v>7.7742000000000002E-5</v>
      </c>
      <c r="R33" s="2">
        <f t="shared" si="6"/>
        <v>1.4431722815010191</v>
      </c>
      <c r="S33" s="3">
        <f t="shared" si="7"/>
        <v>0.61033899295825578</v>
      </c>
      <c r="T33">
        <f t="shared" si="2"/>
        <v>2.6844651262739094</v>
      </c>
      <c r="U33" s="1">
        <f t="shared" si="8"/>
        <v>1.1531175356230952</v>
      </c>
      <c r="V33" s="3">
        <f t="shared" si="9"/>
        <v>0.14393090877950726</v>
      </c>
      <c r="W33">
        <f t="shared" si="5"/>
        <v>48.271618988774684</v>
      </c>
      <c r="Y33">
        <f>SUMPRODUCT(R33:R48,T33:T48) /SUM(T33:T48)</f>
        <v>1.0634961734511286</v>
      </c>
      <c r="Z33" cm="1">
        <f t="array" ref="Z33">SQRT(SUM(POWER((R33:R48-Y33),2))/(ROWS(R33:R48)-1))</f>
        <v>0.18186977477153182</v>
      </c>
      <c r="AA33">
        <f>1/SQRT(SUM(T33:T48))</f>
        <v>4.9322529877526236E-2</v>
      </c>
      <c r="AB33">
        <f>SUMPRODUCT(U33:U48,W33:W48) /SUM(W33:W48)</f>
        <v>0.96948342595026871</v>
      </c>
      <c r="AC33" cm="1">
        <f t="array" ref="AC33">SQRT(SUM(POWER((U33:U48-AB33),2))/(ROWS(U33:U48)-1))</f>
        <v>6.0086055454731967E-2</v>
      </c>
      <c r="AD33">
        <f>1/SQRT(SUM(W33:W48))</f>
        <v>1.3683363784335715E-2</v>
      </c>
    </row>
    <row r="34" spans="1:30" x14ac:dyDescent="0.2">
      <c r="A34">
        <v>6.5000000000000002E-2</v>
      </c>
      <c r="B34">
        <v>9.7199999999999999E-4</v>
      </c>
      <c r="C34">
        <v>2.5000000000000001E-4</v>
      </c>
      <c r="D34">
        <v>3.13E-3</v>
      </c>
      <c r="E34">
        <v>1.7999999999999998E-4</v>
      </c>
      <c r="F34">
        <v>0.56999999999999995</v>
      </c>
      <c r="I34">
        <v>0.56999999999999995</v>
      </c>
      <c r="J34">
        <v>6.5000000000000002E-2</v>
      </c>
      <c r="K34">
        <v>0.68166000000000004</v>
      </c>
      <c r="L34">
        <v>5.0656E-2</v>
      </c>
      <c r="M34">
        <v>6.6998999999999997E-4</v>
      </c>
      <c r="N34" s="5">
        <v>5.9828999999999999E-5</v>
      </c>
      <c r="O34">
        <v>3.1099000000000001E-3</v>
      </c>
      <c r="P34" s="5">
        <v>7.4300000000000004E-5</v>
      </c>
      <c r="R34" s="2">
        <f t="shared" si="6"/>
        <v>1.4507679219092822</v>
      </c>
      <c r="S34" s="3">
        <f t="shared" si="7"/>
        <v>0.39498973531882026</v>
      </c>
      <c r="T34">
        <f t="shared" si="2"/>
        <v>6.4095624104805937</v>
      </c>
      <c r="U34" s="1">
        <f t="shared" si="8"/>
        <v>1.0064632303289494</v>
      </c>
      <c r="V34" s="3">
        <f t="shared" si="9"/>
        <v>6.267583332170483E-2</v>
      </c>
      <c r="W34">
        <f t="shared" si="5"/>
        <v>254.56562930673735</v>
      </c>
    </row>
    <row r="35" spans="1:30" x14ac:dyDescent="0.2">
      <c r="A35">
        <v>8.5000000000000006E-2</v>
      </c>
      <c r="B35">
        <v>1.6849999999999901E-3</v>
      </c>
      <c r="C35">
        <v>2.41E-4</v>
      </c>
      <c r="D35">
        <v>5.7400000000000003E-3</v>
      </c>
      <c r="E35">
        <v>2.99999999999999E-4</v>
      </c>
      <c r="F35">
        <v>0.56999999999999995</v>
      </c>
      <c r="I35">
        <v>0.56999999999999995</v>
      </c>
      <c r="J35">
        <v>8.5000000000000006E-2</v>
      </c>
      <c r="K35">
        <v>0.72219</v>
      </c>
      <c r="L35">
        <v>7.0790000000000006E-2</v>
      </c>
      <c r="M35">
        <v>1.371E-3</v>
      </c>
      <c r="N35" s="5">
        <v>8.6180000000000005E-5</v>
      </c>
      <c r="O35">
        <v>5.5393999999999999E-3</v>
      </c>
      <c r="P35">
        <v>1.0217000000000001E-4</v>
      </c>
      <c r="R35" s="2">
        <f t="shared" si="6"/>
        <v>1.2290299051786944</v>
      </c>
      <c r="S35" s="3">
        <f t="shared" si="7"/>
        <v>0.19201176765798011</v>
      </c>
      <c r="T35">
        <f t="shared" si="2"/>
        <v>27.123411227696479</v>
      </c>
      <c r="U35" s="1">
        <f t="shared" si="8"/>
        <v>1.036213308300538</v>
      </c>
      <c r="V35" s="3">
        <f t="shared" si="9"/>
        <v>5.7430901800985597E-2</v>
      </c>
      <c r="W35">
        <f t="shared" si="5"/>
        <v>303.1857103591264</v>
      </c>
    </row>
    <row r="36" spans="1:30" x14ac:dyDescent="0.2">
      <c r="A36">
        <v>0.105</v>
      </c>
      <c r="B36">
        <v>2.787E-3</v>
      </c>
      <c r="C36">
        <v>3.6099999999999999E-4</v>
      </c>
      <c r="D36">
        <v>8.7449999999999993E-3</v>
      </c>
      <c r="E36">
        <v>3.9500000000000001E-4</v>
      </c>
      <c r="F36">
        <v>0.56999999999999995</v>
      </c>
      <c r="I36">
        <v>0.56999999999999995</v>
      </c>
      <c r="J36">
        <v>0.105</v>
      </c>
      <c r="K36">
        <v>0.76351999999999998</v>
      </c>
      <c r="L36">
        <v>9.0959999999999999E-2</v>
      </c>
      <c r="M36">
        <v>2.8590999999999998E-3</v>
      </c>
      <c r="N36">
        <v>2.1084000000000001E-4</v>
      </c>
      <c r="O36">
        <v>8.9759000000000002E-3</v>
      </c>
      <c r="P36">
        <v>2.1216E-4</v>
      </c>
      <c r="R36" s="2">
        <f t="shared" si="6"/>
        <v>0.97478227414221263</v>
      </c>
      <c r="S36" s="3">
        <f t="shared" si="7"/>
        <v>0.14529198419870604</v>
      </c>
      <c r="T36">
        <f t="shared" si="2"/>
        <v>47.371451316716822</v>
      </c>
      <c r="U36" s="1">
        <f t="shared" si="8"/>
        <v>0.97427556011096372</v>
      </c>
      <c r="V36" s="3">
        <f t="shared" si="9"/>
        <v>4.9667978346303321E-2</v>
      </c>
      <c r="W36">
        <f t="shared" si="5"/>
        <v>405.36573330043586</v>
      </c>
    </row>
    <row r="37" spans="1:30" x14ac:dyDescent="0.2">
      <c r="A37">
        <v>0.125</v>
      </c>
      <c r="B37">
        <v>4.3144999999999998E-3</v>
      </c>
      <c r="C37">
        <v>5.9249999999999906E-4</v>
      </c>
      <c r="D37">
        <v>1.2414999999999999E-2</v>
      </c>
      <c r="E37">
        <v>4.35E-4</v>
      </c>
      <c r="F37">
        <v>0.56999999999999995</v>
      </c>
      <c r="I37">
        <v>0.56999999999999995</v>
      </c>
      <c r="J37">
        <v>0.125</v>
      </c>
      <c r="K37">
        <v>0.80564999999999998</v>
      </c>
      <c r="L37">
        <v>0.11117</v>
      </c>
      <c r="M37">
        <v>3.8040999999999999E-3</v>
      </c>
      <c r="N37">
        <v>1.9354999999999999E-4</v>
      </c>
      <c r="O37">
        <v>1.2551E-2</v>
      </c>
      <c r="P37">
        <v>2.2562999999999999E-4</v>
      </c>
      <c r="R37" s="2">
        <f t="shared" si="6"/>
        <v>1.1341710259982649</v>
      </c>
      <c r="S37" s="3">
        <f t="shared" si="7"/>
        <v>0.16609925499133088</v>
      </c>
      <c r="T37">
        <f t="shared" si="2"/>
        <v>36.246379315117665</v>
      </c>
      <c r="U37" s="1">
        <f t="shared" si="8"/>
        <v>0.98916421002310573</v>
      </c>
      <c r="V37" s="3">
        <f t="shared" si="9"/>
        <v>3.895416236773476E-2</v>
      </c>
      <c r="W37">
        <f t="shared" si="5"/>
        <v>659.01038689754989</v>
      </c>
    </row>
    <row r="38" spans="1:30" x14ac:dyDescent="0.2">
      <c r="A38">
        <v>0.14499999999999999</v>
      </c>
      <c r="B38">
        <v>5.3609999999999994E-3</v>
      </c>
      <c r="C38">
        <v>6.3900000000000003E-4</v>
      </c>
      <c r="D38">
        <v>1.5384999999999999E-2</v>
      </c>
      <c r="E38">
        <v>6.1499999999999999E-4</v>
      </c>
      <c r="F38">
        <v>0.56999999999999995</v>
      </c>
      <c r="I38">
        <v>0.56999999999999995</v>
      </c>
      <c r="J38">
        <v>0.14499999999999999</v>
      </c>
      <c r="K38">
        <v>0.84858</v>
      </c>
      <c r="L38">
        <v>0.13141</v>
      </c>
      <c r="M38">
        <v>4.9651000000000001E-3</v>
      </c>
      <c r="N38">
        <v>2.9901E-4</v>
      </c>
      <c r="O38">
        <v>1.6025000000000001E-2</v>
      </c>
      <c r="P38">
        <v>3.4345000000000003E-4</v>
      </c>
      <c r="R38" s="2">
        <f t="shared" si="6"/>
        <v>1.0797365611971561</v>
      </c>
      <c r="S38" s="3">
        <f t="shared" si="7"/>
        <v>0.14419227601168888</v>
      </c>
      <c r="T38">
        <f t="shared" si="2"/>
        <v>48.096780430624491</v>
      </c>
      <c r="U38" s="1">
        <f t="shared" si="8"/>
        <v>0.96006240249609975</v>
      </c>
      <c r="V38" s="3">
        <f t="shared" si="9"/>
        <v>4.3545548141985857E-2</v>
      </c>
      <c r="W38">
        <f t="shared" si="5"/>
        <v>527.36642468982768</v>
      </c>
    </row>
    <row r="39" spans="1:30" x14ac:dyDescent="0.2">
      <c r="A39">
        <v>0.16500000000000001</v>
      </c>
      <c r="B39">
        <v>6.1665000000000001E-3</v>
      </c>
      <c r="C39">
        <v>7.59499999999999E-4</v>
      </c>
      <c r="D39">
        <v>1.754E-2</v>
      </c>
      <c r="E39">
        <v>7.6999999999999898E-4</v>
      </c>
      <c r="F39">
        <v>0.56999999999999995</v>
      </c>
      <c r="I39">
        <v>0.56999999999999995</v>
      </c>
      <c r="J39">
        <v>0.16500000000000001</v>
      </c>
      <c r="K39">
        <v>0.89231000000000005</v>
      </c>
      <c r="L39">
        <v>0.15168000000000001</v>
      </c>
      <c r="M39">
        <v>6.7017999999999999E-3</v>
      </c>
      <c r="N39">
        <v>3.8049999999999998E-4</v>
      </c>
      <c r="O39">
        <v>1.7644E-2</v>
      </c>
      <c r="P39">
        <v>2.7851999999999998E-4</v>
      </c>
      <c r="R39" s="2">
        <f t="shared" si="6"/>
        <v>0.92012593631561668</v>
      </c>
      <c r="S39" s="3">
        <f t="shared" si="7"/>
        <v>0.1247889865774012</v>
      </c>
      <c r="T39">
        <f t="shared" si="2"/>
        <v>64.216626122515009</v>
      </c>
      <c r="U39" s="1">
        <f t="shared" si="8"/>
        <v>0.99410564497846299</v>
      </c>
      <c r="V39" s="3">
        <f t="shared" si="9"/>
        <v>4.6376526587404154E-2</v>
      </c>
      <c r="W39">
        <f t="shared" si="5"/>
        <v>464.94712085946844</v>
      </c>
    </row>
    <row r="40" spans="1:30" x14ac:dyDescent="0.2">
      <c r="A40">
        <v>0.186</v>
      </c>
      <c r="B40">
        <v>7.0460000000000002E-3</v>
      </c>
      <c r="C40">
        <v>8.2399999999999997E-4</v>
      </c>
      <c r="D40">
        <v>1.7999999999999999E-2</v>
      </c>
      <c r="E40">
        <v>8.0000000000000004E-4</v>
      </c>
      <c r="F40">
        <v>0.56999999999999995</v>
      </c>
      <c r="I40">
        <v>0.56999999999999995</v>
      </c>
      <c r="J40">
        <v>0.185</v>
      </c>
      <c r="K40">
        <v>0.93684000000000001</v>
      </c>
      <c r="L40">
        <v>0.17199999999999999</v>
      </c>
      <c r="M40">
        <v>6.3531000000000004E-3</v>
      </c>
      <c r="N40">
        <v>4.0014E-4</v>
      </c>
      <c r="O40">
        <v>1.9448E-2</v>
      </c>
      <c r="P40">
        <v>4.4122999999999998E-4</v>
      </c>
      <c r="R40" s="2">
        <f t="shared" si="6"/>
        <v>1.1090648659709432</v>
      </c>
      <c r="S40" s="3">
        <f t="shared" si="7"/>
        <v>0.14731466297241505</v>
      </c>
      <c r="T40">
        <f t="shared" si="2"/>
        <v>46.079530660569645</v>
      </c>
      <c r="U40" s="1">
        <f t="shared" si="8"/>
        <v>0.92554504319210196</v>
      </c>
      <c r="V40" s="3">
        <f t="shared" si="9"/>
        <v>4.6184970906020084E-2</v>
      </c>
      <c r="W40">
        <f t="shared" si="5"/>
        <v>468.81192618996607</v>
      </c>
    </row>
    <row r="41" spans="1:30" x14ac:dyDescent="0.2">
      <c r="A41">
        <v>0.20499999999999999</v>
      </c>
      <c r="B41">
        <v>5.8979999999999996E-3</v>
      </c>
      <c r="C41">
        <v>8.61E-4</v>
      </c>
      <c r="D41">
        <v>1.8914999999999998E-2</v>
      </c>
      <c r="E41">
        <v>8.6499999999999902E-4</v>
      </c>
      <c r="F41">
        <v>0.56999999999999995</v>
      </c>
      <c r="I41">
        <v>0.56999999999999995</v>
      </c>
      <c r="J41">
        <v>0.20499999999999999</v>
      </c>
      <c r="K41">
        <v>0.98216999999999999</v>
      </c>
      <c r="L41">
        <v>0.19234999999999999</v>
      </c>
      <c r="M41">
        <v>6.2174999999999999E-3</v>
      </c>
      <c r="N41">
        <v>4.3455000000000002E-4</v>
      </c>
      <c r="O41">
        <v>1.9429999999999999E-2</v>
      </c>
      <c r="P41">
        <v>3.9819999999999998E-4</v>
      </c>
      <c r="R41" s="2">
        <f t="shared" si="6"/>
        <v>0.94861278648974667</v>
      </c>
      <c r="S41" s="3">
        <f t="shared" si="7"/>
        <v>0.15353310752622482</v>
      </c>
      <c r="T41">
        <f t="shared" si="2"/>
        <v>42.422466916319301</v>
      </c>
      <c r="U41" s="1">
        <f t="shared" si="8"/>
        <v>0.97349459598558918</v>
      </c>
      <c r="V41" s="3">
        <f t="shared" si="9"/>
        <v>4.8784831264823324E-2</v>
      </c>
      <c r="W41">
        <f t="shared" si="5"/>
        <v>420.17517109367918</v>
      </c>
    </row>
    <row r="42" spans="1:30" x14ac:dyDescent="0.2">
      <c r="A42">
        <v>0.22500000000000001</v>
      </c>
      <c r="B42">
        <v>6.2965E-3</v>
      </c>
      <c r="C42">
        <v>8.3350000000000004E-4</v>
      </c>
      <c r="D42">
        <v>1.66699999999999E-2</v>
      </c>
      <c r="E42">
        <v>8.0000000000000004E-4</v>
      </c>
      <c r="F42">
        <v>0.56999999999999995</v>
      </c>
      <c r="I42">
        <v>0.56999999999999995</v>
      </c>
      <c r="J42">
        <v>0.22500000000000001</v>
      </c>
      <c r="K42">
        <v>1.0283</v>
      </c>
      <c r="L42">
        <v>0.21273</v>
      </c>
      <c r="M42">
        <v>5.8396999999999998E-3</v>
      </c>
      <c r="N42">
        <v>4.4672000000000001E-4</v>
      </c>
      <c r="O42">
        <v>1.8048000000000002E-2</v>
      </c>
      <c r="P42">
        <v>4.1412000000000003E-4</v>
      </c>
      <c r="R42" s="2">
        <f t="shared" si="6"/>
        <v>1.0782231963970752</v>
      </c>
      <c r="S42" s="3">
        <f t="shared" si="7"/>
        <v>0.16484822567051127</v>
      </c>
      <c r="T42">
        <f t="shared" si="2"/>
        <v>36.798612683207367</v>
      </c>
      <c r="U42" s="1">
        <f t="shared" si="8"/>
        <v>0.92364804964538449</v>
      </c>
      <c r="V42" s="3">
        <f t="shared" si="9"/>
        <v>4.9132291556920275E-2</v>
      </c>
      <c r="W42">
        <f t="shared" si="5"/>
        <v>414.25328337029146</v>
      </c>
    </row>
    <row r="43" spans="1:30" x14ac:dyDescent="0.2">
      <c r="A43">
        <v>0.245</v>
      </c>
      <c r="B43">
        <v>5.3429999999999997E-3</v>
      </c>
      <c r="C43">
        <v>7.8699999999999907E-4</v>
      </c>
      <c r="D43">
        <v>1.431E-2</v>
      </c>
      <c r="E43">
        <v>7.3999999999999901E-4</v>
      </c>
      <c r="F43">
        <v>0.56999999999999995</v>
      </c>
      <c r="I43">
        <v>0.56999999999999995</v>
      </c>
      <c r="J43">
        <v>0.245</v>
      </c>
      <c r="K43">
        <v>1.0751999999999999</v>
      </c>
      <c r="L43">
        <v>0.23315</v>
      </c>
      <c r="M43">
        <v>3.9918000000000002E-3</v>
      </c>
      <c r="N43">
        <v>4.2289999999999998E-4</v>
      </c>
      <c r="O43">
        <v>1.6164999999999999E-2</v>
      </c>
      <c r="P43">
        <v>3.7838999999999999E-4</v>
      </c>
      <c r="R43" s="2">
        <f t="shared" si="6"/>
        <v>1.3384939125206672</v>
      </c>
      <c r="S43" s="3">
        <f t="shared" si="7"/>
        <v>0.2428535485926516</v>
      </c>
      <c r="T43">
        <f t="shared" si="2"/>
        <v>16.95551917772838</v>
      </c>
      <c r="U43" s="1">
        <f t="shared" si="8"/>
        <v>0.88524590163934436</v>
      </c>
      <c r="V43" s="3">
        <f t="shared" si="9"/>
        <v>5.0249490427324475E-2</v>
      </c>
      <c r="W43">
        <f t="shared" si="5"/>
        <v>396.03783344294726</v>
      </c>
    </row>
    <row r="44" spans="1:30" x14ac:dyDescent="0.2">
      <c r="A44">
        <v>0.26500000000000001</v>
      </c>
      <c r="B44">
        <v>3.4814999999999898E-3</v>
      </c>
      <c r="C44">
        <v>7.9649999999999903E-4</v>
      </c>
      <c r="D44">
        <v>1.3524999999999902E-2</v>
      </c>
      <c r="E44">
        <v>7.9499999999999905E-4</v>
      </c>
      <c r="F44">
        <v>0.56999999999999995</v>
      </c>
      <c r="I44">
        <v>0.56999999999999995</v>
      </c>
      <c r="J44">
        <v>0.26500000000000001</v>
      </c>
      <c r="K44">
        <v>1.123</v>
      </c>
      <c r="L44">
        <v>0.25361</v>
      </c>
      <c r="M44">
        <v>3.3016999999999999E-3</v>
      </c>
      <c r="N44">
        <v>5.6654999999999997E-4</v>
      </c>
      <c r="O44">
        <v>1.3557E-2</v>
      </c>
      <c r="P44">
        <v>4.9859999999999998E-4</v>
      </c>
      <c r="R44" s="2">
        <f t="shared" si="6"/>
        <v>1.054456794984399</v>
      </c>
      <c r="S44" s="3">
        <f t="shared" si="7"/>
        <v>0.30155419891633278</v>
      </c>
      <c r="T44">
        <f t="shared" si="2"/>
        <v>10.996873767764329</v>
      </c>
      <c r="U44" s="1">
        <f t="shared" si="8"/>
        <v>0.99763959578077022</v>
      </c>
      <c r="V44" s="3">
        <f t="shared" si="9"/>
        <v>6.9174041742191161E-2</v>
      </c>
      <c r="W44">
        <f t="shared" si="5"/>
        <v>208.98431726330944</v>
      </c>
    </row>
    <row r="45" spans="1:30" x14ac:dyDescent="0.2">
      <c r="A45">
        <v>0.28499999999999998</v>
      </c>
      <c r="B45">
        <v>3.0739999999999999E-3</v>
      </c>
      <c r="C45">
        <v>7.4099999999999904E-4</v>
      </c>
      <c r="D45">
        <v>1.2619999999999999E-2</v>
      </c>
      <c r="E45">
        <v>7.9999999999999906E-4</v>
      </c>
      <c r="F45">
        <v>0.56999999999999995</v>
      </c>
      <c r="I45">
        <v>0.56999999999999995</v>
      </c>
      <c r="J45">
        <v>0.28499999999999998</v>
      </c>
      <c r="K45">
        <v>1.1715</v>
      </c>
      <c r="L45">
        <v>0.27410000000000001</v>
      </c>
      <c r="M45">
        <v>2.7713999999999998E-3</v>
      </c>
      <c r="N45">
        <v>5.5562000000000005E-4</v>
      </c>
      <c r="O45">
        <v>1.2897E-2</v>
      </c>
      <c r="P45">
        <v>5.6963000000000001E-4</v>
      </c>
      <c r="R45" s="2">
        <f t="shared" si="6"/>
        <v>1.1091866926463161</v>
      </c>
      <c r="S45" s="3">
        <f t="shared" si="7"/>
        <v>0.34776261119925883</v>
      </c>
      <c r="T45">
        <f t="shared" si="2"/>
        <v>8.2686426601619871</v>
      </c>
      <c r="U45" s="1">
        <f t="shared" si="8"/>
        <v>0.97852213693106915</v>
      </c>
      <c r="V45" s="3">
        <f t="shared" si="9"/>
        <v>7.5601553715368697E-2</v>
      </c>
      <c r="W45">
        <f t="shared" si="5"/>
        <v>174.95991463108379</v>
      </c>
    </row>
    <row r="46" spans="1:30" x14ac:dyDescent="0.2">
      <c r="A46">
        <v>0.30499999999999999</v>
      </c>
      <c r="B46">
        <v>3.0000000000000001E-3</v>
      </c>
      <c r="C46">
        <v>8.3299999999999997E-4</v>
      </c>
      <c r="D46">
        <v>1.329E-2</v>
      </c>
      <c r="E46">
        <v>8.0000000000000004E-4</v>
      </c>
      <c r="F46">
        <v>0.56999999999999995</v>
      </c>
      <c r="I46">
        <v>0.56999999999999995</v>
      </c>
      <c r="J46">
        <v>0.30499999999999999</v>
      </c>
      <c r="K46">
        <v>1.2208000000000001</v>
      </c>
      <c r="L46">
        <v>0.29463</v>
      </c>
      <c r="M46">
        <v>2.8568999999999999E-3</v>
      </c>
      <c r="N46">
        <v>6.1162E-4</v>
      </c>
      <c r="O46">
        <v>1.3261E-2</v>
      </c>
      <c r="P46">
        <v>5.9612E-4</v>
      </c>
      <c r="R46" s="2">
        <f t="shared" si="6"/>
        <v>1.050089257586895</v>
      </c>
      <c r="S46" s="3">
        <f t="shared" si="7"/>
        <v>0.36817760096515545</v>
      </c>
      <c r="T46">
        <f t="shared" si="2"/>
        <v>7.3770932453256686</v>
      </c>
      <c r="U46" s="1">
        <f t="shared" si="8"/>
        <v>1.0021868637357665</v>
      </c>
      <c r="V46" s="3">
        <f t="shared" si="9"/>
        <v>7.5292685865725628E-2</v>
      </c>
      <c r="W46">
        <f t="shared" si="5"/>
        <v>176.39831022485831</v>
      </c>
    </row>
    <row r="47" spans="1:30" x14ac:dyDescent="0.2">
      <c r="A47">
        <v>0.32500000000000001</v>
      </c>
      <c r="B47">
        <v>3.3144999999999997E-3</v>
      </c>
      <c r="C47">
        <v>9.8149999999999995E-4</v>
      </c>
      <c r="D47">
        <v>1.457E-2</v>
      </c>
      <c r="E47">
        <v>8.59999999999999E-4</v>
      </c>
      <c r="F47">
        <v>0.56999999999999995</v>
      </c>
      <c r="I47">
        <v>0.56999999999999995</v>
      </c>
      <c r="J47">
        <v>0.32500000000000001</v>
      </c>
      <c r="K47">
        <v>1.2709999999999999</v>
      </c>
      <c r="L47">
        <v>0.31519000000000003</v>
      </c>
      <c r="M47">
        <v>3.4724999999999999E-3</v>
      </c>
      <c r="N47">
        <v>7.5319000000000004E-4</v>
      </c>
      <c r="O47">
        <v>1.4885000000000001E-2</v>
      </c>
      <c r="P47">
        <v>5.7934999999999996E-4</v>
      </c>
      <c r="R47" s="2">
        <f t="shared" si="6"/>
        <v>0.95449964002879761</v>
      </c>
      <c r="S47" s="3">
        <f t="shared" si="7"/>
        <v>0.3503612999770922</v>
      </c>
      <c r="T47">
        <f t="shared" si="2"/>
        <v>8.146437723664592</v>
      </c>
      <c r="U47" s="1">
        <f t="shared" si="8"/>
        <v>0.97883775613033253</v>
      </c>
      <c r="V47" s="3">
        <f t="shared" si="9"/>
        <v>6.920665737586966E-2</v>
      </c>
      <c r="W47">
        <f t="shared" si="5"/>
        <v>208.78738390343494</v>
      </c>
    </row>
    <row r="48" spans="1:30" x14ac:dyDescent="0.2">
      <c r="A48">
        <v>0.34499999999999997</v>
      </c>
      <c r="B48">
        <v>3.0739999999999999E-3</v>
      </c>
      <c r="C48">
        <v>1.3520000000000001E-3</v>
      </c>
      <c r="D48">
        <v>1.7264999999999999E-2</v>
      </c>
      <c r="E48">
        <v>1.07499999999999E-3</v>
      </c>
      <c r="F48">
        <v>0.56999999999999995</v>
      </c>
      <c r="I48">
        <v>0.56999999999999995</v>
      </c>
      <c r="J48">
        <v>0.34499999999999997</v>
      </c>
      <c r="K48">
        <v>1.3219000000000001</v>
      </c>
      <c r="L48">
        <v>0.33578999999999998</v>
      </c>
      <c r="M48">
        <v>2.4550000000000002E-3</v>
      </c>
      <c r="N48">
        <v>9.4328999999999995E-4</v>
      </c>
      <c r="O48">
        <v>1.8149999999999999E-2</v>
      </c>
      <c r="P48">
        <v>6.7699999999999998E-4</v>
      </c>
      <c r="R48" s="2">
        <f t="shared" si="6"/>
        <v>1.2521384928716903</v>
      </c>
      <c r="S48" s="3">
        <f t="shared" si="7"/>
        <v>0.73126827104909842</v>
      </c>
      <c r="T48">
        <f t="shared" si="2"/>
        <v>1.8700212405714323</v>
      </c>
      <c r="U48" s="1">
        <f t="shared" si="8"/>
        <v>0.95123966942148763</v>
      </c>
      <c r="V48" s="3">
        <f t="shared" si="9"/>
        <v>6.9043247036682687E-2</v>
      </c>
      <c r="W48">
        <f t="shared" si="5"/>
        <v>209.77686205367718</v>
      </c>
    </row>
    <row r="51" spans="24:35" x14ac:dyDescent="0.2">
      <c r="X51" t="s">
        <v>27</v>
      </c>
      <c r="Y51" t="s">
        <v>19</v>
      </c>
      <c r="Z51" t="s">
        <v>23</v>
      </c>
      <c r="AA51" t="s">
        <v>24</v>
      </c>
      <c r="AB51" t="s">
        <v>21</v>
      </c>
      <c r="AC51" t="s">
        <v>20</v>
      </c>
      <c r="AD51" t="s">
        <v>25</v>
      </c>
      <c r="AE51" t="s">
        <v>26</v>
      </c>
      <c r="AF51" t="s">
        <v>22</v>
      </c>
    </row>
    <row r="52" spans="24:35" x14ac:dyDescent="0.2">
      <c r="X52">
        <v>0.3</v>
      </c>
      <c r="Y52">
        <v>0.97869156043453065</v>
      </c>
      <c r="Z52">
        <v>8.4274792712375174E-2</v>
      </c>
      <c r="AA52">
        <v>1.9745571494773937E-2</v>
      </c>
      <c r="AB52">
        <f>1/AA52^2</f>
        <v>2564.8418063906979</v>
      </c>
      <c r="AC52">
        <v>1.032148135909148</v>
      </c>
      <c r="AD52">
        <v>0.18719912445307851</v>
      </c>
      <c r="AE52">
        <v>3.0978447348384001E-2</v>
      </c>
      <c r="AF52">
        <f>1/AE52^2</f>
        <v>1042.0311603564032</v>
      </c>
    </row>
    <row r="53" spans="24:35" x14ac:dyDescent="0.2">
      <c r="X53">
        <v>0.38</v>
      </c>
      <c r="Y53">
        <v>0.92245939095642937</v>
      </c>
      <c r="Z53">
        <v>5.8987647791827878E-2</v>
      </c>
      <c r="AA53">
        <v>1.9682056852849284E-2</v>
      </c>
      <c r="AB53">
        <f t="shared" ref="AB53:AB54" si="10">1/AA53^2</f>
        <v>2581.4221729697738</v>
      </c>
      <c r="AC53">
        <v>1.1057831078074809</v>
      </c>
      <c r="AD53">
        <v>5.4062551578785659E-2</v>
      </c>
      <c r="AE53">
        <v>1.8927282874215287E-2</v>
      </c>
      <c r="AF53">
        <f t="shared" ref="AF53:AF54" si="11">1/AE53^2</f>
        <v>2791.408870864665</v>
      </c>
    </row>
    <row r="54" spans="24:35" x14ac:dyDescent="0.2">
      <c r="X54">
        <v>0.56999999999999995</v>
      </c>
      <c r="Y54">
        <v>0.85450794771894889</v>
      </c>
      <c r="Z54">
        <v>0.17446371036128472</v>
      </c>
      <c r="AA54">
        <v>3.9307217158227742E-2</v>
      </c>
      <c r="AB54">
        <f t="shared" si="10"/>
        <v>647.22517837160979</v>
      </c>
      <c r="AC54">
        <v>1.0622570544761158</v>
      </c>
      <c r="AD54">
        <v>6.0509755256846307E-2</v>
      </c>
      <c r="AE54">
        <v>1.490496686893761E-2</v>
      </c>
      <c r="AF54">
        <f t="shared" si="11"/>
        <v>4501.3001188921717</v>
      </c>
    </row>
    <row r="56" spans="24:35" x14ac:dyDescent="0.2">
      <c r="X56" t="s">
        <v>28</v>
      </c>
      <c r="Y56">
        <f>SUMPRODUCT(Y52:Y54,AB52:AB54)/SUM(AB52:AB54)</f>
        <v>0.93976273466558324</v>
      </c>
      <c r="AC56">
        <f>SUMPRODUCT(AC52:AC54,AF52:AF54)/SUM(AF52:AF54)</f>
        <v>1.0730701786297538</v>
      </c>
    </row>
    <row r="57" spans="24:35" x14ac:dyDescent="0.2">
      <c r="X57" t="s">
        <v>29</v>
      </c>
      <c r="Y57">
        <f>1/SQRT(SUM(AB52:AB54))</f>
        <v>1.3138019457669637E-2</v>
      </c>
      <c r="AC57">
        <f>1/SQRT(SUM(AF52:AF54))</f>
        <v>1.0953526612819028E-2</v>
      </c>
    </row>
    <row r="58" spans="24:35" x14ac:dyDescent="0.2">
      <c r="X58" t="s">
        <v>30</v>
      </c>
      <c r="Y58" cm="1">
        <f t="array" ref="Y58">SQRT(SUM(POWER((Y52:Y54-Y56),2))/(ROWS(Y52:Y54)-1))</f>
        <v>6.7391534618905194E-2</v>
      </c>
      <c r="AC58" cm="1">
        <f t="array" ref="AC58">SQRT(SUM(POWER((AC52:AC54-AC56),2))/(ROWS(AC52:AC54)-1))</f>
        <v>3.7826399311698074E-2</v>
      </c>
    </row>
    <row r="63" spans="24:35" x14ac:dyDescent="0.2">
      <c r="AH63" s="4"/>
      <c r="AI63" s="4"/>
    </row>
    <row r="64" spans="24:35" x14ac:dyDescent="0.2">
      <c r="AH64" s="4"/>
      <c r="AI64" s="4"/>
    </row>
    <row r="65" spans="24:35" x14ac:dyDescent="0.2">
      <c r="AH65" s="4"/>
      <c r="AI65" s="4"/>
    </row>
    <row r="66" spans="24:35" x14ac:dyDescent="0.2">
      <c r="X66" t="s">
        <v>27</v>
      </c>
      <c r="Y66" t="s">
        <v>19</v>
      </c>
      <c r="Z66" t="s">
        <v>23</v>
      </c>
      <c r="AA66" t="s">
        <v>24</v>
      </c>
      <c r="AB66" t="s">
        <v>21</v>
      </c>
      <c r="AC66" t="s">
        <v>20</v>
      </c>
      <c r="AD66" t="s">
        <v>25</v>
      </c>
      <c r="AE66" t="s">
        <v>26</v>
      </c>
      <c r="AF66" t="s">
        <v>22</v>
      </c>
    </row>
    <row r="67" spans="24:35" x14ac:dyDescent="0.2">
      <c r="X67">
        <v>0.3</v>
      </c>
      <c r="Y67">
        <v>1.0489013918994463</v>
      </c>
      <c r="Z67">
        <v>0.32480922789375793</v>
      </c>
      <c r="AA67">
        <v>2.2122741895392928E-2</v>
      </c>
      <c r="AB67">
        <f>1/AA67^2</f>
        <v>2043.2527637990941</v>
      </c>
      <c r="AC67">
        <v>0.85384752126825803</v>
      </c>
      <c r="AD67">
        <v>0.27697573070096654</v>
      </c>
      <c r="AE67">
        <v>2.7571940400513719E-2</v>
      </c>
      <c r="AF67">
        <f>1/AE67^2</f>
        <v>1315.4227174752343</v>
      </c>
    </row>
    <row r="68" spans="24:35" x14ac:dyDescent="0.2">
      <c r="X68">
        <v>0.38</v>
      </c>
      <c r="Y68">
        <v>1.0769379148217875</v>
      </c>
      <c r="Z68">
        <v>9.0252913070152707E-2</v>
      </c>
      <c r="AA68">
        <v>2.3030745095420954E-2</v>
      </c>
      <c r="AB68">
        <f t="shared" ref="AB68:AB69" si="12">1/AA68^2</f>
        <v>1885.3154339337721</v>
      </c>
      <c r="AC68">
        <v>0.90361102238434854</v>
      </c>
      <c r="AD68">
        <v>5.4752334352686262E-2</v>
      </c>
      <c r="AE68">
        <v>1.5547129109399933E-2</v>
      </c>
      <c r="AF68">
        <f t="shared" ref="AF68:AF69" si="13">1/AE68^2</f>
        <v>4137.134019134518</v>
      </c>
    </row>
    <row r="69" spans="24:35" x14ac:dyDescent="0.2">
      <c r="X69">
        <v>0.56999999999999995</v>
      </c>
      <c r="Y69">
        <v>1.0634961734511286</v>
      </c>
      <c r="Z69">
        <v>0.18186977477153182</v>
      </c>
      <c r="AA69">
        <v>4.9322529877526236E-2</v>
      </c>
      <c r="AB69">
        <f t="shared" si="12"/>
        <v>411.06387402473757</v>
      </c>
      <c r="AC69">
        <v>0.96948342595026871</v>
      </c>
      <c r="AD69">
        <v>6.0086055454731967E-2</v>
      </c>
      <c r="AE69">
        <v>1.3683363784335715E-2</v>
      </c>
      <c r="AF69">
        <f t="shared" si="13"/>
        <v>5340.897626575168</v>
      </c>
    </row>
    <row r="71" spans="24:35" x14ac:dyDescent="0.2">
      <c r="X71" t="s">
        <v>28</v>
      </c>
      <c r="Y71">
        <f>SUMPRODUCT(Y67:Y69,AB67:AB69)/SUM(AB67:AB69)</f>
        <v>1.0624640801299878</v>
      </c>
      <c r="AC71">
        <f>SUMPRODUCT(AC67:AC69,AF67:AF69)/SUM(AF67:AF69)</f>
        <v>0.93014170610776747</v>
      </c>
    </row>
    <row r="72" spans="24:35" x14ac:dyDescent="0.2">
      <c r="X72" t="s">
        <v>29</v>
      </c>
      <c r="Y72">
        <f>1/SQRT(SUM(AB67:AB69))</f>
        <v>1.5180061984781988E-2</v>
      </c>
      <c r="AC72">
        <f>1/SQRT(SUM(AF67:AF69))</f>
        <v>9.6254218043003107E-3</v>
      </c>
    </row>
    <row r="73" spans="24:35" x14ac:dyDescent="0.2">
      <c r="X73" t="s">
        <v>30</v>
      </c>
      <c r="Y73" cm="1">
        <f t="array" ref="Y73">SQRT(SUM(POWER((Y67:Y69-Y71),2))/(ROWS(Y67:Y69)-1))</f>
        <v>1.4044636331140004E-2</v>
      </c>
      <c r="AC73" cm="1">
        <f t="array" ref="AC73">SQRT(SUM(POWER((AC67:AC69-AC71),2))/(ROWS(AC67:AC69)-1))</f>
        <v>6.3531294411979272E-2</v>
      </c>
    </row>
    <row r="77" spans="24:35" x14ac:dyDescent="0.2">
      <c r="Y77" t="s">
        <v>33</v>
      </c>
      <c r="Z77">
        <v>0.93799999999999994</v>
      </c>
    </row>
    <row r="78" spans="24:35" x14ac:dyDescent="0.2">
      <c r="Y78" t="s">
        <v>32</v>
      </c>
      <c r="Z78">
        <v>0.8</v>
      </c>
    </row>
    <row r="79" spans="24:35" x14ac:dyDescent="0.2">
      <c r="Y79" t="s">
        <v>4</v>
      </c>
      <c r="Z79">
        <f>Z78/(2*Z77)</f>
        <v>0.4264392324093817</v>
      </c>
    </row>
    <row r="80" spans="24:35" x14ac:dyDescent="0.2">
      <c r="Y80" t="s">
        <v>31</v>
      </c>
      <c r="Z80">
        <f>SQRT(Z78+Z79^2)</f>
        <v>0.99088365560135394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Bodek, Arie</dc:creator>
  <cp:lastModifiedBy>Lin, Zihao</cp:lastModifiedBy>
  <dcterms:created xsi:type="dcterms:W3CDTF">2023-11-04T10:26:45Z</dcterms:created>
  <dcterms:modified xsi:type="dcterms:W3CDTF">2025-09-25T19:13:57Z</dcterms:modified>
</cp:coreProperties>
</file>