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odek/Desktop/Global_RL_RT/"/>
    </mc:Choice>
  </mc:AlternateContent>
  <xr:revisionPtr revIDLastSave="0" documentId="13_ncr:1_{CAA239D9-D451-E845-A651-9735D71A4A0E}" xr6:coauthVersionLast="47" xr6:coauthVersionMax="47" xr10:uidLastSave="{00000000-0000-0000-0000-000000000000}"/>
  <bookViews>
    <workbookView xWindow="120" yWindow="1040" windowWidth="23460" windowHeight="11700" xr2:uid="{00000000-000D-0000-FFFF-FFFF00000000}"/>
  </bookViews>
  <sheets>
    <sheet name="Barreeau-corrected for errors" sheetId="2" r:id="rId1"/>
    <sheet name="Mougey" sheetId="3" r:id="rId2"/>
  </sheets>
  <externalReferences>
    <externalReference r:id="rId3"/>
  </externalReferences>
  <definedNames>
    <definedName name="MOUFAC">Mougey!$C$1</definedName>
    <definedName name="MP">'[1]1Barreau'!$AQ$2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07" i="2" l="1"/>
  <c r="I1507" i="2"/>
  <c r="J1506" i="2"/>
  <c r="I1506" i="2"/>
  <c r="J1505" i="2"/>
  <c r="I1505" i="2"/>
  <c r="J1504" i="2"/>
  <c r="I1504" i="2"/>
  <c r="J1503" i="2"/>
  <c r="I1503" i="2"/>
  <c r="J1502" i="2"/>
  <c r="I1502" i="2"/>
  <c r="J1501" i="2"/>
  <c r="I1501" i="2"/>
  <c r="J1500" i="2"/>
  <c r="I1500" i="2"/>
  <c r="J1499" i="2"/>
  <c r="I1499" i="2"/>
  <c r="J1498" i="2"/>
  <c r="I1498" i="2"/>
  <c r="J1497" i="2"/>
  <c r="I1497" i="2"/>
  <c r="J1496" i="2"/>
  <c r="I1496" i="2"/>
  <c r="J1495" i="2"/>
  <c r="I1495" i="2"/>
  <c r="J1494" i="2"/>
  <c r="I1494" i="2"/>
  <c r="J1493" i="2"/>
  <c r="I1493" i="2"/>
  <c r="J1492" i="2"/>
  <c r="I1492" i="2"/>
  <c r="J1491" i="2"/>
  <c r="I1491" i="2"/>
  <c r="J1490" i="2"/>
  <c r="I1490" i="2"/>
  <c r="J1489" i="2"/>
  <c r="I1489" i="2"/>
  <c r="J1488" i="2"/>
  <c r="I1488" i="2"/>
  <c r="J1487" i="2"/>
  <c r="I1487" i="2"/>
  <c r="J1486" i="2"/>
  <c r="I1486" i="2"/>
  <c r="J1485" i="2"/>
  <c r="I1485" i="2"/>
  <c r="J1484" i="2"/>
  <c r="I1484" i="2"/>
  <c r="J1483" i="2"/>
  <c r="I1483" i="2"/>
  <c r="J1482" i="2"/>
  <c r="I1482" i="2"/>
  <c r="J1481" i="2"/>
  <c r="I1481" i="2"/>
  <c r="J1480" i="2"/>
  <c r="I1480" i="2"/>
  <c r="J1479" i="2"/>
  <c r="I1479" i="2"/>
  <c r="J1478" i="2"/>
  <c r="I1478" i="2"/>
  <c r="J1477" i="2"/>
  <c r="I1477" i="2"/>
  <c r="J1476" i="2"/>
  <c r="I1476" i="2"/>
  <c r="J1475" i="2"/>
  <c r="I1475" i="2"/>
  <c r="J1474" i="2"/>
  <c r="I1474" i="2"/>
  <c r="J1473" i="2"/>
  <c r="I1473" i="2"/>
  <c r="J1472" i="2"/>
  <c r="I1472" i="2"/>
  <c r="J1471" i="2"/>
  <c r="I1471" i="2"/>
  <c r="J1470" i="2"/>
  <c r="I1470" i="2"/>
  <c r="J1469" i="2"/>
  <c r="I1469" i="2"/>
  <c r="J1468" i="2"/>
  <c r="I1468" i="2"/>
  <c r="J1467" i="2"/>
  <c r="I1467" i="2"/>
  <c r="J1466" i="2"/>
  <c r="I1466" i="2"/>
  <c r="J1465" i="2"/>
  <c r="I1465" i="2"/>
  <c r="J1464" i="2"/>
  <c r="I1464" i="2"/>
  <c r="J1463" i="2"/>
  <c r="I1463" i="2"/>
  <c r="J1462" i="2"/>
  <c r="I1462" i="2"/>
  <c r="J1461" i="2"/>
  <c r="I1461" i="2"/>
  <c r="J1460" i="2"/>
  <c r="I1460" i="2"/>
  <c r="J1459" i="2"/>
  <c r="I1459" i="2"/>
  <c r="J1458" i="2"/>
  <c r="I1458" i="2"/>
  <c r="J1457" i="2"/>
  <c r="I1457" i="2"/>
  <c r="J1456" i="2"/>
  <c r="I1456" i="2"/>
  <c r="J1455" i="2"/>
  <c r="I1455" i="2"/>
  <c r="J1454" i="2"/>
  <c r="I1454" i="2"/>
  <c r="J1453" i="2"/>
  <c r="I1453" i="2"/>
  <c r="J1452" i="2"/>
  <c r="I1452" i="2"/>
  <c r="J1451" i="2"/>
  <c r="I1451" i="2"/>
  <c r="J1450" i="2"/>
  <c r="I1450" i="2"/>
  <c r="J1449" i="2"/>
  <c r="I1449" i="2"/>
  <c r="J1448" i="2"/>
  <c r="I1448" i="2"/>
  <c r="J1447" i="2"/>
  <c r="I1447" i="2"/>
  <c r="J1446" i="2"/>
  <c r="I1446" i="2"/>
  <c r="J1445" i="2"/>
  <c r="I1445" i="2"/>
  <c r="J1444" i="2"/>
  <c r="I1444" i="2"/>
  <c r="J1443" i="2"/>
  <c r="I1443" i="2"/>
  <c r="J1442" i="2"/>
  <c r="I1442" i="2"/>
  <c r="J1441" i="2"/>
  <c r="I1441" i="2"/>
  <c r="J1440" i="2"/>
  <c r="I1440" i="2"/>
  <c r="J1439" i="2"/>
  <c r="I1439" i="2"/>
  <c r="J1438" i="2"/>
  <c r="I1438" i="2"/>
  <c r="J1437" i="2"/>
  <c r="I1437" i="2"/>
  <c r="J1436" i="2"/>
  <c r="I1436" i="2"/>
  <c r="J1435" i="2"/>
  <c r="I1435" i="2"/>
  <c r="J1434" i="2"/>
  <c r="I1434" i="2"/>
  <c r="J1433" i="2"/>
  <c r="I1433" i="2"/>
  <c r="J1432" i="2"/>
  <c r="I1432" i="2"/>
  <c r="J1431" i="2"/>
  <c r="I1431" i="2"/>
  <c r="J1430" i="2"/>
  <c r="I1430" i="2"/>
  <c r="J1429" i="2"/>
  <c r="I1429" i="2"/>
  <c r="J1428" i="2"/>
  <c r="I1428" i="2"/>
  <c r="J1427" i="2"/>
  <c r="I1427" i="2"/>
  <c r="J1426" i="2"/>
  <c r="I1426" i="2"/>
  <c r="J1425" i="2"/>
  <c r="I1425" i="2"/>
  <c r="J1424" i="2"/>
  <c r="I1424" i="2"/>
  <c r="J1423" i="2"/>
  <c r="I1423" i="2"/>
  <c r="J1422" i="2"/>
  <c r="I1422" i="2"/>
  <c r="J1421" i="2"/>
  <c r="I1421" i="2"/>
  <c r="J1420" i="2"/>
  <c r="I1420" i="2"/>
  <c r="J1419" i="2"/>
  <c r="I1419" i="2"/>
  <c r="J1418" i="2"/>
  <c r="I1418" i="2"/>
  <c r="J1417" i="2"/>
  <c r="I1417" i="2"/>
  <c r="J1416" i="2"/>
  <c r="I1416" i="2"/>
  <c r="J1415" i="2"/>
  <c r="I1415" i="2"/>
  <c r="J1414" i="2"/>
  <c r="I1414" i="2"/>
  <c r="J1413" i="2"/>
  <c r="I1413" i="2"/>
  <c r="J1412" i="2"/>
  <c r="I1412" i="2"/>
  <c r="J1411" i="2"/>
  <c r="I1411" i="2"/>
  <c r="J1410" i="2"/>
  <c r="I1410" i="2"/>
  <c r="J1409" i="2"/>
  <c r="I1409" i="2"/>
  <c r="J1408" i="2"/>
  <c r="I1408" i="2"/>
  <c r="J1407" i="2"/>
  <c r="I1407" i="2"/>
  <c r="J1406" i="2"/>
  <c r="I1406" i="2"/>
  <c r="J1405" i="2"/>
  <c r="I1405" i="2"/>
  <c r="J1404" i="2"/>
  <c r="I1404" i="2"/>
  <c r="J1403" i="2"/>
  <c r="I1403" i="2"/>
  <c r="J1402" i="2"/>
  <c r="I1402" i="2"/>
  <c r="J1401" i="2"/>
  <c r="I1401" i="2"/>
  <c r="J1400" i="2"/>
  <c r="I1400" i="2"/>
  <c r="J1399" i="2"/>
  <c r="I1399" i="2"/>
  <c r="J1398" i="2"/>
  <c r="I1398" i="2"/>
  <c r="J1397" i="2"/>
  <c r="I1397" i="2"/>
  <c r="J1396" i="2"/>
  <c r="I1396" i="2"/>
  <c r="J1395" i="2"/>
  <c r="I1395" i="2"/>
  <c r="J1394" i="2"/>
  <c r="I1394" i="2"/>
  <c r="J1393" i="2"/>
  <c r="I1393" i="2"/>
  <c r="J1392" i="2"/>
  <c r="I1392" i="2"/>
  <c r="J1391" i="2"/>
  <c r="I1391" i="2"/>
  <c r="J1390" i="2"/>
  <c r="I1390" i="2"/>
  <c r="J1389" i="2"/>
  <c r="I1389" i="2"/>
  <c r="J1388" i="2"/>
  <c r="I1388" i="2"/>
  <c r="J1387" i="2"/>
  <c r="M1387" i="2" s="1"/>
  <c r="I1387" i="2"/>
  <c r="J1386" i="2"/>
  <c r="I1386" i="2"/>
  <c r="M1386" i="2" s="1"/>
  <c r="J1385" i="2"/>
  <c r="I1385" i="2"/>
  <c r="J1384" i="2"/>
  <c r="I1384" i="2"/>
  <c r="J1383" i="2"/>
  <c r="M1383" i="2" s="1"/>
  <c r="I1383" i="2"/>
  <c r="J1382" i="2"/>
  <c r="I1382" i="2"/>
  <c r="M1382" i="2" s="1"/>
  <c r="J1381" i="2"/>
  <c r="I1381" i="2"/>
  <c r="M1381" i="2" s="1"/>
  <c r="J1380" i="2"/>
  <c r="I1380" i="2"/>
  <c r="J1379" i="2"/>
  <c r="M1379" i="2" s="1"/>
  <c r="I1379" i="2"/>
  <c r="J1378" i="2"/>
  <c r="I1378" i="2"/>
  <c r="M1378" i="2" s="1"/>
  <c r="J1377" i="2"/>
  <c r="I1377" i="2"/>
  <c r="M1377" i="2" s="1"/>
  <c r="J1376" i="2"/>
  <c r="M1376" i="2" s="1"/>
  <c r="I1376" i="2"/>
  <c r="J1375" i="2"/>
  <c r="M1375" i="2" s="1"/>
  <c r="I1375" i="2"/>
  <c r="J1374" i="2"/>
  <c r="I1374" i="2"/>
  <c r="M1374" i="2" s="1"/>
  <c r="J1373" i="2"/>
  <c r="I1373" i="2"/>
  <c r="M1373" i="2" s="1"/>
  <c r="J1372" i="2"/>
  <c r="I1372" i="2"/>
  <c r="J1371" i="2"/>
  <c r="M1371" i="2" s="1"/>
  <c r="I1371" i="2"/>
  <c r="J1370" i="2"/>
  <c r="I1370" i="2"/>
  <c r="M1370" i="2" s="1"/>
  <c r="J1369" i="2"/>
  <c r="I1369" i="2"/>
  <c r="M1369" i="2" s="1"/>
  <c r="J1368" i="2"/>
  <c r="M1368" i="2" s="1"/>
  <c r="I1368" i="2"/>
  <c r="J1367" i="2"/>
  <c r="M1367" i="2" s="1"/>
  <c r="I1367" i="2"/>
  <c r="J1366" i="2"/>
  <c r="I1366" i="2"/>
  <c r="J1365" i="2"/>
  <c r="I1365" i="2"/>
  <c r="M1365" i="2" s="1"/>
  <c r="J1364" i="2"/>
  <c r="M1364" i="2" s="1"/>
  <c r="I1364" i="2"/>
  <c r="J1363" i="2"/>
  <c r="M1363" i="2" s="1"/>
  <c r="I1363" i="2"/>
  <c r="J1362" i="2"/>
  <c r="I1362" i="2"/>
  <c r="J1361" i="2"/>
  <c r="I1361" i="2"/>
  <c r="J1360" i="2"/>
  <c r="M1360" i="2" s="1"/>
  <c r="I1360" i="2"/>
  <c r="J1359" i="2"/>
  <c r="M1359" i="2" s="1"/>
  <c r="I1359" i="2"/>
  <c r="J1358" i="2"/>
  <c r="I1358" i="2"/>
  <c r="M1358" i="2" s="1"/>
  <c r="J1357" i="2"/>
  <c r="I1357" i="2"/>
  <c r="J1356" i="2"/>
  <c r="I1356" i="2"/>
  <c r="J1355" i="2"/>
  <c r="M1355" i="2" s="1"/>
  <c r="I1355" i="2"/>
  <c r="J1354" i="2"/>
  <c r="I1354" i="2"/>
  <c r="M1354" i="2" s="1"/>
  <c r="J1353" i="2"/>
  <c r="I1353" i="2"/>
  <c r="M1353" i="2" s="1"/>
  <c r="J1352" i="2"/>
  <c r="I1352" i="2"/>
  <c r="J1351" i="2"/>
  <c r="M1351" i="2" s="1"/>
  <c r="I1351" i="2"/>
  <c r="J1350" i="2"/>
  <c r="I1350" i="2"/>
  <c r="M1350" i="2" s="1"/>
  <c r="J1349" i="2"/>
  <c r="I1349" i="2"/>
  <c r="M1349" i="2" s="1"/>
  <c r="J1348" i="2"/>
  <c r="M1348" i="2" s="1"/>
  <c r="I1348" i="2"/>
  <c r="J1347" i="2"/>
  <c r="M1347" i="2" s="1"/>
  <c r="I1347" i="2"/>
  <c r="J1346" i="2"/>
  <c r="I1346" i="2"/>
  <c r="M1346" i="2" s="1"/>
  <c r="J1345" i="2"/>
  <c r="I1345" i="2"/>
  <c r="M1345" i="2" s="1"/>
  <c r="J1344" i="2"/>
  <c r="M1344" i="2" s="1"/>
  <c r="I1344" i="2"/>
  <c r="J1343" i="2"/>
  <c r="M1343" i="2" s="1"/>
  <c r="I1343" i="2"/>
  <c r="J1342" i="2"/>
  <c r="I1342" i="2"/>
  <c r="M1342" i="2" s="1"/>
  <c r="J1341" i="2"/>
  <c r="I1341" i="2"/>
  <c r="M1341" i="2" s="1"/>
  <c r="J1340" i="2"/>
  <c r="I1340" i="2"/>
  <c r="J1339" i="2"/>
  <c r="M1339" i="2" s="1"/>
  <c r="I1339" i="2"/>
  <c r="J1338" i="2"/>
  <c r="I1338" i="2"/>
  <c r="M1338" i="2" s="1"/>
  <c r="J1337" i="2"/>
  <c r="I1337" i="2"/>
  <c r="M1337" i="2" s="1"/>
  <c r="J1336" i="2"/>
  <c r="M1336" i="2" s="1"/>
  <c r="I1336" i="2"/>
  <c r="J1335" i="2"/>
  <c r="M1335" i="2" s="1"/>
  <c r="I1335" i="2"/>
  <c r="J1334" i="2"/>
  <c r="I1334" i="2"/>
  <c r="J1333" i="2"/>
  <c r="I1333" i="2"/>
  <c r="M1333" i="2" s="1"/>
  <c r="J1332" i="2"/>
  <c r="M1332" i="2" s="1"/>
  <c r="I1332" i="2"/>
  <c r="J1331" i="2"/>
  <c r="M1331" i="2" s="1"/>
  <c r="I1331" i="2"/>
  <c r="J1330" i="2"/>
  <c r="I1330" i="2"/>
  <c r="M1330" i="2" s="1"/>
  <c r="J1329" i="2"/>
  <c r="I1329" i="2"/>
  <c r="M1329" i="2" s="1"/>
  <c r="J1328" i="2"/>
  <c r="I1328" i="2"/>
  <c r="J1327" i="2"/>
  <c r="M1327" i="2" s="1"/>
  <c r="I1327" i="2"/>
  <c r="J1326" i="2"/>
  <c r="I1326" i="2"/>
  <c r="M1326" i="2" s="1"/>
  <c r="J1325" i="2"/>
  <c r="I1325" i="2"/>
  <c r="M1325" i="2" s="1"/>
  <c r="J1324" i="2"/>
  <c r="I1324" i="2"/>
  <c r="J1323" i="2"/>
  <c r="M1323" i="2" s="1"/>
  <c r="I1323" i="2"/>
  <c r="J1322" i="2"/>
  <c r="I1322" i="2"/>
  <c r="M1322" i="2" s="1"/>
  <c r="J1321" i="2"/>
  <c r="I1321" i="2"/>
  <c r="M1321" i="2" s="1"/>
  <c r="J1320" i="2"/>
  <c r="M1320" i="2" s="1"/>
  <c r="I1320" i="2"/>
  <c r="J1319" i="2"/>
  <c r="M1319" i="2" s="1"/>
  <c r="I1319" i="2"/>
  <c r="J1318" i="2"/>
  <c r="I1318" i="2"/>
  <c r="M1318" i="2" s="1"/>
  <c r="J1317" i="2"/>
  <c r="I1317" i="2"/>
  <c r="J1316" i="2"/>
  <c r="M1316" i="2" s="1"/>
  <c r="I1316" i="2"/>
  <c r="J1315" i="2"/>
  <c r="M1315" i="2" s="1"/>
  <c r="I1315" i="2"/>
  <c r="J1314" i="2"/>
  <c r="I1314" i="2"/>
  <c r="M1314" i="2" s="1"/>
  <c r="J1313" i="2"/>
  <c r="I1313" i="2"/>
  <c r="M1313" i="2" s="1"/>
  <c r="J1312" i="2"/>
  <c r="I1312" i="2"/>
  <c r="J1311" i="2"/>
  <c r="M1311" i="2" s="1"/>
  <c r="I1311" i="2"/>
  <c r="J1310" i="2"/>
  <c r="I1310" i="2"/>
  <c r="M1310" i="2" s="1"/>
  <c r="J1309" i="2"/>
  <c r="I1309" i="2"/>
  <c r="M1309" i="2" s="1"/>
  <c r="J1308" i="2"/>
  <c r="M1308" i="2" s="1"/>
  <c r="I1308" i="2"/>
  <c r="J1307" i="2"/>
  <c r="M1307" i="2" s="1"/>
  <c r="I1307" i="2"/>
  <c r="J1306" i="2"/>
  <c r="I1306" i="2"/>
  <c r="M1306" i="2" s="1"/>
  <c r="J1305" i="2"/>
  <c r="I1305" i="2"/>
  <c r="M1305" i="2" s="1"/>
  <c r="J1304" i="2"/>
  <c r="M1304" i="2" s="1"/>
  <c r="I1304" i="2"/>
  <c r="J1303" i="2"/>
  <c r="M1303" i="2" s="1"/>
  <c r="I1303" i="2"/>
  <c r="J1302" i="2"/>
  <c r="I1302" i="2"/>
  <c r="M1302" i="2" s="1"/>
  <c r="J1301" i="2"/>
  <c r="I1301" i="2"/>
  <c r="M1301" i="2" s="1"/>
  <c r="J1300" i="2"/>
  <c r="I1300" i="2"/>
  <c r="J1299" i="2"/>
  <c r="M1299" i="2" s="1"/>
  <c r="I1299" i="2"/>
  <c r="J1298" i="2"/>
  <c r="I1298" i="2"/>
  <c r="M1298" i="2" s="1"/>
  <c r="J1297" i="2"/>
  <c r="I1297" i="2"/>
  <c r="M1297" i="2" s="1"/>
  <c r="J1296" i="2"/>
  <c r="M1296" i="2" s="1"/>
  <c r="I1296" i="2"/>
  <c r="J1295" i="2"/>
  <c r="M1295" i="2" s="1"/>
  <c r="I1295" i="2"/>
  <c r="J1294" i="2"/>
  <c r="I1294" i="2"/>
  <c r="J1293" i="2"/>
  <c r="I1293" i="2"/>
  <c r="M1293" i="2" s="1"/>
  <c r="J1292" i="2"/>
  <c r="M1292" i="2" s="1"/>
  <c r="I1292" i="2"/>
  <c r="J1291" i="2"/>
  <c r="M1291" i="2" s="1"/>
  <c r="I1291" i="2"/>
  <c r="J1290" i="2"/>
  <c r="I1290" i="2"/>
  <c r="M1290" i="2" s="1"/>
  <c r="J1289" i="2"/>
  <c r="I1289" i="2"/>
  <c r="J1288" i="2"/>
  <c r="I1288" i="2"/>
  <c r="J1287" i="2"/>
  <c r="M1287" i="2" s="1"/>
  <c r="I1287" i="2"/>
  <c r="J1286" i="2"/>
  <c r="I1286" i="2"/>
  <c r="M1286" i="2" s="1"/>
  <c r="J1285" i="2"/>
  <c r="I1285" i="2"/>
  <c r="M1285" i="2" s="1"/>
  <c r="J1284" i="2"/>
  <c r="M1284" i="2" s="1"/>
  <c r="I1284" i="2"/>
  <c r="J1283" i="2"/>
  <c r="M1283" i="2" s="1"/>
  <c r="I1283" i="2"/>
  <c r="J1282" i="2"/>
  <c r="I1282" i="2"/>
  <c r="M1282" i="2" s="1"/>
  <c r="J1281" i="2"/>
  <c r="I1281" i="2"/>
  <c r="M1281" i="2" s="1"/>
  <c r="J1280" i="2"/>
  <c r="M1280" i="2" s="1"/>
  <c r="I1280" i="2"/>
  <c r="J1279" i="2"/>
  <c r="M1279" i="2" s="1"/>
  <c r="I1279" i="2"/>
  <c r="J1278" i="2"/>
  <c r="I1278" i="2"/>
  <c r="M1278" i="2" s="1"/>
  <c r="J1277" i="2"/>
  <c r="I1277" i="2"/>
  <c r="M1277" i="2" s="1"/>
  <c r="J1276" i="2"/>
  <c r="I1276" i="2"/>
  <c r="J1275" i="2"/>
  <c r="M1275" i="2" s="1"/>
  <c r="I1275" i="2"/>
  <c r="J1274" i="2"/>
  <c r="I1274" i="2"/>
  <c r="M1274" i="2" s="1"/>
  <c r="J1273" i="2"/>
  <c r="I1273" i="2"/>
  <c r="M1273" i="2" s="1"/>
  <c r="J1272" i="2"/>
  <c r="M1272" i="2" s="1"/>
  <c r="I1272" i="2"/>
  <c r="J1271" i="2"/>
  <c r="M1271" i="2" s="1"/>
  <c r="I1271" i="2"/>
  <c r="J1270" i="2"/>
  <c r="I1270" i="2"/>
  <c r="M1270" i="2" s="1"/>
  <c r="J1269" i="2"/>
  <c r="I1269" i="2"/>
  <c r="M1269" i="2" s="1"/>
  <c r="J1268" i="2"/>
  <c r="I1268" i="2"/>
  <c r="J1267" i="2"/>
  <c r="M1267" i="2" s="1"/>
  <c r="I1267" i="2"/>
  <c r="J1266" i="2"/>
  <c r="I1266" i="2"/>
  <c r="M1266" i="2" s="1"/>
  <c r="J1265" i="2"/>
  <c r="I1265" i="2"/>
  <c r="M1265" i="2" s="1"/>
  <c r="J1264" i="2"/>
  <c r="I1264" i="2"/>
  <c r="J1263" i="2"/>
  <c r="M1263" i="2" s="1"/>
  <c r="I1263" i="2"/>
  <c r="J1262" i="2"/>
  <c r="I1262" i="2"/>
  <c r="M1262" i="2" s="1"/>
  <c r="J1261" i="2"/>
  <c r="I1261" i="2"/>
  <c r="M1261" i="2" s="1"/>
  <c r="J1260" i="2"/>
  <c r="M1260" i="2" s="1"/>
  <c r="I1260" i="2"/>
  <c r="J1259" i="2"/>
  <c r="M1259" i="2" s="1"/>
  <c r="I1259" i="2"/>
  <c r="J1258" i="2"/>
  <c r="I1258" i="2"/>
  <c r="M1258" i="2" s="1"/>
  <c r="J1257" i="2"/>
  <c r="I1257" i="2"/>
  <c r="M1257" i="2" s="1"/>
  <c r="J1256" i="2"/>
  <c r="I1256" i="2"/>
  <c r="J1255" i="2"/>
  <c r="M1255" i="2" s="1"/>
  <c r="I1255" i="2"/>
  <c r="J1254" i="2"/>
  <c r="I1254" i="2"/>
  <c r="M1254" i="2" s="1"/>
  <c r="J1253" i="2"/>
  <c r="I1253" i="2"/>
  <c r="M1253" i="2" s="1"/>
  <c r="J1252" i="2"/>
  <c r="I1252" i="2"/>
  <c r="J1251" i="2"/>
  <c r="M1251" i="2" s="1"/>
  <c r="I1251" i="2"/>
  <c r="J1250" i="2"/>
  <c r="I1250" i="2"/>
  <c r="M1250" i="2" s="1"/>
  <c r="J1249" i="2"/>
  <c r="I1249" i="2"/>
  <c r="M1249" i="2" s="1"/>
  <c r="J1248" i="2"/>
  <c r="M1248" i="2" s="1"/>
  <c r="I1248" i="2"/>
  <c r="J1247" i="2"/>
  <c r="M1247" i="2" s="1"/>
  <c r="I1247" i="2"/>
  <c r="J1246" i="2"/>
  <c r="I1246" i="2"/>
  <c r="M1246" i="2" s="1"/>
  <c r="J1245" i="2"/>
  <c r="I1245" i="2"/>
  <c r="M1245" i="2" s="1"/>
  <c r="J1244" i="2"/>
  <c r="I1244" i="2"/>
  <c r="J1243" i="2"/>
  <c r="M1243" i="2" s="1"/>
  <c r="I1243" i="2"/>
  <c r="J1242" i="2"/>
  <c r="I1242" i="2"/>
  <c r="M1242" i="2" s="1"/>
  <c r="J1241" i="2"/>
  <c r="I1241" i="2"/>
  <c r="M1241" i="2" s="1"/>
  <c r="J1240" i="2"/>
  <c r="M1240" i="2" s="1"/>
  <c r="I1240" i="2"/>
  <c r="J1239" i="2"/>
  <c r="M1239" i="2" s="1"/>
  <c r="I1239" i="2"/>
  <c r="J1238" i="2"/>
  <c r="I1238" i="2"/>
  <c r="M1238" i="2" s="1"/>
  <c r="J1237" i="2"/>
  <c r="I1237" i="2"/>
  <c r="M1237" i="2" s="1"/>
  <c r="J1236" i="2"/>
  <c r="M1236" i="2" s="1"/>
  <c r="I1236" i="2"/>
  <c r="J1235" i="2"/>
  <c r="M1235" i="2" s="1"/>
  <c r="I1235" i="2"/>
  <c r="J1234" i="2"/>
  <c r="I1234" i="2"/>
  <c r="M1234" i="2" s="1"/>
  <c r="J1233" i="2"/>
  <c r="I1233" i="2"/>
  <c r="M1233" i="2" s="1"/>
  <c r="J1232" i="2"/>
  <c r="I1232" i="2"/>
  <c r="J1231" i="2"/>
  <c r="M1231" i="2" s="1"/>
  <c r="I1231" i="2"/>
  <c r="J1230" i="2"/>
  <c r="I1230" i="2"/>
  <c r="M1230" i="2" s="1"/>
  <c r="J1229" i="2"/>
  <c r="I1229" i="2"/>
  <c r="M1229" i="2" s="1"/>
  <c r="J1228" i="2"/>
  <c r="M1228" i="2" s="1"/>
  <c r="I1228" i="2"/>
  <c r="J1227" i="2"/>
  <c r="M1227" i="2" s="1"/>
  <c r="I1227" i="2"/>
  <c r="J1226" i="2"/>
  <c r="I1226" i="2"/>
  <c r="M1226" i="2" s="1"/>
  <c r="J1225" i="2"/>
  <c r="I1225" i="2"/>
  <c r="J1224" i="2"/>
  <c r="M1224" i="2" s="1"/>
  <c r="I1224" i="2"/>
  <c r="J1223" i="2"/>
  <c r="M1223" i="2" s="1"/>
  <c r="I1223" i="2"/>
  <c r="J1222" i="2"/>
  <c r="I1222" i="2"/>
  <c r="M1222" i="2" s="1"/>
  <c r="J1221" i="2"/>
  <c r="I1221" i="2"/>
  <c r="M1221" i="2" s="1"/>
  <c r="J1220" i="2"/>
  <c r="I1220" i="2"/>
  <c r="J1219" i="2"/>
  <c r="M1219" i="2" s="1"/>
  <c r="I1219" i="2"/>
  <c r="J1218" i="2"/>
  <c r="I1218" i="2"/>
  <c r="M1218" i="2" s="1"/>
  <c r="J1217" i="2"/>
  <c r="I1217" i="2"/>
  <c r="M1217" i="2" s="1"/>
  <c r="J1216" i="2"/>
  <c r="M1216" i="2" s="1"/>
  <c r="I1216" i="2"/>
  <c r="J1215" i="2"/>
  <c r="M1215" i="2" s="1"/>
  <c r="I1215" i="2"/>
  <c r="J1214" i="2"/>
  <c r="I1214" i="2"/>
  <c r="M1214" i="2" s="1"/>
  <c r="J1213" i="2"/>
  <c r="I1213" i="2"/>
  <c r="M1213" i="2" s="1"/>
  <c r="J1212" i="2"/>
  <c r="M1212" i="2" s="1"/>
  <c r="I1212" i="2"/>
  <c r="J1211" i="2"/>
  <c r="M1211" i="2" s="1"/>
  <c r="I1211" i="2"/>
  <c r="J1210" i="2"/>
  <c r="I1210" i="2"/>
  <c r="M1210" i="2" s="1"/>
  <c r="J1209" i="2"/>
  <c r="I1209" i="2"/>
  <c r="M1209" i="2" s="1"/>
  <c r="J1208" i="2"/>
  <c r="I1208" i="2"/>
  <c r="J1207" i="2"/>
  <c r="M1207" i="2" s="1"/>
  <c r="I1207" i="2"/>
  <c r="J1206" i="2"/>
  <c r="I1206" i="2"/>
  <c r="M1206" i="2" s="1"/>
  <c r="J1205" i="2"/>
  <c r="I1205" i="2"/>
  <c r="M1205" i="2" s="1"/>
  <c r="J1204" i="2"/>
  <c r="M1204" i="2" s="1"/>
  <c r="I1204" i="2"/>
  <c r="J1203" i="2"/>
  <c r="M1203" i="2" s="1"/>
  <c r="I1203" i="2"/>
  <c r="J1202" i="2"/>
  <c r="I1202" i="2"/>
  <c r="M1202" i="2" s="1"/>
  <c r="J1201" i="2"/>
  <c r="I1201" i="2"/>
  <c r="M1201" i="2" s="1"/>
  <c r="J1200" i="2"/>
  <c r="I1200" i="2"/>
  <c r="J1199" i="2"/>
  <c r="M1199" i="2" s="1"/>
  <c r="I1199" i="2"/>
  <c r="J1198" i="2"/>
  <c r="I1198" i="2"/>
  <c r="M1198" i="2" s="1"/>
  <c r="J1197" i="2"/>
  <c r="I1197" i="2"/>
  <c r="M1197" i="2" s="1"/>
  <c r="J1196" i="2"/>
  <c r="I1196" i="2"/>
  <c r="J1195" i="2"/>
  <c r="M1195" i="2" s="1"/>
  <c r="I1195" i="2"/>
  <c r="J1194" i="2"/>
  <c r="I1194" i="2"/>
  <c r="M1194" i="2" s="1"/>
  <c r="J1193" i="2"/>
  <c r="I1193" i="2"/>
  <c r="M1193" i="2" s="1"/>
  <c r="J1192" i="2"/>
  <c r="M1192" i="2" s="1"/>
  <c r="I1192" i="2"/>
  <c r="J1191" i="2"/>
  <c r="M1191" i="2" s="1"/>
  <c r="I1191" i="2"/>
  <c r="J1190" i="2"/>
  <c r="I1190" i="2"/>
  <c r="M1190" i="2" s="1"/>
  <c r="J1189" i="2"/>
  <c r="I1189" i="2"/>
  <c r="J1188" i="2"/>
  <c r="I1188" i="2"/>
  <c r="J1187" i="2"/>
  <c r="M1187" i="2" s="1"/>
  <c r="I1187" i="2"/>
  <c r="J1186" i="2"/>
  <c r="I1186" i="2"/>
  <c r="M1186" i="2" s="1"/>
  <c r="J1185" i="2"/>
  <c r="I1185" i="2"/>
  <c r="M1185" i="2" s="1"/>
  <c r="J1184" i="2"/>
  <c r="I1184" i="2"/>
  <c r="J1183" i="2"/>
  <c r="M1183" i="2" s="1"/>
  <c r="I1183" i="2"/>
  <c r="J1182" i="2"/>
  <c r="I1182" i="2"/>
  <c r="M1182" i="2" s="1"/>
  <c r="J1181" i="2"/>
  <c r="I1181" i="2"/>
  <c r="M1181" i="2" s="1"/>
  <c r="J1180" i="2"/>
  <c r="M1180" i="2" s="1"/>
  <c r="I1180" i="2"/>
  <c r="J1179" i="2"/>
  <c r="M1179" i="2" s="1"/>
  <c r="I1179" i="2"/>
  <c r="J1178" i="2"/>
  <c r="I1178" i="2"/>
  <c r="M1178" i="2" s="1"/>
  <c r="J1177" i="2"/>
  <c r="I1177" i="2"/>
  <c r="M1177" i="2" s="1"/>
  <c r="J1176" i="2"/>
  <c r="I1176" i="2"/>
  <c r="J1175" i="2"/>
  <c r="M1175" i="2" s="1"/>
  <c r="I1175" i="2"/>
  <c r="J1174" i="2"/>
  <c r="I1174" i="2"/>
  <c r="M1174" i="2" s="1"/>
  <c r="J1173" i="2"/>
  <c r="I1173" i="2"/>
  <c r="M1173" i="2" s="1"/>
  <c r="J1172" i="2"/>
  <c r="M1172" i="2" s="1"/>
  <c r="I1172" i="2"/>
  <c r="J1171" i="2"/>
  <c r="M1171" i="2" s="1"/>
  <c r="I1171" i="2"/>
  <c r="J1170" i="2"/>
  <c r="I1170" i="2"/>
  <c r="M1170" i="2" s="1"/>
  <c r="J1169" i="2"/>
  <c r="I1169" i="2"/>
  <c r="M1169" i="2" s="1"/>
  <c r="J1168" i="2"/>
  <c r="M1168" i="2" s="1"/>
  <c r="I1168" i="2"/>
  <c r="J1167" i="2"/>
  <c r="M1167" i="2" s="1"/>
  <c r="I1167" i="2"/>
  <c r="J1166" i="2"/>
  <c r="I1166" i="2"/>
  <c r="M1166" i="2" s="1"/>
  <c r="J1165" i="2"/>
  <c r="I1165" i="2"/>
  <c r="M1165" i="2" s="1"/>
  <c r="J1164" i="2"/>
  <c r="I1164" i="2"/>
  <c r="J1163" i="2"/>
  <c r="M1163" i="2" s="1"/>
  <c r="I1163" i="2"/>
  <c r="J1162" i="2"/>
  <c r="I1162" i="2"/>
  <c r="M1162" i="2" s="1"/>
  <c r="J1161" i="2"/>
  <c r="I1161" i="2"/>
  <c r="M1161" i="2" s="1"/>
  <c r="J1160" i="2"/>
  <c r="I1160" i="2"/>
  <c r="J1159" i="2"/>
  <c r="M1159" i="2" s="1"/>
  <c r="I1159" i="2"/>
  <c r="J1158" i="2"/>
  <c r="I1158" i="2"/>
  <c r="M1158" i="2" s="1"/>
  <c r="J1157" i="2"/>
  <c r="I1157" i="2"/>
  <c r="M1157" i="2" s="1"/>
  <c r="J1156" i="2"/>
  <c r="M1156" i="2" s="1"/>
  <c r="I1156" i="2"/>
  <c r="J1155" i="2"/>
  <c r="M1155" i="2" s="1"/>
  <c r="I1155" i="2"/>
  <c r="J1154" i="2"/>
  <c r="I1154" i="2"/>
  <c r="M1154" i="2" s="1"/>
  <c r="J1153" i="2"/>
  <c r="I1153" i="2"/>
  <c r="M1153" i="2" s="1"/>
  <c r="J1152" i="2"/>
  <c r="I1152" i="2"/>
  <c r="J1151" i="2"/>
  <c r="M1151" i="2" s="1"/>
  <c r="I1151" i="2"/>
  <c r="J1150" i="2"/>
  <c r="I1150" i="2"/>
  <c r="M1150" i="2" s="1"/>
  <c r="J1149" i="2"/>
  <c r="I1149" i="2"/>
  <c r="M1149" i="2" s="1"/>
  <c r="J1148" i="2"/>
  <c r="M1148" i="2" s="1"/>
  <c r="I1148" i="2"/>
  <c r="J1147" i="2"/>
  <c r="M1147" i="2" s="1"/>
  <c r="I1147" i="2"/>
  <c r="J1146" i="2"/>
  <c r="I1146" i="2"/>
  <c r="M1146" i="2" s="1"/>
  <c r="J1145" i="2"/>
  <c r="I1145" i="2"/>
  <c r="M1145" i="2" s="1"/>
  <c r="J1144" i="2"/>
  <c r="M1144" i="2" s="1"/>
  <c r="I1144" i="2"/>
  <c r="J1143" i="2"/>
  <c r="M1143" i="2" s="1"/>
  <c r="I1143" i="2"/>
  <c r="J1142" i="2"/>
  <c r="I1142" i="2"/>
  <c r="M1142" i="2" s="1"/>
  <c r="J1141" i="2"/>
  <c r="I1141" i="2"/>
  <c r="M1141" i="2" s="1"/>
  <c r="J1140" i="2"/>
  <c r="I1140" i="2"/>
  <c r="J1139" i="2"/>
  <c r="M1139" i="2" s="1"/>
  <c r="I1139" i="2"/>
  <c r="J1138" i="2"/>
  <c r="I1138" i="2"/>
  <c r="M1138" i="2" s="1"/>
  <c r="J1137" i="2"/>
  <c r="I1137" i="2"/>
  <c r="M1137" i="2" s="1"/>
  <c r="J1136" i="2"/>
  <c r="M1136" i="2" s="1"/>
  <c r="I1136" i="2"/>
  <c r="J1135" i="2"/>
  <c r="M1135" i="2" s="1"/>
  <c r="I1135" i="2"/>
  <c r="J1134" i="2"/>
  <c r="I1134" i="2"/>
  <c r="M1134" i="2" s="1"/>
  <c r="J1133" i="2"/>
  <c r="I1133" i="2"/>
  <c r="M1133" i="2" s="1"/>
  <c r="J1132" i="2"/>
  <c r="I1132" i="2"/>
  <c r="J1131" i="2"/>
  <c r="M1131" i="2" s="1"/>
  <c r="I1131" i="2"/>
  <c r="J1130" i="2"/>
  <c r="I1130" i="2"/>
  <c r="M1130" i="2" s="1"/>
  <c r="J1129" i="2"/>
  <c r="I1129" i="2"/>
  <c r="M1129" i="2" s="1"/>
  <c r="J1128" i="2"/>
  <c r="I1128" i="2"/>
  <c r="J1127" i="2"/>
  <c r="M1127" i="2" s="1"/>
  <c r="I1127" i="2"/>
  <c r="J1126" i="2"/>
  <c r="I1126" i="2"/>
  <c r="M1126" i="2" s="1"/>
  <c r="J1125" i="2"/>
  <c r="I1125" i="2"/>
  <c r="M1125" i="2" s="1"/>
  <c r="J1124" i="2"/>
  <c r="M1124" i="2" s="1"/>
  <c r="I1124" i="2"/>
  <c r="J1123" i="2"/>
  <c r="M1123" i="2" s="1"/>
  <c r="I1123" i="2"/>
  <c r="J1122" i="2"/>
  <c r="I1122" i="2"/>
  <c r="M1122" i="2" s="1"/>
  <c r="J1121" i="2"/>
  <c r="I1121" i="2"/>
  <c r="M1121" i="2" s="1"/>
  <c r="J1120" i="2"/>
  <c r="I1120" i="2"/>
  <c r="J1119" i="2"/>
  <c r="M1119" i="2" s="1"/>
  <c r="I1119" i="2"/>
  <c r="J1118" i="2"/>
  <c r="I1118" i="2"/>
  <c r="M1118" i="2" s="1"/>
  <c r="J1117" i="2"/>
  <c r="I1117" i="2"/>
  <c r="M1117" i="2" s="1"/>
  <c r="J1116" i="2"/>
  <c r="I1116" i="2"/>
  <c r="J1115" i="2"/>
  <c r="M1115" i="2" s="1"/>
  <c r="I1115" i="2"/>
  <c r="J1114" i="2"/>
  <c r="I1114" i="2"/>
  <c r="M1114" i="2" s="1"/>
  <c r="J1113" i="2"/>
  <c r="I1113" i="2"/>
  <c r="M1113" i="2" s="1"/>
  <c r="J1112" i="2"/>
  <c r="M1112" i="2" s="1"/>
  <c r="I1112" i="2"/>
  <c r="J1111" i="2"/>
  <c r="M1111" i="2" s="1"/>
  <c r="I1111" i="2"/>
  <c r="J1110" i="2"/>
  <c r="I1110" i="2"/>
  <c r="M1110" i="2" s="1"/>
  <c r="J1109" i="2"/>
  <c r="I1109" i="2"/>
  <c r="M1109" i="2" s="1"/>
  <c r="J1108" i="2"/>
  <c r="I1108" i="2"/>
  <c r="J1107" i="2"/>
  <c r="M1107" i="2" s="1"/>
  <c r="I1107" i="2"/>
  <c r="J1106" i="2"/>
  <c r="I1106" i="2"/>
  <c r="M1106" i="2" s="1"/>
  <c r="J1105" i="2"/>
  <c r="I1105" i="2"/>
  <c r="M1105" i="2" s="1"/>
  <c r="J1104" i="2"/>
  <c r="M1104" i="2" s="1"/>
  <c r="I1104" i="2"/>
  <c r="J1103" i="2"/>
  <c r="M1103" i="2" s="1"/>
  <c r="I1103" i="2"/>
  <c r="J1102" i="2"/>
  <c r="I1102" i="2"/>
  <c r="J1101" i="2"/>
  <c r="I1101" i="2"/>
  <c r="M1101" i="2" s="1"/>
  <c r="J1100" i="2"/>
  <c r="M1100" i="2" s="1"/>
  <c r="I1100" i="2"/>
  <c r="J1099" i="2"/>
  <c r="M1099" i="2" s="1"/>
  <c r="I1099" i="2"/>
  <c r="J1098" i="2"/>
  <c r="I1098" i="2"/>
  <c r="M1098" i="2" s="1"/>
  <c r="J1097" i="2"/>
  <c r="I1097" i="2"/>
  <c r="J1096" i="2"/>
  <c r="I1096" i="2"/>
  <c r="J1095" i="2"/>
  <c r="M1095" i="2" s="1"/>
  <c r="I1095" i="2"/>
  <c r="J1094" i="2"/>
  <c r="I1094" i="2"/>
  <c r="M1094" i="2" s="1"/>
  <c r="J1093" i="2"/>
  <c r="I1093" i="2"/>
  <c r="M1093" i="2" s="1"/>
  <c r="J1092" i="2"/>
  <c r="I1092" i="2"/>
  <c r="J1091" i="2"/>
  <c r="M1091" i="2" s="1"/>
  <c r="I1091" i="2"/>
  <c r="J1090" i="2"/>
  <c r="I1090" i="2"/>
  <c r="M1090" i="2" s="1"/>
  <c r="J1089" i="2"/>
  <c r="I1089" i="2"/>
  <c r="M1089" i="2" s="1"/>
  <c r="J1088" i="2"/>
  <c r="M1088" i="2" s="1"/>
  <c r="I1088" i="2"/>
  <c r="J1087" i="2"/>
  <c r="M1087" i="2" s="1"/>
  <c r="I1087" i="2"/>
  <c r="J1086" i="2"/>
  <c r="I1086" i="2"/>
  <c r="M1086" i="2" s="1"/>
  <c r="J1085" i="2"/>
  <c r="I1085" i="2"/>
  <c r="M1085" i="2" s="1"/>
  <c r="J1084" i="2"/>
  <c r="I1084" i="2"/>
  <c r="J1083" i="2"/>
  <c r="M1083" i="2" s="1"/>
  <c r="I1083" i="2"/>
  <c r="J1082" i="2"/>
  <c r="I1082" i="2"/>
  <c r="M1082" i="2" s="1"/>
  <c r="J1081" i="2"/>
  <c r="I1081" i="2"/>
  <c r="M1081" i="2" s="1"/>
  <c r="J1080" i="2"/>
  <c r="M1080" i="2" s="1"/>
  <c r="I1080" i="2"/>
  <c r="J1079" i="2"/>
  <c r="M1079" i="2" s="1"/>
  <c r="I1079" i="2"/>
  <c r="J1078" i="2"/>
  <c r="I1078" i="2"/>
  <c r="M1078" i="2" s="1"/>
  <c r="J1077" i="2"/>
  <c r="I1077" i="2"/>
  <c r="M1077" i="2" s="1"/>
  <c r="J1076" i="2"/>
  <c r="M1076" i="2" s="1"/>
  <c r="I1076" i="2"/>
  <c r="J1075" i="2"/>
  <c r="M1075" i="2" s="1"/>
  <c r="I1075" i="2"/>
  <c r="J1074" i="2"/>
  <c r="I1074" i="2"/>
  <c r="M1074" i="2" s="1"/>
  <c r="J1073" i="2"/>
  <c r="I1073" i="2"/>
  <c r="M1073" i="2" s="1"/>
  <c r="J1072" i="2"/>
  <c r="I1072" i="2"/>
  <c r="J1071" i="2"/>
  <c r="M1071" i="2" s="1"/>
  <c r="I1071" i="2"/>
  <c r="J1070" i="2"/>
  <c r="I1070" i="2"/>
  <c r="M1070" i="2" s="1"/>
  <c r="J1069" i="2"/>
  <c r="I1069" i="2"/>
  <c r="M1069" i="2" s="1"/>
  <c r="J1068" i="2"/>
  <c r="M1068" i="2" s="1"/>
  <c r="I1068" i="2"/>
  <c r="J1067" i="2"/>
  <c r="M1067" i="2" s="1"/>
  <c r="I1067" i="2"/>
  <c r="J1066" i="2"/>
  <c r="I1066" i="2"/>
  <c r="M1066" i="2" s="1"/>
  <c r="J1065" i="2"/>
  <c r="I1065" i="2"/>
  <c r="M1065" i="2" s="1"/>
  <c r="J1064" i="2"/>
  <c r="I1064" i="2"/>
  <c r="J1063" i="2"/>
  <c r="M1063" i="2" s="1"/>
  <c r="I1063" i="2"/>
  <c r="J1062" i="2"/>
  <c r="I1062" i="2"/>
  <c r="M1062" i="2" s="1"/>
  <c r="J1061" i="2"/>
  <c r="I1061" i="2"/>
  <c r="M1061" i="2" s="1"/>
  <c r="J1060" i="2"/>
  <c r="I1060" i="2"/>
  <c r="J1059" i="2"/>
  <c r="M1059" i="2" s="1"/>
  <c r="I1059" i="2"/>
  <c r="J1058" i="2"/>
  <c r="I1058" i="2"/>
  <c r="M1058" i="2" s="1"/>
  <c r="J1057" i="2"/>
  <c r="I1057" i="2"/>
  <c r="M1057" i="2" s="1"/>
  <c r="J1056" i="2"/>
  <c r="M1056" i="2" s="1"/>
  <c r="I1056" i="2"/>
  <c r="J1055" i="2"/>
  <c r="M1055" i="2" s="1"/>
  <c r="I1055" i="2"/>
  <c r="J1054" i="2"/>
  <c r="I1054" i="2"/>
  <c r="M1054" i="2" s="1"/>
  <c r="J1053" i="2"/>
  <c r="I1053" i="2"/>
  <c r="M1053" i="2" s="1"/>
  <c r="J1052" i="2"/>
  <c r="I1052" i="2"/>
  <c r="J1051" i="2"/>
  <c r="M1051" i="2" s="1"/>
  <c r="I1051" i="2"/>
  <c r="J1050" i="2"/>
  <c r="I1050" i="2"/>
  <c r="M1050" i="2" s="1"/>
  <c r="J1049" i="2"/>
  <c r="I1049" i="2"/>
  <c r="M1049" i="2" s="1"/>
  <c r="J1048" i="2"/>
  <c r="I1048" i="2"/>
  <c r="J1047" i="2"/>
  <c r="I1047" i="2"/>
  <c r="J1046" i="2"/>
  <c r="I1046" i="2"/>
  <c r="M1046" i="2" s="1"/>
  <c r="J1045" i="2"/>
  <c r="I1045" i="2"/>
  <c r="M1045" i="2" s="1"/>
  <c r="J1044" i="2"/>
  <c r="M1044" i="2" s="1"/>
  <c r="I1044" i="2"/>
  <c r="J1043" i="2"/>
  <c r="I1043" i="2"/>
  <c r="J1042" i="2"/>
  <c r="I1042" i="2"/>
  <c r="M1042" i="2" s="1"/>
  <c r="J1041" i="2"/>
  <c r="I1041" i="2"/>
  <c r="M1041" i="2" s="1"/>
  <c r="J1040" i="2"/>
  <c r="M1040" i="2" s="1"/>
  <c r="I1040" i="2"/>
  <c r="J1039" i="2"/>
  <c r="I1039" i="2"/>
  <c r="J1038" i="2"/>
  <c r="I1038" i="2"/>
  <c r="M1038" i="2" s="1"/>
  <c r="J1037" i="2"/>
  <c r="I1037" i="2"/>
  <c r="M1037" i="2" s="1"/>
  <c r="J1036" i="2"/>
  <c r="I1036" i="2"/>
  <c r="J1035" i="2"/>
  <c r="I1035" i="2"/>
  <c r="J1034" i="2"/>
  <c r="I1034" i="2"/>
  <c r="M1034" i="2" s="1"/>
  <c r="J1033" i="2"/>
  <c r="I1033" i="2"/>
  <c r="M1033" i="2" s="1"/>
  <c r="J1032" i="2"/>
  <c r="I1032" i="2"/>
  <c r="J1031" i="2"/>
  <c r="I1031" i="2"/>
  <c r="J1030" i="2"/>
  <c r="I1030" i="2"/>
  <c r="M1030" i="2" s="1"/>
  <c r="J1029" i="2"/>
  <c r="I1029" i="2"/>
  <c r="M1029" i="2" s="1"/>
  <c r="J1028" i="2"/>
  <c r="I1028" i="2"/>
  <c r="J1027" i="2"/>
  <c r="I1027" i="2"/>
  <c r="J1026" i="2"/>
  <c r="I1026" i="2"/>
  <c r="M1026" i="2" s="1"/>
  <c r="J1025" i="2"/>
  <c r="I1025" i="2"/>
  <c r="M1025" i="2" s="1"/>
  <c r="J1024" i="2"/>
  <c r="M1024" i="2" s="1"/>
  <c r="I1024" i="2"/>
  <c r="J1023" i="2"/>
  <c r="I1023" i="2"/>
  <c r="J1022" i="2"/>
  <c r="I1022" i="2"/>
  <c r="M1022" i="2" s="1"/>
  <c r="J1021" i="2"/>
  <c r="I1021" i="2"/>
  <c r="M1021" i="2" s="1"/>
  <c r="J1020" i="2"/>
  <c r="M1020" i="2" s="1"/>
  <c r="I1020" i="2"/>
  <c r="J1019" i="2"/>
  <c r="I1019" i="2"/>
  <c r="J1018" i="2"/>
  <c r="I1018" i="2"/>
  <c r="M1018" i="2" s="1"/>
  <c r="J1017" i="2"/>
  <c r="I1017" i="2"/>
  <c r="M1017" i="2" s="1"/>
  <c r="J1016" i="2"/>
  <c r="I1016" i="2"/>
  <c r="J1015" i="2"/>
  <c r="I1015" i="2"/>
  <c r="J1014" i="2"/>
  <c r="I1014" i="2"/>
  <c r="M1014" i="2" s="1"/>
  <c r="J1013" i="2"/>
  <c r="I1013" i="2"/>
  <c r="M1013" i="2" s="1"/>
  <c r="J1012" i="2"/>
  <c r="I1012" i="2"/>
  <c r="J1011" i="2"/>
  <c r="I1011" i="2"/>
  <c r="J1010" i="2"/>
  <c r="I1010" i="2"/>
  <c r="M1010" i="2" s="1"/>
  <c r="J1009" i="2"/>
  <c r="I1009" i="2"/>
  <c r="M1009" i="2" s="1"/>
  <c r="J1008" i="2"/>
  <c r="M1008" i="2" s="1"/>
  <c r="I1008" i="2"/>
  <c r="J1007" i="2"/>
  <c r="I1007" i="2"/>
  <c r="J1006" i="2"/>
  <c r="I1006" i="2"/>
  <c r="M1006" i="2" s="1"/>
  <c r="J1005" i="2"/>
  <c r="I1005" i="2"/>
  <c r="M1005" i="2" s="1"/>
  <c r="J1004" i="2"/>
  <c r="M1004" i="2" s="1"/>
  <c r="I1004" i="2"/>
  <c r="J1003" i="2"/>
  <c r="I1003" i="2"/>
  <c r="J1002" i="2"/>
  <c r="I1002" i="2"/>
  <c r="M1002" i="2" s="1"/>
  <c r="J1001" i="2"/>
  <c r="I1001" i="2"/>
  <c r="M1001" i="2" s="1"/>
  <c r="J1000" i="2"/>
  <c r="I1000" i="2"/>
  <c r="J999" i="2"/>
  <c r="I999" i="2"/>
  <c r="J998" i="2"/>
  <c r="I998" i="2"/>
  <c r="M998" i="2" s="1"/>
  <c r="J997" i="2"/>
  <c r="I997" i="2"/>
  <c r="M997" i="2" s="1"/>
  <c r="J996" i="2"/>
  <c r="I996" i="2"/>
  <c r="J995" i="2"/>
  <c r="I995" i="2"/>
  <c r="J994" i="2"/>
  <c r="I994" i="2"/>
  <c r="M994" i="2" s="1"/>
  <c r="J993" i="2"/>
  <c r="I993" i="2"/>
  <c r="M993" i="2" s="1"/>
  <c r="J992" i="2"/>
  <c r="M992" i="2" s="1"/>
  <c r="I992" i="2"/>
  <c r="J991" i="2"/>
  <c r="I991" i="2"/>
  <c r="J990" i="2"/>
  <c r="I990" i="2"/>
  <c r="J989" i="2"/>
  <c r="I989" i="2"/>
  <c r="M989" i="2" s="1"/>
  <c r="J988" i="2"/>
  <c r="M988" i="2" s="1"/>
  <c r="I988" i="2"/>
  <c r="J987" i="2"/>
  <c r="I987" i="2"/>
  <c r="J986" i="2"/>
  <c r="I986" i="2"/>
  <c r="M986" i="2" s="1"/>
  <c r="J985" i="2"/>
  <c r="I985" i="2"/>
  <c r="M985" i="2" s="1"/>
  <c r="J984" i="2"/>
  <c r="I984" i="2"/>
  <c r="J983" i="2"/>
  <c r="I983" i="2"/>
  <c r="J982" i="2"/>
  <c r="I982" i="2"/>
  <c r="M982" i="2" s="1"/>
  <c r="J981" i="2"/>
  <c r="I981" i="2"/>
  <c r="M981" i="2" s="1"/>
  <c r="J980" i="2"/>
  <c r="I980" i="2"/>
  <c r="J979" i="2"/>
  <c r="I979" i="2"/>
  <c r="J978" i="2"/>
  <c r="I978" i="2"/>
  <c r="M978" i="2" s="1"/>
  <c r="J977" i="2"/>
  <c r="I977" i="2"/>
  <c r="M977" i="2" s="1"/>
  <c r="J976" i="2"/>
  <c r="M976" i="2" s="1"/>
  <c r="I976" i="2"/>
  <c r="J975" i="2"/>
  <c r="I975" i="2"/>
  <c r="J974" i="2"/>
  <c r="I974" i="2"/>
  <c r="M974" i="2" s="1"/>
  <c r="J973" i="2"/>
  <c r="I973" i="2"/>
  <c r="M973" i="2" s="1"/>
  <c r="J972" i="2"/>
  <c r="M972" i="2" s="1"/>
  <c r="I972" i="2"/>
  <c r="J971" i="2"/>
  <c r="I971" i="2"/>
  <c r="J970" i="2"/>
  <c r="I970" i="2"/>
  <c r="J969" i="2"/>
  <c r="I969" i="2"/>
  <c r="M969" i="2" s="1"/>
  <c r="J968" i="2"/>
  <c r="M968" i="2" s="1"/>
  <c r="I968" i="2"/>
  <c r="J967" i="2"/>
  <c r="I967" i="2"/>
  <c r="J966" i="2"/>
  <c r="I966" i="2"/>
  <c r="J965" i="2"/>
  <c r="I965" i="2"/>
  <c r="M965" i="2" s="1"/>
  <c r="J964" i="2"/>
  <c r="I964" i="2"/>
  <c r="J963" i="2"/>
  <c r="I963" i="2"/>
  <c r="J962" i="2"/>
  <c r="I962" i="2"/>
  <c r="M962" i="2" s="1"/>
  <c r="J961" i="2"/>
  <c r="I961" i="2"/>
  <c r="M961" i="2" s="1"/>
  <c r="J960" i="2"/>
  <c r="I960" i="2"/>
  <c r="J959" i="2"/>
  <c r="I959" i="2"/>
  <c r="J958" i="2"/>
  <c r="I958" i="2"/>
  <c r="M958" i="2" s="1"/>
  <c r="J957" i="2"/>
  <c r="I957" i="2"/>
  <c r="M957" i="2" s="1"/>
  <c r="J956" i="2"/>
  <c r="M956" i="2" s="1"/>
  <c r="I956" i="2"/>
  <c r="J955" i="2"/>
  <c r="I955" i="2"/>
  <c r="J954" i="2"/>
  <c r="I954" i="2"/>
  <c r="M954" i="2" s="1"/>
  <c r="J953" i="2"/>
  <c r="I953" i="2"/>
  <c r="M953" i="2" s="1"/>
  <c r="J952" i="2"/>
  <c r="M952" i="2" s="1"/>
  <c r="I952" i="2"/>
  <c r="J951" i="2"/>
  <c r="I951" i="2"/>
  <c r="J950" i="2"/>
  <c r="I950" i="2"/>
  <c r="M950" i="2" s="1"/>
  <c r="J949" i="2"/>
  <c r="I949" i="2"/>
  <c r="M949" i="2" s="1"/>
  <c r="J948" i="2"/>
  <c r="I948" i="2"/>
  <c r="J947" i="2"/>
  <c r="I947" i="2"/>
  <c r="J946" i="2"/>
  <c r="I946" i="2"/>
  <c r="M946" i="2" s="1"/>
  <c r="J945" i="2"/>
  <c r="I945" i="2"/>
  <c r="M945" i="2" s="1"/>
  <c r="J944" i="2"/>
  <c r="I944" i="2"/>
  <c r="J943" i="2"/>
  <c r="I943" i="2"/>
  <c r="J942" i="2"/>
  <c r="I942" i="2"/>
  <c r="M942" i="2" s="1"/>
  <c r="J941" i="2"/>
  <c r="I941" i="2"/>
  <c r="M941" i="2" s="1"/>
  <c r="J940" i="2"/>
  <c r="M940" i="2" s="1"/>
  <c r="I940" i="2"/>
  <c r="J939" i="2"/>
  <c r="I939" i="2"/>
  <c r="J938" i="2"/>
  <c r="I938" i="2"/>
  <c r="M938" i="2" s="1"/>
  <c r="J937" i="2"/>
  <c r="I937" i="2"/>
  <c r="M937" i="2" s="1"/>
  <c r="J936" i="2"/>
  <c r="M936" i="2" s="1"/>
  <c r="I936" i="2"/>
  <c r="J935" i="2"/>
  <c r="I935" i="2"/>
  <c r="J934" i="2"/>
  <c r="I934" i="2"/>
  <c r="M934" i="2" s="1"/>
  <c r="J933" i="2"/>
  <c r="I933" i="2"/>
  <c r="M933" i="2" s="1"/>
  <c r="J932" i="2"/>
  <c r="I932" i="2"/>
  <c r="J931" i="2"/>
  <c r="I931" i="2"/>
  <c r="J930" i="2"/>
  <c r="I930" i="2"/>
  <c r="M930" i="2" s="1"/>
  <c r="J929" i="2"/>
  <c r="I929" i="2"/>
  <c r="M929" i="2" s="1"/>
  <c r="J928" i="2"/>
  <c r="I928" i="2"/>
  <c r="J927" i="2"/>
  <c r="I927" i="2"/>
  <c r="J926" i="2"/>
  <c r="I926" i="2"/>
  <c r="M926" i="2" s="1"/>
  <c r="J925" i="2"/>
  <c r="I925" i="2"/>
  <c r="M925" i="2" s="1"/>
  <c r="J924" i="2"/>
  <c r="I924" i="2"/>
  <c r="J923" i="2"/>
  <c r="I923" i="2"/>
  <c r="J922" i="2"/>
  <c r="I922" i="2"/>
  <c r="M922" i="2" s="1"/>
  <c r="J921" i="2"/>
  <c r="I921" i="2"/>
  <c r="M921" i="2" s="1"/>
  <c r="J920" i="2"/>
  <c r="M920" i="2" s="1"/>
  <c r="I920" i="2"/>
  <c r="J919" i="2"/>
  <c r="I919" i="2"/>
  <c r="J918" i="2"/>
  <c r="I918" i="2"/>
  <c r="M918" i="2" s="1"/>
  <c r="J917" i="2"/>
  <c r="I917" i="2"/>
  <c r="M917" i="2" s="1"/>
  <c r="J916" i="2"/>
  <c r="M916" i="2" s="1"/>
  <c r="I916" i="2"/>
  <c r="J915" i="2"/>
  <c r="I915" i="2"/>
  <c r="J914" i="2"/>
  <c r="I914" i="2"/>
  <c r="M914" i="2" s="1"/>
  <c r="J913" i="2"/>
  <c r="I913" i="2"/>
  <c r="M913" i="2" s="1"/>
  <c r="J912" i="2"/>
  <c r="I912" i="2"/>
  <c r="J911" i="2"/>
  <c r="I911" i="2"/>
  <c r="J910" i="2"/>
  <c r="I910" i="2"/>
  <c r="M910" i="2" s="1"/>
  <c r="J909" i="2"/>
  <c r="I909" i="2"/>
  <c r="M909" i="2" s="1"/>
  <c r="J908" i="2"/>
  <c r="I908" i="2"/>
  <c r="J907" i="2"/>
  <c r="I907" i="2"/>
  <c r="J906" i="2"/>
  <c r="I906" i="2"/>
  <c r="M906" i="2" s="1"/>
  <c r="J905" i="2"/>
  <c r="I905" i="2"/>
  <c r="M905" i="2" s="1"/>
  <c r="J904" i="2"/>
  <c r="M904" i="2" s="1"/>
  <c r="I904" i="2"/>
  <c r="J903" i="2"/>
  <c r="I903" i="2"/>
  <c r="J902" i="2"/>
  <c r="I902" i="2"/>
  <c r="J901" i="2"/>
  <c r="I901" i="2"/>
  <c r="M901" i="2" s="1"/>
  <c r="J900" i="2"/>
  <c r="M900" i="2" s="1"/>
  <c r="I900" i="2"/>
  <c r="J899" i="2"/>
  <c r="I899" i="2"/>
  <c r="J898" i="2"/>
  <c r="I898" i="2"/>
  <c r="M898" i="2" s="1"/>
  <c r="J897" i="2"/>
  <c r="I897" i="2"/>
  <c r="M897" i="2" s="1"/>
  <c r="J896" i="2"/>
  <c r="M896" i="2" s="1"/>
  <c r="I896" i="2"/>
  <c r="J895" i="2"/>
  <c r="I895" i="2"/>
  <c r="J894" i="2"/>
  <c r="I894" i="2"/>
  <c r="M894" i="2" s="1"/>
  <c r="J893" i="2"/>
  <c r="I893" i="2"/>
  <c r="M893" i="2" s="1"/>
  <c r="J892" i="2"/>
  <c r="I892" i="2"/>
  <c r="J891" i="2"/>
  <c r="I891" i="2"/>
  <c r="J890" i="2"/>
  <c r="I890" i="2"/>
  <c r="M890" i="2" s="1"/>
  <c r="J889" i="2"/>
  <c r="I889" i="2"/>
  <c r="M889" i="2" s="1"/>
  <c r="J888" i="2"/>
  <c r="I888" i="2"/>
  <c r="J887" i="2"/>
  <c r="I887" i="2"/>
  <c r="J886" i="2"/>
  <c r="I886" i="2"/>
  <c r="M886" i="2" s="1"/>
  <c r="J885" i="2"/>
  <c r="I885" i="2"/>
  <c r="M885" i="2" s="1"/>
  <c r="J884" i="2"/>
  <c r="M884" i="2" s="1"/>
  <c r="I884" i="2"/>
  <c r="J883" i="2"/>
  <c r="I883" i="2"/>
  <c r="J882" i="2"/>
  <c r="I882" i="2"/>
  <c r="M882" i="2" s="1"/>
  <c r="J881" i="2"/>
  <c r="I881" i="2"/>
  <c r="M881" i="2" s="1"/>
  <c r="J880" i="2"/>
  <c r="M880" i="2" s="1"/>
  <c r="I880" i="2"/>
  <c r="J879" i="2"/>
  <c r="I879" i="2"/>
  <c r="J878" i="2"/>
  <c r="I878" i="2"/>
  <c r="M878" i="2" s="1"/>
  <c r="J877" i="2"/>
  <c r="I877" i="2"/>
  <c r="M877" i="2" s="1"/>
  <c r="J876" i="2"/>
  <c r="I876" i="2"/>
  <c r="J875" i="2"/>
  <c r="I875" i="2"/>
  <c r="J874" i="2"/>
  <c r="I874" i="2"/>
  <c r="M874" i="2" s="1"/>
  <c r="J873" i="2"/>
  <c r="I873" i="2"/>
  <c r="M873" i="2" s="1"/>
  <c r="J872" i="2"/>
  <c r="I872" i="2"/>
  <c r="J871" i="2"/>
  <c r="I871" i="2"/>
  <c r="J870" i="2"/>
  <c r="I870" i="2"/>
  <c r="M870" i="2" s="1"/>
  <c r="J869" i="2"/>
  <c r="I869" i="2"/>
  <c r="M869" i="2" s="1"/>
  <c r="J868" i="2"/>
  <c r="M868" i="2" s="1"/>
  <c r="I868" i="2"/>
  <c r="J867" i="2"/>
  <c r="I867" i="2"/>
  <c r="J866" i="2"/>
  <c r="I866" i="2"/>
  <c r="M866" i="2" s="1"/>
  <c r="J865" i="2"/>
  <c r="I865" i="2"/>
  <c r="M865" i="2" s="1"/>
  <c r="J864" i="2"/>
  <c r="M864" i="2" s="1"/>
  <c r="I864" i="2"/>
  <c r="J863" i="2"/>
  <c r="I863" i="2"/>
  <c r="J862" i="2"/>
  <c r="I862" i="2"/>
  <c r="J861" i="2"/>
  <c r="I861" i="2"/>
  <c r="M861" i="2" s="1"/>
  <c r="J860" i="2"/>
  <c r="I860" i="2"/>
  <c r="J859" i="2"/>
  <c r="I859" i="2"/>
  <c r="J858" i="2"/>
  <c r="I858" i="2"/>
  <c r="M858" i="2" s="1"/>
  <c r="J857" i="2"/>
  <c r="I857" i="2"/>
  <c r="M857" i="2" s="1"/>
  <c r="J856" i="2"/>
  <c r="I856" i="2"/>
  <c r="J855" i="2"/>
  <c r="I855" i="2"/>
  <c r="J854" i="2"/>
  <c r="I854" i="2"/>
  <c r="M854" i="2" s="1"/>
  <c r="J853" i="2"/>
  <c r="I853" i="2"/>
  <c r="M853" i="2" s="1"/>
  <c r="J852" i="2"/>
  <c r="M852" i="2" s="1"/>
  <c r="I852" i="2"/>
  <c r="J851" i="2"/>
  <c r="I851" i="2"/>
  <c r="J850" i="2"/>
  <c r="I850" i="2"/>
  <c r="M850" i="2" s="1"/>
  <c r="J849" i="2"/>
  <c r="I849" i="2"/>
  <c r="M849" i="2" s="1"/>
  <c r="J848" i="2"/>
  <c r="M848" i="2" s="1"/>
  <c r="I848" i="2"/>
  <c r="J847" i="2"/>
  <c r="I847" i="2"/>
  <c r="J846" i="2"/>
  <c r="I846" i="2"/>
  <c r="M846" i="2" s="1"/>
  <c r="J845" i="2"/>
  <c r="I845" i="2"/>
  <c r="M845" i="2" s="1"/>
  <c r="J844" i="2"/>
  <c r="I844" i="2"/>
  <c r="J843" i="2"/>
  <c r="I843" i="2"/>
  <c r="J842" i="2"/>
  <c r="I842" i="2"/>
  <c r="M842" i="2" s="1"/>
  <c r="J841" i="2"/>
  <c r="I841" i="2"/>
  <c r="M841" i="2" s="1"/>
  <c r="J840" i="2"/>
  <c r="I840" i="2"/>
  <c r="J839" i="2"/>
  <c r="I839" i="2"/>
  <c r="J838" i="2"/>
  <c r="I838" i="2"/>
  <c r="M838" i="2" s="1"/>
  <c r="J837" i="2"/>
  <c r="I837" i="2"/>
  <c r="M837" i="2" s="1"/>
  <c r="J836" i="2"/>
  <c r="M836" i="2" s="1"/>
  <c r="I836" i="2"/>
  <c r="J835" i="2"/>
  <c r="I835" i="2"/>
  <c r="J834" i="2"/>
  <c r="I834" i="2"/>
  <c r="M834" i="2" s="1"/>
  <c r="J833" i="2"/>
  <c r="I833" i="2"/>
  <c r="M833" i="2" s="1"/>
  <c r="J832" i="2"/>
  <c r="M832" i="2" s="1"/>
  <c r="I832" i="2"/>
  <c r="J831" i="2"/>
  <c r="I831" i="2"/>
  <c r="J830" i="2"/>
  <c r="I830" i="2"/>
  <c r="M830" i="2" s="1"/>
  <c r="J829" i="2"/>
  <c r="I829" i="2"/>
  <c r="M829" i="2" s="1"/>
  <c r="J828" i="2"/>
  <c r="I828" i="2"/>
  <c r="J827" i="2"/>
  <c r="I827" i="2"/>
  <c r="J826" i="2"/>
  <c r="I826" i="2"/>
  <c r="M826" i="2" s="1"/>
  <c r="J825" i="2"/>
  <c r="I825" i="2"/>
  <c r="M825" i="2" s="1"/>
  <c r="J824" i="2"/>
  <c r="I824" i="2"/>
  <c r="J823" i="2"/>
  <c r="I823" i="2"/>
  <c r="J822" i="2"/>
  <c r="I822" i="2"/>
  <c r="M822" i="2" s="1"/>
  <c r="J821" i="2"/>
  <c r="I821" i="2"/>
  <c r="M821" i="2" s="1"/>
  <c r="J820" i="2"/>
  <c r="M820" i="2" s="1"/>
  <c r="I820" i="2"/>
  <c r="J819" i="2"/>
  <c r="I819" i="2"/>
  <c r="J818" i="2"/>
  <c r="I818" i="2"/>
  <c r="M818" i="2" s="1"/>
  <c r="J817" i="2"/>
  <c r="I817" i="2"/>
  <c r="M817" i="2" s="1"/>
  <c r="J816" i="2"/>
  <c r="M816" i="2" s="1"/>
  <c r="I816" i="2"/>
  <c r="J815" i="2"/>
  <c r="I815" i="2"/>
  <c r="J814" i="2"/>
  <c r="I814" i="2"/>
  <c r="M814" i="2" s="1"/>
  <c r="J813" i="2"/>
  <c r="I813" i="2"/>
  <c r="M813" i="2" s="1"/>
  <c r="J812" i="2"/>
  <c r="I812" i="2"/>
  <c r="J811" i="2"/>
  <c r="I811" i="2"/>
  <c r="J810" i="2"/>
  <c r="I810" i="2"/>
  <c r="M810" i="2" s="1"/>
  <c r="J809" i="2"/>
  <c r="I809" i="2"/>
  <c r="M809" i="2" s="1"/>
  <c r="J808" i="2"/>
  <c r="I808" i="2"/>
  <c r="J807" i="2"/>
  <c r="I807" i="2"/>
  <c r="J806" i="2"/>
  <c r="I806" i="2"/>
  <c r="M806" i="2" s="1"/>
  <c r="J805" i="2"/>
  <c r="I805" i="2"/>
  <c r="M805" i="2" s="1"/>
  <c r="J804" i="2"/>
  <c r="M804" i="2" s="1"/>
  <c r="I804" i="2"/>
  <c r="J803" i="2"/>
  <c r="I803" i="2"/>
  <c r="J802" i="2"/>
  <c r="I802" i="2"/>
  <c r="M802" i="2" s="1"/>
  <c r="J801" i="2"/>
  <c r="I801" i="2"/>
  <c r="M801" i="2" s="1"/>
  <c r="J800" i="2"/>
  <c r="M800" i="2" s="1"/>
  <c r="I800" i="2"/>
  <c r="J799" i="2"/>
  <c r="I799" i="2"/>
  <c r="J798" i="2"/>
  <c r="I798" i="2"/>
  <c r="J797" i="2"/>
  <c r="I797" i="2"/>
  <c r="M797" i="2" s="1"/>
  <c r="J796" i="2"/>
  <c r="M796" i="2" s="1"/>
  <c r="I796" i="2"/>
  <c r="J795" i="2"/>
  <c r="I795" i="2"/>
  <c r="J794" i="2"/>
  <c r="I794" i="2"/>
  <c r="M794" i="2" s="1"/>
  <c r="J793" i="2"/>
  <c r="I793" i="2"/>
  <c r="M793" i="2" s="1"/>
  <c r="J792" i="2"/>
  <c r="I792" i="2"/>
  <c r="J791" i="2"/>
  <c r="I791" i="2"/>
  <c r="J790" i="2"/>
  <c r="I790" i="2"/>
  <c r="M790" i="2" s="1"/>
  <c r="J789" i="2"/>
  <c r="I789" i="2"/>
  <c r="M789" i="2" s="1"/>
  <c r="J788" i="2"/>
  <c r="I788" i="2"/>
  <c r="J787" i="2"/>
  <c r="I787" i="2"/>
  <c r="J786" i="2"/>
  <c r="I786" i="2"/>
  <c r="M786" i="2" s="1"/>
  <c r="J785" i="2"/>
  <c r="I785" i="2"/>
  <c r="M785" i="2" s="1"/>
  <c r="J784" i="2"/>
  <c r="M784" i="2" s="1"/>
  <c r="I784" i="2"/>
  <c r="J783" i="2"/>
  <c r="I783" i="2"/>
  <c r="J782" i="2"/>
  <c r="I782" i="2"/>
  <c r="M782" i="2" s="1"/>
  <c r="J781" i="2"/>
  <c r="I781" i="2"/>
  <c r="M781" i="2" s="1"/>
  <c r="J780" i="2"/>
  <c r="M780" i="2" s="1"/>
  <c r="I780" i="2"/>
  <c r="J779" i="2"/>
  <c r="I779" i="2"/>
  <c r="J778" i="2"/>
  <c r="I778" i="2"/>
  <c r="M778" i="2" s="1"/>
  <c r="J777" i="2"/>
  <c r="I777" i="2"/>
  <c r="M777" i="2" s="1"/>
  <c r="J776" i="2"/>
  <c r="I776" i="2"/>
  <c r="J775" i="2"/>
  <c r="I775" i="2"/>
  <c r="J774" i="2"/>
  <c r="I774" i="2"/>
  <c r="M774" i="2" s="1"/>
  <c r="J773" i="2"/>
  <c r="I773" i="2"/>
  <c r="M773" i="2" s="1"/>
  <c r="J772" i="2"/>
  <c r="I772" i="2"/>
  <c r="J771" i="2"/>
  <c r="I771" i="2"/>
  <c r="J770" i="2"/>
  <c r="I770" i="2"/>
  <c r="M770" i="2" s="1"/>
  <c r="J769" i="2"/>
  <c r="I769" i="2"/>
  <c r="M769" i="2" s="1"/>
  <c r="J768" i="2"/>
  <c r="M768" i="2" s="1"/>
  <c r="I768" i="2"/>
  <c r="J767" i="2"/>
  <c r="I767" i="2"/>
  <c r="J766" i="2"/>
  <c r="I766" i="2"/>
  <c r="M766" i="2" s="1"/>
  <c r="J765" i="2"/>
  <c r="I765" i="2"/>
  <c r="M765" i="2" s="1"/>
  <c r="J764" i="2"/>
  <c r="M764" i="2" s="1"/>
  <c r="I764" i="2"/>
  <c r="J763" i="2"/>
  <c r="I763" i="2"/>
  <c r="J762" i="2"/>
  <c r="I762" i="2"/>
  <c r="M762" i="2" s="1"/>
  <c r="J761" i="2"/>
  <c r="I761" i="2"/>
  <c r="M761" i="2" s="1"/>
  <c r="J760" i="2"/>
  <c r="I760" i="2"/>
  <c r="J759" i="2"/>
  <c r="I759" i="2"/>
  <c r="J758" i="2"/>
  <c r="I758" i="2"/>
  <c r="M758" i="2" s="1"/>
  <c r="J757" i="2"/>
  <c r="I757" i="2"/>
  <c r="M757" i="2" s="1"/>
  <c r="J756" i="2"/>
  <c r="I756" i="2"/>
  <c r="J755" i="2"/>
  <c r="I755" i="2"/>
  <c r="J754" i="2"/>
  <c r="I754" i="2"/>
  <c r="M754" i="2" s="1"/>
  <c r="J753" i="2"/>
  <c r="I753" i="2"/>
  <c r="M753" i="2" s="1"/>
  <c r="J752" i="2"/>
  <c r="M752" i="2" s="1"/>
  <c r="I752" i="2"/>
  <c r="J751" i="2"/>
  <c r="I751" i="2"/>
  <c r="J750" i="2"/>
  <c r="I750" i="2"/>
  <c r="M750" i="2" s="1"/>
  <c r="J749" i="2"/>
  <c r="I749" i="2"/>
  <c r="M749" i="2" s="1"/>
  <c r="J748" i="2"/>
  <c r="M748" i="2" s="1"/>
  <c r="I748" i="2"/>
  <c r="J747" i="2"/>
  <c r="I747" i="2"/>
  <c r="J746" i="2"/>
  <c r="I746" i="2"/>
  <c r="M746" i="2" s="1"/>
  <c r="J745" i="2"/>
  <c r="I745" i="2"/>
  <c r="M745" i="2" s="1"/>
  <c r="J744" i="2"/>
  <c r="I744" i="2"/>
  <c r="J743" i="2"/>
  <c r="I743" i="2"/>
  <c r="J742" i="2"/>
  <c r="I742" i="2"/>
  <c r="M742" i="2" s="1"/>
  <c r="J741" i="2"/>
  <c r="I741" i="2"/>
  <c r="M741" i="2" s="1"/>
  <c r="J740" i="2"/>
  <c r="I740" i="2"/>
  <c r="J739" i="2"/>
  <c r="I739" i="2"/>
  <c r="J738" i="2"/>
  <c r="I738" i="2"/>
  <c r="M738" i="2" s="1"/>
  <c r="J737" i="2"/>
  <c r="I737" i="2"/>
  <c r="M737" i="2" s="1"/>
  <c r="J736" i="2"/>
  <c r="M736" i="2" s="1"/>
  <c r="I736" i="2"/>
  <c r="J735" i="2"/>
  <c r="I735" i="2"/>
  <c r="J734" i="2"/>
  <c r="I734" i="2"/>
  <c r="M734" i="2" s="1"/>
  <c r="J733" i="2"/>
  <c r="I733" i="2"/>
  <c r="M733" i="2" s="1"/>
  <c r="J732" i="2"/>
  <c r="M732" i="2" s="1"/>
  <c r="I732" i="2"/>
  <c r="J731" i="2"/>
  <c r="I731" i="2"/>
  <c r="J730" i="2"/>
  <c r="I730" i="2"/>
  <c r="M730" i="2" s="1"/>
  <c r="J729" i="2"/>
  <c r="I729" i="2"/>
  <c r="M729" i="2" s="1"/>
  <c r="J728" i="2"/>
  <c r="I728" i="2"/>
  <c r="J727" i="2"/>
  <c r="I727" i="2"/>
  <c r="J726" i="2"/>
  <c r="I726" i="2"/>
  <c r="M726" i="2" s="1"/>
  <c r="J725" i="2"/>
  <c r="I725" i="2"/>
  <c r="J724" i="2"/>
  <c r="I724" i="2"/>
  <c r="J723" i="2"/>
  <c r="I723" i="2"/>
  <c r="J722" i="2"/>
  <c r="I722" i="2"/>
  <c r="M722" i="2" s="1"/>
  <c r="J721" i="2"/>
  <c r="I721" i="2"/>
  <c r="M721" i="2" s="1"/>
  <c r="J720" i="2"/>
  <c r="I720" i="2"/>
  <c r="J719" i="2"/>
  <c r="I719" i="2"/>
  <c r="J718" i="2"/>
  <c r="I718" i="2"/>
  <c r="M718" i="2" s="1"/>
  <c r="J717" i="2"/>
  <c r="I717" i="2"/>
  <c r="M717" i="2" s="1"/>
  <c r="J716" i="2"/>
  <c r="M716" i="2" s="1"/>
  <c r="I716" i="2"/>
  <c r="J715" i="2"/>
  <c r="I715" i="2"/>
  <c r="J714" i="2"/>
  <c r="I714" i="2"/>
  <c r="M714" i="2" s="1"/>
  <c r="J713" i="2"/>
  <c r="I713" i="2"/>
  <c r="M713" i="2" s="1"/>
  <c r="J712" i="2"/>
  <c r="M712" i="2" s="1"/>
  <c r="I712" i="2"/>
  <c r="J711" i="2"/>
  <c r="I711" i="2"/>
  <c r="J710" i="2"/>
  <c r="I710" i="2"/>
  <c r="M710" i="2" s="1"/>
  <c r="J709" i="2"/>
  <c r="I709" i="2"/>
  <c r="M709" i="2" s="1"/>
  <c r="J708" i="2"/>
  <c r="I708" i="2"/>
  <c r="J707" i="2"/>
  <c r="I707" i="2"/>
  <c r="J706" i="2"/>
  <c r="I706" i="2"/>
  <c r="M706" i="2" s="1"/>
  <c r="J705" i="2"/>
  <c r="I705" i="2"/>
  <c r="M705" i="2" s="1"/>
  <c r="J704" i="2"/>
  <c r="I704" i="2"/>
  <c r="J703" i="2"/>
  <c r="I703" i="2"/>
  <c r="J702" i="2"/>
  <c r="I702" i="2"/>
  <c r="M702" i="2" s="1"/>
  <c r="J701" i="2"/>
  <c r="I701" i="2"/>
  <c r="M701" i="2" s="1"/>
  <c r="J700" i="2"/>
  <c r="M700" i="2" s="1"/>
  <c r="I700" i="2"/>
  <c r="J699" i="2"/>
  <c r="I699" i="2"/>
  <c r="J698" i="2"/>
  <c r="I698" i="2"/>
  <c r="M698" i="2" s="1"/>
  <c r="J697" i="2"/>
  <c r="I697" i="2"/>
  <c r="M697" i="2" s="1"/>
  <c r="J696" i="2"/>
  <c r="M696" i="2" s="1"/>
  <c r="I696" i="2"/>
  <c r="J695" i="2"/>
  <c r="I695" i="2"/>
  <c r="J694" i="2"/>
  <c r="I694" i="2"/>
  <c r="M694" i="2" s="1"/>
  <c r="J693" i="2"/>
  <c r="I693" i="2"/>
  <c r="M693" i="2" s="1"/>
  <c r="J692" i="2"/>
  <c r="I692" i="2"/>
  <c r="J691" i="2"/>
  <c r="I691" i="2"/>
  <c r="J690" i="2"/>
  <c r="I690" i="2"/>
  <c r="M690" i="2" s="1"/>
  <c r="J689" i="2"/>
  <c r="I689" i="2"/>
  <c r="M689" i="2" s="1"/>
  <c r="J688" i="2"/>
  <c r="I688" i="2"/>
  <c r="J687" i="2"/>
  <c r="I687" i="2"/>
  <c r="J686" i="2"/>
  <c r="I686" i="2"/>
  <c r="M686" i="2" s="1"/>
  <c r="J685" i="2"/>
  <c r="I685" i="2"/>
  <c r="M685" i="2" s="1"/>
  <c r="J684" i="2"/>
  <c r="M684" i="2" s="1"/>
  <c r="I684" i="2"/>
  <c r="J683" i="2"/>
  <c r="I683" i="2"/>
  <c r="J682" i="2"/>
  <c r="I682" i="2"/>
  <c r="M682" i="2" s="1"/>
  <c r="J681" i="2"/>
  <c r="I681" i="2"/>
  <c r="M681" i="2" s="1"/>
  <c r="J680" i="2"/>
  <c r="M680" i="2" s="1"/>
  <c r="I680" i="2"/>
  <c r="J679" i="2"/>
  <c r="I679" i="2"/>
  <c r="J678" i="2"/>
  <c r="I678" i="2"/>
  <c r="M678" i="2" s="1"/>
  <c r="J677" i="2"/>
  <c r="I677" i="2"/>
  <c r="M677" i="2" s="1"/>
  <c r="J676" i="2"/>
  <c r="I676" i="2"/>
  <c r="J675" i="2"/>
  <c r="I675" i="2"/>
  <c r="J674" i="2"/>
  <c r="I674" i="2"/>
  <c r="M674" i="2" s="1"/>
  <c r="J673" i="2"/>
  <c r="I673" i="2"/>
  <c r="M673" i="2" s="1"/>
  <c r="J672" i="2"/>
  <c r="I672" i="2"/>
  <c r="J671" i="2"/>
  <c r="I671" i="2"/>
  <c r="J670" i="2"/>
  <c r="I670" i="2"/>
  <c r="M670" i="2" s="1"/>
  <c r="J669" i="2"/>
  <c r="I669" i="2"/>
  <c r="M669" i="2" s="1"/>
  <c r="J668" i="2"/>
  <c r="M668" i="2" s="1"/>
  <c r="I668" i="2"/>
  <c r="J667" i="2"/>
  <c r="I667" i="2"/>
  <c r="J666" i="2"/>
  <c r="I666" i="2"/>
  <c r="M666" i="2" s="1"/>
  <c r="J665" i="2"/>
  <c r="I665" i="2"/>
  <c r="M665" i="2" s="1"/>
  <c r="J664" i="2"/>
  <c r="M664" i="2" s="1"/>
  <c r="I664" i="2"/>
  <c r="J663" i="2"/>
  <c r="I663" i="2"/>
  <c r="J662" i="2"/>
  <c r="I662" i="2"/>
  <c r="M662" i="2" s="1"/>
  <c r="J661" i="2"/>
  <c r="I661" i="2"/>
  <c r="M661" i="2" s="1"/>
  <c r="J660" i="2"/>
  <c r="I660" i="2"/>
  <c r="J659" i="2"/>
  <c r="I659" i="2"/>
  <c r="J658" i="2"/>
  <c r="I658" i="2"/>
  <c r="M658" i="2" s="1"/>
  <c r="J657" i="2"/>
  <c r="I657" i="2"/>
  <c r="M657" i="2" s="1"/>
  <c r="J656" i="2"/>
  <c r="I656" i="2"/>
  <c r="J655" i="2"/>
  <c r="I655" i="2"/>
  <c r="J654" i="2"/>
  <c r="I654" i="2"/>
  <c r="M654" i="2" s="1"/>
  <c r="J653" i="2"/>
  <c r="I653" i="2"/>
  <c r="M653" i="2" s="1"/>
  <c r="J652" i="2"/>
  <c r="M652" i="2" s="1"/>
  <c r="I652" i="2"/>
  <c r="J651" i="2"/>
  <c r="I651" i="2"/>
  <c r="J650" i="2"/>
  <c r="I650" i="2"/>
  <c r="M650" i="2" s="1"/>
  <c r="J649" i="2"/>
  <c r="I649" i="2"/>
  <c r="M649" i="2" s="1"/>
  <c r="J648" i="2"/>
  <c r="M648" i="2" s="1"/>
  <c r="I648" i="2"/>
  <c r="J647" i="2"/>
  <c r="I647" i="2"/>
  <c r="J646" i="2"/>
  <c r="I646" i="2"/>
  <c r="M646" i="2" s="1"/>
  <c r="J645" i="2"/>
  <c r="I645" i="2"/>
  <c r="M645" i="2" s="1"/>
  <c r="J644" i="2"/>
  <c r="I644" i="2"/>
  <c r="J643" i="2"/>
  <c r="I643" i="2"/>
  <c r="J642" i="2"/>
  <c r="I642" i="2"/>
  <c r="M642" i="2" s="1"/>
  <c r="J641" i="2"/>
  <c r="I641" i="2"/>
  <c r="M641" i="2" s="1"/>
  <c r="J640" i="2"/>
  <c r="I640" i="2"/>
  <c r="J639" i="2"/>
  <c r="I639" i="2"/>
  <c r="J638" i="2"/>
  <c r="I638" i="2"/>
  <c r="M638" i="2" s="1"/>
  <c r="J637" i="2"/>
  <c r="I637" i="2"/>
  <c r="M637" i="2" s="1"/>
  <c r="J636" i="2"/>
  <c r="M636" i="2" s="1"/>
  <c r="I636" i="2"/>
  <c r="J635" i="2"/>
  <c r="I635" i="2"/>
  <c r="J634" i="2"/>
  <c r="I634" i="2"/>
  <c r="M634" i="2" s="1"/>
  <c r="J633" i="2"/>
  <c r="I633" i="2"/>
  <c r="M633" i="2" s="1"/>
  <c r="J632" i="2"/>
  <c r="M632" i="2" s="1"/>
  <c r="I632" i="2"/>
  <c r="J631" i="2"/>
  <c r="I631" i="2"/>
  <c r="J630" i="2"/>
  <c r="I630" i="2"/>
  <c r="M630" i="2" s="1"/>
  <c r="J629" i="2"/>
  <c r="I629" i="2"/>
  <c r="M629" i="2" s="1"/>
  <c r="J628" i="2"/>
  <c r="M628" i="2" s="1"/>
  <c r="I628" i="2"/>
  <c r="J627" i="2"/>
  <c r="I627" i="2"/>
  <c r="J626" i="2"/>
  <c r="I626" i="2"/>
  <c r="M626" i="2" s="1"/>
  <c r="J625" i="2"/>
  <c r="I625" i="2"/>
  <c r="J624" i="2"/>
  <c r="I624" i="2"/>
  <c r="J623" i="2"/>
  <c r="I623" i="2"/>
  <c r="J622" i="2"/>
  <c r="I622" i="2"/>
  <c r="M622" i="2" s="1"/>
  <c r="J621" i="2"/>
  <c r="I621" i="2"/>
  <c r="M621" i="2" s="1"/>
  <c r="J620" i="2"/>
  <c r="I620" i="2"/>
  <c r="J619" i="2"/>
  <c r="I619" i="2"/>
  <c r="J618" i="2"/>
  <c r="I618" i="2"/>
  <c r="M618" i="2" s="1"/>
  <c r="J617" i="2"/>
  <c r="I617" i="2"/>
  <c r="M617" i="2" s="1"/>
  <c r="J616" i="2"/>
  <c r="M616" i="2" s="1"/>
  <c r="I616" i="2"/>
  <c r="J615" i="2"/>
  <c r="I615" i="2"/>
  <c r="J614" i="2"/>
  <c r="I614" i="2"/>
  <c r="M614" i="2" s="1"/>
  <c r="J613" i="2"/>
  <c r="I613" i="2"/>
  <c r="M613" i="2" s="1"/>
  <c r="J612" i="2"/>
  <c r="M612" i="2" s="1"/>
  <c r="I612" i="2"/>
  <c r="J611" i="2"/>
  <c r="I611" i="2"/>
  <c r="J610" i="2"/>
  <c r="I610" i="2"/>
  <c r="M610" i="2" s="1"/>
  <c r="J609" i="2"/>
  <c r="I609" i="2"/>
  <c r="M609" i="2" s="1"/>
  <c r="J608" i="2"/>
  <c r="I608" i="2"/>
  <c r="J607" i="2"/>
  <c r="I607" i="2"/>
  <c r="J606" i="2"/>
  <c r="I606" i="2"/>
  <c r="M606" i="2" s="1"/>
  <c r="J605" i="2"/>
  <c r="I605" i="2"/>
  <c r="M605" i="2" s="1"/>
  <c r="J604" i="2"/>
  <c r="I604" i="2"/>
  <c r="J603" i="2"/>
  <c r="I603" i="2"/>
  <c r="J602" i="2"/>
  <c r="I602" i="2"/>
  <c r="M602" i="2" s="1"/>
  <c r="J601" i="2"/>
  <c r="I601" i="2"/>
  <c r="M601" i="2" s="1"/>
  <c r="J600" i="2"/>
  <c r="M600" i="2" s="1"/>
  <c r="I600" i="2"/>
  <c r="J599" i="2"/>
  <c r="I599" i="2"/>
  <c r="J598" i="2"/>
  <c r="I598" i="2"/>
  <c r="M598" i="2" s="1"/>
  <c r="J597" i="2"/>
  <c r="I597" i="2"/>
  <c r="M597" i="2" s="1"/>
  <c r="J596" i="2"/>
  <c r="M596" i="2" s="1"/>
  <c r="I596" i="2"/>
  <c r="J595" i="2"/>
  <c r="I595" i="2"/>
  <c r="J594" i="2"/>
  <c r="I594" i="2"/>
  <c r="M594" i="2" s="1"/>
  <c r="J593" i="2"/>
  <c r="I593" i="2"/>
  <c r="M593" i="2" s="1"/>
  <c r="J592" i="2"/>
  <c r="I592" i="2"/>
  <c r="J591" i="2"/>
  <c r="I591" i="2"/>
  <c r="J590" i="2"/>
  <c r="I590" i="2"/>
  <c r="M590" i="2" s="1"/>
  <c r="J589" i="2"/>
  <c r="I589" i="2"/>
  <c r="M589" i="2" s="1"/>
  <c r="J588" i="2"/>
  <c r="I588" i="2"/>
  <c r="J587" i="2"/>
  <c r="I587" i="2"/>
  <c r="J586" i="2"/>
  <c r="I586" i="2"/>
  <c r="M586" i="2" s="1"/>
  <c r="J585" i="2"/>
  <c r="I585" i="2"/>
  <c r="M585" i="2" s="1"/>
  <c r="J584" i="2"/>
  <c r="M584" i="2" s="1"/>
  <c r="I584" i="2"/>
  <c r="J583" i="2"/>
  <c r="I583" i="2"/>
  <c r="J582" i="2"/>
  <c r="I582" i="2"/>
  <c r="M582" i="2" s="1"/>
  <c r="J581" i="2"/>
  <c r="I581" i="2"/>
  <c r="M581" i="2" s="1"/>
  <c r="J580" i="2"/>
  <c r="M580" i="2" s="1"/>
  <c r="I580" i="2"/>
  <c r="J579" i="2"/>
  <c r="I579" i="2"/>
  <c r="J578" i="2"/>
  <c r="I578" i="2"/>
  <c r="M578" i="2" s="1"/>
  <c r="J577" i="2"/>
  <c r="I577" i="2"/>
  <c r="M577" i="2" s="1"/>
  <c r="J576" i="2"/>
  <c r="I576" i="2"/>
  <c r="J575" i="2"/>
  <c r="I575" i="2"/>
  <c r="J574" i="2"/>
  <c r="I574" i="2"/>
  <c r="M574" i="2" s="1"/>
  <c r="J573" i="2"/>
  <c r="I573" i="2"/>
  <c r="M573" i="2" s="1"/>
  <c r="J572" i="2"/>
  <c r="I572" i="2"/>
  <c r="J571" i="2"/>
  <c r="I571" i="2"/>
  <c r="J570" i="2"/>
  <c r="I570" i="2"/>
  <c r="M570" i="2" s="1"/>
  <c r="J569" i="2"/>
  <c r="I569" i="2"/>
  <c r="M569" i="2" s="1"/>
  <c r="J568" i="2"/>
  <c r="I568" i="2"/>
  <c r="J567" i="2"/>
  <c r="I567" i="2"/>
  <c r="J566" i="2"/>
  <c r="I566" i="2"/>
  <c r="M566" i="2" s="1"/>
  <c r="J565" i="2"/>
  <c r="I565" i="2"/>
  <c r="M565" i="2" s="1"/>
  <c r="J564" i="2"/>
  <c r="M564" i="2" s="1"/>
  <c r="I564" i="2"/>
  <c r="J563" i="2"/>
  <c r="I563" i="2"/>
  <c r="J562" i="2"/>
  <c r="I562" i="2"/>
  <c r="M562" i="2" s="1"/>
  <c r="J561" i="2"/>
  <c r="I561" i="2"/>
  <c r="M561" i="2" s="1"/>
  <c r="J560" i="2"/>
  <c r="M560" i="2" s="1"/>
  <c r="I560" i="2"/>
  <c r="J559" i="2"/>
  <c r="I559" i="2"/>
  <c r="J558" i="2"/>
  <c r="I558" i="2"/>
  <c r="M558" i="2" s="1"/>
  <c r="J557" i="2"/>
  <c r="I557" i="2"/>
  <c r="M557" i="2" s="1"/>
  <c r="J556" i="2"/>
  <c r="I556" i="2"/>
  <c r="J555" i="2"/>
  <c r="I555" i="2"/>
  <c r="J554" i="2"/>
  <c r="I554" i="2"/>
  <c r="M554" i="2" s="1"/>
  <c r="J553" i="2"/>
  <c r="I553" i="2"/>
  <c r="M553" i="2" s="1"/>
  <c r="J552" i="2"/>
  <c r="I552" i="2"/>
  <c r="J551" i="2"/>
  <c r="I551" i="2"/>
  <c r="J550" i="2"/>
  <c r="I550" i="2"/>
  <c r="M550" i="2" s="1"/>
  <c r="J549" i="2"/>
  <c r="I549" i="2"/>
  <c r="M549" i="2" s="1"/>
  <c r="J548" i="2"/>
  <c r="M548" i="2" s="1"/>
  <c r="I548" i="2"/>
  <c r="J547" i="2"/>
  <c r="I547" i="2"/>
  <c r="J546" i="2"/>
  <c r="I546" i="2"/>
  <c r="M546" i="2" s="1"/>
  <c r="J545" i="2"/>
  <c r="I545" i="2"/>
  <c r="M545" i="2" s="1"/>
  <c r="J544" i="2"/>
  <c r="M544" i="2" s="1"/>
  <c r="I544" i="2"/>
  <c r="J543" i="2"/>
  <c r="I543" i="2"/>
  <c r="J542" i="2"/>
  <c r="I542" i="2"/>
  <c r="M542" i="2" s="1"/>
  <c r="J541" i="2"/>
  <c r="I541" i="2"/>
  <c r="M541" i="2" s="1"/>
  <c r="J540" i="2"/>
  <c r="I540" i="2"/>
  <c r="J539" i="2"/>
  <c r="I539" i="2"/>
  <c r="J538" i="2"/>
  <c r="I538" i="2"/>
  <c r="M538" i="2" s="1"/>
  <c r="J537" i="2"/>
  <c r="I537" i="2"/>
  <c r="M537" i="2" s="1"/>
  <c r="J536" i="2"/>
  <c r="I536" i="2"/>
  <c r="J535" i="2"/>
  <c r="I535" i="2"/>
  <c r="J534" i="2"/>
  <c r="I534" i="2"/>
  <c r="M534" i="2" s="1"/>
  <c r="J533" i="2"/>
  <c r="I533" i="2"/>
  <c r="M533" i="2" s="1"/>
  <c r="J532" i="2"/>
  <c r="M532" i="2" s="1"/>
  <c r="I532" i="2"/>
  <c r="J531" i="2"/>
  <c r="I531" i="2"/>
  <c r="J530" i="2"/>
  <c r="I530" i="2"/>
  <c r="M530" i="2" s="1"/>
  <c r="J529" i="2"/>
  <c r="I529" i="2"/>
  <c r="M529" i="2" s="1"/>
  <c r="J528" i="2"/>
  <c r="M528" i="2" s="1"/>
  <c r="I528" i="2"/>
  <c r="J527" i="2"/>
  <c r="I527" i="2"/>
  <c r="J526" i="2"/>
  <c r="I526" i="2"/>
  <c r="M526" i="2" s="1"/>
  <c r="J525" i="2"/>
  <c r="I525" i="2"/>
  <c r="M525" i="2" s="1"/>
  <c r="J524" i="2"/>
  <c r="I524" i="2"/>
  <c r="J523" i="2"/>
  <c r="I523" i="2"/>
  <c r="J522" i="2"/>
  <c r="I522" i="2"/>
  <c r="M522" i="2" s="1"/>
  <c r="J521" i="2"/>
  <c r="I521" i="2"/>
  <c r="M521" i="2" s="1"/>
  <c r="J520" i="2"/>
  <c r="I520" i="2"/>
  <c r="J519" i="2"/>
  <c r="I519" i="2"/>
  <c r="J518" i="2"/>
  <c r="I518" i="2"/>
  <c r="M518" i="2" s="1"/>
  <c r="J517" i="2"/>
  <c r="I517" i="2"/>
  <c r="M517" i="2" s="1"/>
  <c r="J516" i="2"/>
  <c r="M516" i="2" s="1"/>
  <c r="I516" i="2"/>
  <c r="J515" i="2"/>
  <c r="I515" i="2"/>
  <c r="J514" i="2"/>
  <c r="I514" i="2"/>
  <c r="M514" i="2" s="1"/>
  <c r="J513" i="2"/>
  <c r="I513" i="2"/>
  <c r="M513" i="2" s="1"/>
  <c r="J512" i="2"/>
  <c r="M512" i="2" s="1"/>
  <c r="I512" i="2"/>
  <c r="J511" i="2"/>
  <c r="I511" i="2"/>
  <c r="J510" i="2"/>
  <c r="I510" i="2"/>
  <c r="M510" i="2" s="1"/>
  <c r="J509" i="2"/>
  <c r="I509" i="2"/>
  <c r="M509" i="2" s="1"/>
  <c r="J508" i="2"/>
  <c r="I508" i="2"/>
  <c r="J507" i="2"/>
  <c r="I507" i="2"/>
  <c r="J506" i="2"/>
  <c r="I506" i="2"/>
  <c r="M506" i="2" s="1"/>
  <c r="J505" i="2"/>
  <c r="I505" i="2"/>
  <c r="M505" i="2" s="1"/>
  <c r="J504" i="2"/>
  <c r="I504" i="2"/>
  <c r="J503" i="2"/>
  <c r="I503" i="2"/>
  <c r="J502" i="2"/>
  <c r="I502" i="2"/>
  <c r="M502" i="2" s="1"/>
  <c r="J501" i="2"/>
  <c r="I501" i="2"/>
  <c r="M501" i="2" s="1"/>
  <c r="J500" i="2"/>
  <c r="M500" i="2" s="1"/>
  <c r="I500" i="2"/>
  <c r="J499" i="2"/>
  <c r="I499" i="2"/>
  <c r="J498" i="2"/>
  <c r="I498" i="2"/>
  <c r="M498" i="2" s="1"/>
  <c r="J497" i="2"/>
  <c r="I497" i="2"/>
  <c r="M497" i="2" s="1"/>
  <c r="J496" i="2"/>
  <c r="M496" i="2" s="1"/>
  <c r="I496" i="2"/>
  <c r="J495" i="2"/>
  <c r="I495" i="2"/>
  <c r="J494" i="2"/>
  <c r="I494" i="2"/>
  <c r="M494" i="2" s="1"/>
  <c r="J493" i="2"/>
  <c r="I493" i="2"/>
  <c r="M493" i="2" s="1"/>
  <c r="J492" i="2"/>
  <c r="I492" i="2"/>
  <c r="J491" i="2"/>
  <c r="I491" i="2"/>
  <c r="J490" i="2"/>
  <c r="I490" i="2"/>
  <c r="M490" i="2" s="1"/>
  <c r="J489" i="2"/>
  <c r="I489" i="2"/>
  <c r="M489" i="2" s="1"/>
  <c r="J488" i="2"/>
  <c r="I488" i="2"/>
  <c r="J487" i="2"/>
  <c r="I487" i="2"/>
  <c r="J486" i="2"/>
  <c r="I486" i="2"/>
  <c r="M486" i="2" s="1"/>
  <c r="J485" i="2"/>
  <c r="I485" i="2"/>
  <c r="M485" i="2" s="1"/>
  <c r="J484" i="2"/>
  <c r="M484" i="2" s="1"/>
  <c r="I484" i="2"/>
  <c r="J483" i="2"/>
  <c r="I483" i="2"/>
  <c r="J482" i="2"/>
  <c r="I482" i="2"/>
  <c r="M482" i="2" s="1"/>
  <c r="J481" i="2"/>
  <c r="I481" i="2"/>
  <c r="M481" i="2" s="1"/>
  <c r="J480" i="2"/>
  <c r="M480" i="2" s="1"/>
  <c r="I480" i="2"/>
  <c r="J479" i="2"/>
  <c r="I479" i="2"/>
  <c r="J478" i="2"/>
  <c r="I478" i="2"/>
  <c r="M478" i="2" s="1"/>
  <c r="J477" i="2"/>
  <c r="I477" i="2"/>
  <c r="M477" i="2" s="1"/>
  <c r="J476" i="2"/>
  <c r="I476" i="2"/>
  <c r="J475" i="2"/>
  <c r="I475" i="2"/>
  <c r="J474" i="2"/>
  <c r="I474" i="2"/>
  <c r="M474" i="2" s="1"/>
  <c r="J473" i="2"/>
  <c r="I473" i="2"/>
  <c r="M473" i="2" s="1"/>
  <c r="J472" i="2"/>
  <c r="I472" i="2"/>
  <c r="J471" i="2"/>
  <c r="I471" i="2"/>
  <c r="J470" i="2"/>
  <c r="I470" i="2"/>
  <c r="M470" i="2" s="1"/>
  <c r="J469" i="2"/>
  <c r="I469" i="2"/>
  <c r="M469" i="2" s="1"/>
  <c r="J468" i="2"/>
  <c r="M468" i="2" s="1"/>
  <c r="I468" i="2"/>
  <c r="J467" i="2"/>
  <c r="I467" i="2"/>
  <c r="J466" i="2"/>
  <c r="I466" i="2"/>
  <c r="M466" i="2" s="1"/>
  <c r="J465" i="2"/>
  <c r="I465" i="2"/>
  <c r="M465" i="2" s="1"/>
  <c r="J464" i="2"/>
  <c r="M464" i="2" s="1"/>
  <c r="I464" i="2"/>
  <c r="J463" i="2"/>
  <c r="I463" i="2"/>
  <c r="J462" i="2"/>
  <c r="I462" i="2"/>
  <c r="M462" i="2" s="1"/>
  <c r="J461" i="2"/>
  <c r="I461" i="2"/>
  <c r="M461" i="2" s="1"/>
  <c r="J460" i="2"/>
  <c r="I460" i="2"/>
  <c r="J459" i="2"/>
  <c r="I459" i="2"/>
  <c r="J458" i="2"/>
  <c r="I458" i="2"/>
  <c r="M458" i="2" s="1"/>
  <c r="J457" i="2"/>
  <c r="I457" i="2"/>
  <c r="M457" i="2" s="1"/>
  <c r="J456" i="2"/>
  <c r="I456" i="2"/>
  <c r="J455" i="2"/>
  <c r="I455" i="2"/>
  <c r="J454" i="2"/>
  <c r="I454" i="2"/>
  <c r="M454" i="2" s="1"/>
  <c r="J453" i="2"/>
  <c r="I453" i="2"/>
  <c r="M453" i="2" s="1"/>
  <c r="J452" i="2"/>
  <c r="M452" i="2" s="1"/>
  <c r="I452" i="2"/>
  <c r="J451" i="2"/>
  <c r="I451" i="2"/>
  <c r="J450" i="2"/>
  <c r="I450" i="2"/>
  <c r="M450" i="2" s="1"/>
  <c r="J449" i="2"/>
  <c r="I449" i="2"/>
  <c r="M449" i="2" s="1"/>
  <c r="J448" i="2"/>
  <c r="M448" i="2" s="1"/>
  <c r="I448" i="2"/>
  <c r="J447" i="2"/>
  <c r="I447" i="2"/>
  <c r="J446" i="2"/>
  <c r="I446" i="2"/>
  <c r="M446" i="2" s="1"/>
  <c r="J445" i="2"/>
  <c r="I445" i="2"/>
  <c r="M445" i="2" s="1"/>
  <c r="J444" i="2"/>
  <c r="I444" i="2"/>
  <c r="J443" i="2"/>
  <c r="I443" i="2"/>
  <c r="J442" i="2"/>
  <c r="I442" i="2"/>
  <c r="M442" i="2" s="1"/>
  <c r="J441" i="2"/>
  <c r="I441" i="2"/>
  <c r="M441" i="2" s="1"/>
  <c r="J440" i="2"/>
  <c r="I440" i="2"/>
  <c r="J439" i="2"/>
  <c r="I439" i="2"/>
  <c r="J438" i="2"/>
  <c r="I438" i="2"/>
  <c r="M438" i="2" s="1"/>
  <c r="J437" i="2"/>
  <c r="I437" i="2"/>
  <c r="M437" i="2" s="1"/>
  <c r="J436" i="2"/>
  <c r="M436" i="2" s="1"/>
  <c r="I436" i="2"/>
  <c r="J435" i="2"/>
  <c r="I435" i="2"/>
  <c r="J434" i="2"/>
  <c r="I434" i="2"/>
  <c r="M434" i="2" s="1"/>
  <c r="J433" i="2"/>
  <c r="I433" i="2"/>
  <c r="M433" i="2" s="1"/>
  <c r="J432" i="2"/>
  <c r="M432" i="2" s="1"/>
  <c r="I432" i="2"/>
  <c r="J431" i="2"/>
  <c r="I431" i="2"/>
  <c r="J430" i="2"/>
  <c r="I430" i="2"/>
  <c r="M430" i="2" s="1"/>
  <c r="J429" i="2"/>
  <c r="I429" i="2"/>
  <c r="M429" i="2" s="1"/>
  <c r="J428" i="2"/>
  <c r="I428" i="2"/>
  <c r="J427" i="2"/>
  <c r="I427" i="2"/>
  <c r="J426" i="2"/>
  <c r="I426" i="2"/>
  <c r="M426" i="2" s="1"/>
  <c r="J425" i="2"/>
  <c r="I425" i="2"/>
  <c r="M425" i="2" s="1"/>
  <c r="J424" i="2"/>
  <c r="I424" i="2"/>
  <c r="J423" i="2"/>
  <c r="I423" i="2"/>
  <c r="J422" i="2"/>
  <c r="I422" i="2"/>
  <c r="M422" i="2" s="1"/>
  <c r="J421" i="2"/>
  <c r="I421" i="2"/>
  <c r="M421" i="2" s="1"/>
  <c r="J420" i="2"/>
  <c r="M420" i="2" s="1"/>
  <c r="I420" i="2"/>
  <c r="J419" i="2"/>
  <c r="I419" i="2"/>
  <c r="J418" i="2"/>
  <c r="I418" i="2"/>
  <c r="M418" i="2" s="1"/>
  <c r="J417" i="2"/>
  <c r="I417" i="2"/>
  <c r="M417" i="2" s="1"/>
  <c r="J416" i="2"/>
  <c r="M416" i="2" s="1"/>
  <c r="I416" i="2"/>
  <c r="J415" i="2"/>
  <c r="I415" i="2"/>
  <c r="J414" i="2"/>
  <c r="I414" i="2"/>
  <c r="M414" i="2" s="1"/>
  <c r="J413" i="2"/>
  <c r="I413" i="2"/>
  <c r="M413" i="2" s="1"/>
  <c r="J412" i="2"/>
  <c r="I412" i="2"/>
  <c r="J411" i="2"/>
  <c r="I411" i="2"/>
  <c r="J410" i="2"/>
  <c r="I410" i="2"/>
  <c r="M410" i="2" s="1"/>
  <c r="J409" i="2"/>
  <c r="I409" i="2"/>
  <c r="M409" i="2" s="1"/>
  <c r="J408" i="2"/>
  <c r="I408" i="2"/>
  <c r="J407" i="2"/>
  <c r="I407" i="2"/>
  <c r="J406" i="2"/>
  <c r="I406" i="2"/>
  <c r="M406" i="2" s="1"/>
  <c r="J405" i="2"/>
  <c r="I405" i="2"/>
  <c r="M405" i="2" s="1"/>
  <c r="J404" i="2"/>
  <c r="M404" i="2" s="1"/>
  <c r="I404" i="2"/>
  <c r="J403" i="2"/>
  <c r="I403" i="2"/>
  <c r="J402" i="2"/>
  <c r="I402" i="2"/>
  <c r="M402" i="2" s="1"/>
  <c r="J401" i="2"/>
  <c r="I401" i="2"/>
  <c r="M401" i="2" s="1"/>
  <c r="J400" i="2"/>
  <c r="M400" i="2" s="1"/>
  <c r="I400" i="2"/>
  <c r="J399" i="2"/>
  <c r="I399" i="2"/>
  <c r="J398" i="2"/>
  <c r="I398" i="2"/>
  <c r="M398" i="2" s="1"/>
  <c r="J397" i="2"/>
  <c r="I397" i="2"/>
  <c r="M397" i="2" s="1"/>
  <c r="J396" i="2"/>
  <c r="I396" i="2"/>
  <c r="J395" i="2"/>
  <c r="I395" i="2"/>
  <c r="J394" i="2"/>
  <c r="I394" i="2"/>
  <c r="M394" i="2" s="1"/>
  <c r="J393" i="2"/>
  <c r="I393" i="2"/>
  <c r="M393" i="2" s="1"/>
  <c r="J392" i="2"/>
  <c r="I392" i="2"/>
  <c r="J391" i="2"/>
  <c r="I391" i="2"/>
  <c r="J390" i="2"/>
  <c r="I390" i="2"/>
  <c r="M390" i="2" s="1"/>
  <c r="J389" i="2"/>
  <c r="I389" i="2"/>
  <c r="M389" i="2" s="1"/>
  <c r="J388" i="2"/>
  <c r="M388" i="2" s="1"/>
  <c r="I388" i="2"/>
  <c r="J387" i="2"/>
  <c r="I387" i="2"/>
  <c r="J386" i="2"/>
  <c r="I386" i="2"/>
  <c r="M386" i="2" s="1"/>
  <c r="J385" i="2"/>
  <c r="I385" i="2"/>
  <c r="M385" i="2" s="1"/>
  <c r="J384" i="2"/>
  <c r="M384" i="2" s="1"/>
  <c r="I384" i="2"/>
  <c r="J383" i="2"/>
  <c r="I383" i="2"/>
  <c r="J382" i="2"/>
  <c r="I382" i="2"/>
  <c r="M382" i="2" s="1"/>
  <c r="J381" i="2"/>
  <c r="I381" i="2"/>
  <c r="M381" i="2" s="1"/>
  <c r="J380" i="2"/>
  <c r="I380" i="2"/>
  <c r="J379" i="2"/>
  <c r="I379" i="2"/>
  <c r="J378" i="2"/>
  <c r="I378" i="2"/>
  <c r="M378" i="2" s="1"/>
  <c r="J377" i="2"/>
  <c r="I377" i="2"/>
  <c r="M377" i="2" s="1"/>
  <c r="J376" i="2"/>
  <c r="I376" i="2"/>
  <c r="J375" i="2"/>
  <c r="I375" i="2"/>
  <c r="J374" i="2"/>
  <c r="I374" i="2"/>
  <c r="M374" i="2" s="1"/>
  <c r="J373" i="2"/>
  <c r="I373" i="2"/>
  <c r="M373" i="2" s="1"/>
  <c r="J372" i="2"/>
  <c r="M372" i="2" s="1"/>
  <c r="I372" i="2"/>
  <c r="J371" i="2"/>
  <c r="I371" i="2"/>
  <c r="J370" i="2"/>
  <c r="I370" i="2"/>
  <c r="M370" i="2" s="1"/>
  <c r="J369" i="2"/>
  <c r="I369" i="2"/>
  <c r="M369" i="2" s="1"/>
  <c r="J368" i="2"/>
  <c r="M368" i="2" s="1"/>
  <c r="I368" i="2"/>
  <c r="J367" i="2"/>
  <c r="I367" i="2"/>
  <c r="J366" i="2"/>
  <c r="I366" i="2"/>
  <c r="M366" i="2" s="1"/>
  <c r="J365" i="2"/>
  <c r="I365" i="2"/>
  <c r="M365" i="2" s="1"/>
  <c r="J364" i="2"/>
  <c r="I364" i="2"/>
  <c r="J363" i="2"/>
  <c r="I363" i="2"/>
  <c r="J362" i="2"/>
  <c r="I362" i="2"/>
  <c r="M362" i="2" s="1"/>
  <c r="J361" i="2"/>
  <c r="I361" i="2"/>
  <c r="M361" i="2" s="1"/>
  <c r="J360" i="2"/>
  <c r="I360" i="2"/>
  <c r="J359" i="2"/>
  <c r="I359" i="2"/>
  <c r="J358" i="2"/>
  <c r="I358" i="2"/>
  <c r="M358" i="2" s="1"/>
  <c r="J357" i="2"/>
  <c r="I357" i="2"/>
  <c r="M357" i="2" s="1"/>
  <c r="J356" i="2"/>
  <c r="M356" i="2" s="1"/>
  <c r="I356" i="2"/>
  <c r="J355" i="2"/>
  <c r="I355" i="2"/>
  <c r="J354" i="2"/>
  <c r="I354" i="2"/>
  <c r="M354" i="2" s="1"/>
  <c r="J353" i="2"/>
  <c r="I353" i="2"/>
  <c r="M353" i="2" s="1"/>
  <c r="J352" i="2"/>
  <c r="M352" i="2" s="1"/>
  <c r="I352" i="2"/>
  <c r="J351" i="2"/>
  <c r="I351" i="2"/>
  <c r="J350" i="2"/>
  <c r="I350" i="2"/>
  <c r="M350" i="2" s="1"/>
  <c r="J349" i="2"/>
  <c r="I349" i="2"/>
  <c r="M349" i="2" s="1"/>
  <c r="J348" i="2"/>
  <c r="I348" i="2"/>
  <c r="J347" i="2"/>
  <c r="I347" i="2"/>
  <c r="J346" i="2"/>
  <c r="I346" i="2"/>
  <c r="M346" i="2" s="1"/>
  <c r="J345" i="2"/>
  <c r="I345" i="2"/>
  <c r="M345" i="2" s="1"/>
  <c r="J344" i="2"/>
  <c r="I344" i="2"/>
  <c r="J343" i="2"/>
  <c r="I343" i="2"/>
  <c r="J342" i="2"/>
  <c r="I342" i="2"/>
  <c r="M342" i="2" s="1"/>
  <c r="J341" i="2"/>
  <c r="I341" i="2"/>
  <c r="M341" i="2" s="1"/>
  <c r="J340" i="2"/>
  <c r="M340" i="2" s="1"/>
  <c r="I340" i="2"/>
  <c r="J339" i="2"/>
  <c r="I339" i="2"/>
  <c r="J338" i="2"/>
  <c r="I338" i="2"/>
  <c r="M338" i="2" s="1"/>
  <c r="J337" i="2"/>
  <c r="I337" i="2"/>
  <c r="M337" i="2" s="1"/>
  <c r="J336" i="2"/>
  <c r="M336" i="2" s="1"/>
  <c r="I336" i="2"/>
  <c r="J335" i="2"/>
  <c r="I335" i="2"/>
  <c r="J334" i="2"/>
  <c r="I334" i="2"/>
  <c r="M334" i="2" s="1"/>
  <c r="J333" i="2"/>
  <c r="I333" i="2"/>
  <c r="M333" i="2" s="1"/>
  <c r="J332" i="2"/>
  <c r="I332" i="2"/>
  <c r="J331" i="2"/>
  <c r="I331" i="2"/>
  <c r="J330" i="2"/>
  <c r="I330" i="2"/>
  <c r="M330" i="2" s="1"/>
  <c r="J329" i="2"/>
  <c r="I329" i="2"/>
  <c r="M329" i="2" s="1"/>
  <c r="J328" i="2"/>
  <c r="I328" i="2"/>
  <c r="J327" i="2"/>
  <c r="I327" i="2"/>
  <c r="J326" i="2"/>
  <c r="I326" i="2"/>
  <c r="M326" i="2" s="1"/>
  <c r="J325" i="2"/>
  <c r="I325" i="2"/>
  <c r="M325" i="2" s="1"/>
  <c r="J324" i="2"/>
  <c r="M324" i="2" s="1"/>
  <c r="I324" i="2"/>
  <c r="J323" i="2"/>
  <c r="I323" i="2"/>
  <c r="J322" i="2"/>
  <c r="I322" i="2"/>
  <c r="M322" i="2" s="1"/>
  <c r="J321" i="2"/>
  <c r="I321" i="2"/>
  <c r="M321" i="2" s="1"/>
  <c r="J320" i="2"/>
  <c r="M320" i="2" s="1"/>
  <c r="I320" i="2"/>
  <c r="J319" i="2"/>
  <c r="I319" i="2"/>
  <c r="J318" i="2"/>
  <c r="I318" i="2"/>
  <c r="M318" i="2" s="1"/>
  <c r="J317" i="2"/>
  <c r="I317" i="2"/>
  <c r="M317" i="2" s="1"/>
  <c r="J316" i="2"/>
  <c r="I316" i="2"/>
  <c r="J315" i="2"/>
  <c r="I315" i="2"/>
  <c r="J314" i="2"/>
  <c r="I314" i="2"/>
  <c r="M314" i="2" s="1"/>
  <c r="J313" i="2"/>
  <c r="I313" i="2"/>
  <c r="M313" i="2" s="1"/>
  <c r="J312" i="2"/>
  <c r="I312" i="2"/>
  <c r="J311" i="2"/>
  <c r="I311" i="2"/>
  <c r="J310" i="2"/>
  <c r="I310" i="2"/>
  <c r="M310" i="2" s="1"/>
  <c r="J309" i="2"/>
  <c r="I309" i="2"/>
  <c r="M309" i="2" s="1"/>
  <c r="J308" i="2"/>
  <c r="M308" i="2" s="1"/>
  <c r="I308" i="2"/>
  <c r="J307" i="2"/>
  <c r="I307" i="2"/>
  <c r="J306" i="2"/>
  <c r="I306" i="2"/>
  <c r="M306" i="2" s="1"/>
  <c r="J305" i="2"/>
  <c r="I305" i="2"/>
  <c r="M305" i="2" s="1"/>
  <c r="J304" i="2"/>
  <c r="M304" i="2" s="1"/>
  <c r="I304" i="2"/>
  <c r="J303" i="2"/>
  <c r="I303" i="2"/>
  <c r="J302" i="2"/>
  <c r="I302" i="2"/>
  <c r="M302" i="2" s="1"/>
  <c r="J301" i="2"/>
  <c r="I301" i="2"/>
  <c r="M301" i="2" s="1"/>
  <c r="J300" i="2"/>
  <c r="I300" i="2"/>
  <c r="J299" i="2"/>
  <c r="I299" i="2"/>
  <c r="J298" i="2"/>
  <c r="I298" i="2"/>
  <c r="M298" i="2" s="1"/>
  <c r="J297" i="2"/>
  <c r="I297" i="2"/>
  <c r="M297" i="2" s="1"/>
  <c r="J296" i="2"/>
  <c r="I296" i="2"/>
  <c r="J295" i="2"/>
  <c r="I295" i="2"/>
  <c r="J294" i="2"/>
  <c r="I294" i="2"/>
  <c r="M294" i="2" s="1"/>
  <c r="J293" i="2"/>
  <c r="I293" i="2"/>
  <c r="M293" i="2" s="1"/>
  <c r="J292" i="2"/>
  <c r="M292" i="2" s="1"/>
  <c r="I292" i="2"/>
  <c r="J291" i="2"/>
  <c r="I291" i="2"/>
  <c r="J290" i="2"/>
  <c r="I290" i="2"/>
  <c r="M290" i="2" s="1"/>
  <c r="J289" i="2"/>
  <c r="I289" i="2"/>
  <c r="M289" i="2" s="1"/>
  <c r="J288" i="2"/>
  <c r="M288" i="2" s="1"/>
  <c r="I288" i="2"/>
  <c r="J287" i="2"/>
  <c r="I287" i="2"/>
  <c r="J286" i="2"/>
  <c r="I286" i="2"/>
  <c r="M286" i="2" s="1"/>
  <c r="J285" i="2"/>
  <c r="I285" i="2"/>
  <c r="M285" i="2" s="1"/>
  <c r="J284" i="2"/>
  <c r="I284" i="2"/>
  <c r="J283" i="2"/>
  <c r="I283" i="2"/>
  <c r="J282" i="2"/>
  <c r="I282" i="2"/>
  <c r="M282" i="2" s="1"/>
  <c r="J281" i="2"/>
  <c r="I281" i="2"/>
  <c r="M281" i="2" s="1"/>
  <c r="J280" i="2"/>
  <c r="I280" i="2"/>
  <c r="J279" i="2"/>
  <c r="I279" i="2"/>
  <c r="J278" i="2"/>
  <c r="I278" i="2"/>
  <c r="M278" i="2" s="1"/>
  <c r="J277" i="2"/>
  <c r="I277" i="2"/>
  <c r="M277" i="2" s="1"/>
  <c r="J276" i="2"/>
  <c r="M276" i="2" s="1"/>
  <c r="I276" i="2"/>
  <c r="J275" i="2"/>
  <c r="I275" i="2"/>
  <c r="J274" i="2"/>
  <c r="I274" i="2"/>
  <c r="M274" i="2" s="1"/>
  <c r="J273" i="2"/>
  <c r="I273" i="2"/>
  <c r="M273" i="2" s="1"/>
  <c r="J272" i="2"/>
  <c r="M272" i="2" s="1"/>
  <c r="I272" i="2"/>
  <c r="J271" i="2"/>
  <c r="I271" i="2"/>
  <c r="J270" i="2"/>
  <c r="I270" i="2"/>
  <c r="M270" i="2" s="1"/>
  <c r="J269" i="2"/>
  <c r="I269" i="2"/>
  <c r="M269" i="2" s="1"/>
  <c r="J268" i="2"/>
  <c r="I268" i="2"/>
  <c r="J267" i="2"/>
  <c r="I267" i="2"/>
  <c r="J266" i="2"/>
  <c r="I266" i="2"/>
  <c r="M266" i="2" s="1"/>
  <c r="J265" i="2"/>
  <c r="I265" i="2"/>
  <c r="M265" i="2" s="1"/>
  <c r="J264" i="2"/>
  <c r="I264" i="2"/>
  <c r="J263" i="2"/>
  <c r="I263" i="2"/>
  <c r="J262" i="2"/>
  <c r="I262" i="2"/>
  <c r="M262" i="2" s="1"/>
  <c r="J261" i="2"/>
  <c r="I261" i="2"/>
  <c r="M261" i="2" s="1"/>
  <c r="J260" i="2"/>
  <c r="M260" i="2" s="1"/>
  <c r="I260" i="2"/>
  <c r="J259" i="2"/>
  <c r="I259" i="2"/>
  <c r="J258" i="2"/>
  <c r="I258" i="2"/>
  <c r="M258" i="2" s="1"/>
  <c r="J257" i="2"/>
  <c r="I257" i="2"/>
  <c r="M257" i="2" s="1"/>
  <c r="J256" i="2"/>
  <c r="M256" i="2" s="1"/>
  <c r="I256" i="2"/>
  <c r="J255" i="2"/>
  <c r="I255" i="2"/>
  <c r="J254" i="2"/>
  <c r="I254" i="2"/>
  <c r="M254" i="2" s="1"/>
  <c r="J253" i="2"/>
  <c r="I253" i="2"/>
  <c r="M253" i="2" s="1"/>
  <c r="J252" i="2"/>
  <c r="I252" i="2"/>
  <c r="J251" i="2"/>
  <c r="I251" i="2"/>
  <c r="J250" i="2"/>
  <c r="I250" i="2"/>
  <c r="M250" i="2" s="1"/>
  <c r="J249" i="2"/>
  <c r="I249" i="2"/>
  <c r="M249" i="2" s="1"/>
  <c r="J248" i="2"/>
  <c r="I248" i="2"/>
  <c r="J247" i="2"/>
  <c r="I247" i="2"/>
  <c r="J246" i="2"/>
  <c r="I246" i="2"/>
  <c r="M246" i="2" s="1"/>
  <c r="J245" i="2"/>
  <c r="I245" i="2"/>
  <c r="M245" i="2" s="1"/>
  <c r="J244" i="2"/>
  <c r="M244" i="2" s="1"/>
  <c r="I244" i="2"/>
  <c r="J243" i="2"/>
  <c r="I243" i="2"/>
  <c r="J242" i="2"/>
  <c r="I242" i="2"/>
  <c r="M242" i="2" s="1"/>
  <c r="J241" i="2"/>
  <c r="I241" i="2"/>
  <c r="M241" i="2" s="1"/>
  <c r="J240" i="2"/>
  <c r="M240" i="2" s="1"/>
  <c r="I240" i="2"/>
  <c r="J239" i="2"/>
  <c r="I239" i="2"/>
  <c r="J238" i="2"/>
  <c r="I238" i="2"/>
  <c r="M238" i="2" s="1"/>
  <c r="J237" i="2"/>
  <c r="I237" i="2"/>
  <c r="M237" i="2" s="1"/>
  <c r="J236" i="2"/>
  <c r="I236" i="2"/>
  <c r="J235" i="2"/>
  <c r="I235" i="2"/>
  <c r="J234" i="2"/>
  <c r="I234" i="2"/>
  <c r="M234" i="2" s="1"/>
  <c r="J233" i="2"/>
  <c r="I233" i="2"/>
  <c r="M233" i="2" s="1"/>
  <c r="J232" i="2"/>
  <c r="I232" i="2"/>
  <c r="J231" i="2"/>
  <c r="I231" i="2"/>
  <c r="J230" i="2"/>
  <c r="I230" i="2"/>
  <c r="M230" i="2" s="1"/>
  <c r="J229" i="2"/>
  <c r="I229" i="2"/>
  <c r="M229" i="2" s="1"/>
  <c r="J228" i="2"/>
  <c r="M228" i="2" s="1"/>
  <c r="I228" i="2"/>
  <c r="J227" i="2"/>
  <c r="I227" i="2"/>
  <c r="J226" i="2"/>
  <c r="I226" i="2"/>
  <c r="J225" i="2"/>
  <c r="I225" i="2"/>
  <c r="M225" i="2" s="1"/>
  <c r="J224" i="2"/>
  <c r="M224" i="2" s="1"/>
  <c r="I224" i="2"/>
  <c r="J223" i="2"/>
  <c r="I223" i="2"/>
  <c r="J222" i="2"/>
  <c r="I222" i="2"/>
  <c r="J221" i="2"/>
  <c r="I221" i="2"/>
  <c r="M221" i="2" s="1"/>
  <c r="J220" i="2"/>
  <c r="M220" i="2" s="1"/>
  <c r="I220" i="2"/>
  <c r="J219" i="2"/>
  <c r="I219" i="2"/>
  <c r="J218" i="2"/>
  <c r="I218" i="2"/>
  <c r="M218" i="2" s="1"/>
  <c r="J217" i="2"/>
  <c r="I217" i="2"/>
  <c r="M217" i="2" s="1"/>
  <c r="J216" i="2"/>
  <c r="I216" i="2"/>
  <c r="J215" i="2"/>
  <c r="I215" i="2"/>
  <c r="J214" i="2"/>
  <c r="I214" i="2"/>
  <c r="M214" i="2" s="1"/>
  <c r="J213" i="2"/>
  <c r="I213" i="2"/>
  <c r="M213" i="2" s="1"/>
  <c r="J212" i="2"/>
  <c r="I212" i="2"/>
  <c r="J211" i="2"/>
  <c r="I211" i="2"/>
  <c r="J210" i="2"/>
  <c r="I210" i="2"/>
  <c r="M210" i="2" s="1"/>
  <c r="J209" i="2"/>
  <c r="I209" i="2"/>
  <c r="M209" i="2" s="1"/>
  <c r="J208" i="2"/>
  <c r="I208" i="2"/>
  <c r="J207" i="2"/>
  <c r="I207" i="2"/>
  <c r="J206" i="2"/>
  <c r="I206" i="2"/>
  <c r="M206" i="2" s="1"/>
  <c r="J205" i="2"/>
  <c r="I205" i="2"/>
  <c r="M205" i="2" s="1"/>
  <c r="J204" i="2"/>
  <c r="M204" i="2" s="1"/>
  <c r="I204" i="2"/>
  <c r="J203" i="2"/>
  <c r="I203" i="2"/>
  <c r="J202" i="2"/>
  <c r="I202" i="2"/>
  <c r="M202" i="2" s="1"/>
  <c r="J201" i="2"/>
  <c r="I201" i="2"/>
  <c r="M201" i="2" s="1"/>
  <c r="J200" i="2"/>
  <c r="M200" i="2" s="1"/>
  <c r="I200" i="2"/>
  <c r="J199" i="2"/>
  <c r="I199" i="2"/>
  <c r="J198" i="2"/>
  <c r="I198" i="2"/>
  <c r="M198" i="2" s="1"/>
  <c r="J197" i="2"/>
  <c r="I197" i="2"/>
  <c r="M197" i="2" s="1"/>
  <c r="J196" i="2"/>
  <c r="I196" i="2"/>
  <c r="J195" i="2"/>
  <c r="I195" i="2"/>
  <c r="J194" i="2"/>
  <c r="I194" i="2"/>
  <c r="M194" i="2" s="1"/>
  <c r="J193" i="2"/>
  <c r="I193" i="2"/>
  <c r="M193" i="2" s="1"/>
  <c r="J192" i="2"/>
  <c r="I192" i="2"/>
  <c r="J191" i="2"/>
  <c r="I191" i="2"/>
  <c r="J190" i="2"/>
  <c r="I190" i="2"/>
  <c r="M190" i="2" s="1"/>
  <c r="J189" i="2"/>
  <c r="I189" i="2"/>
  <c r="M189" i="2" s="1"/>
  <c r="J188" i="2"/>
  <c r="I188" i="2"/>
  <c r="J187" i="2"/>
  <c r="I187" i="2"/>
  <c r="J186" i="2"/>
  <c r="I186" i="2"/>
  <c r="M186" i="2" s="1"/>
  <c r="J185" i="2"/>
  <c r="I185" i="2"/>
  <c r="M185" i="2" s="1"/>
  <c r="J184" i="2"/>
  <c r="M184" i="2" s="1"/>
  <c r="I184" i="2"/>
  <c r="Q1387" i="2"/>
  <c r="Q1386" i="2"/>
  <c r="Q1385" i="2"/>
  <c r="M1385" i="2"/>
  <c r="Q1384" i="2"/>
  <c r="M1384" i="2"/>
  <c r="Q1383" i="2"/>
  <c r="Q1382" i="2"/>
  <c r="Q1381" i="2"/>
  <c r="Q1380" i="2"/>
  <c r="M1380" i="2"/>
  <c r="Q1379" i="2"/>
  <c r="Q1378" i="2"/>
  <c r="Q1377" i="2"/>
  <c r="Q1376" i="2"/>
  <c r="Q1375" i="2"/>
  <c r="Q1374" i="2"/>
  <c r="Q1373" i="2"/>
  <c r="Q1372" i="2"/>
  <c r="M1372" i="2"/>
  <c r="Q1371" i="2"/>
  <c r="Q1370" i="2"/>
  <c r="Q1369" i="2"/>
  <c r="Q1368" i="2"/>
  <c r="Q1367" i="2"/>
  <c r="Q1366" i="2"/>
  <c r="M1366" i="2"/>
  <c r="Q1365" i="2"/>
  <c r="Q1364" i="2"/>
  <c r="Q1363" i="2"/>
  <c r="Q1362" i="2"/>
  <c r="M1362" i="2"/>
  <c r="Q1361" i="2"/>
  <c r="M1361" i="2"/>
  <c r="Q1360" i="2"/>
  <c r="Q1359" i="2"/>
  <c r="Q1358" i="2"/>
  <c r="Q1357" i="2"/>
  <c r="M1357" i="2"/>
  <c r="Q1356" i="2"/>
  <c r="M1356" i="2"/>
  <c r="Q1355" i="2"/>
  <c r="Q1354" i="2"/>
  <c r="Q1353" i="2"/>
  <c r="Q1352" i="2"/>
  <c r="M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M1340" i="2"/>
  <c r="Q1339" i="2"/>
  <c r="Q1338" i="2"/>
  <c r="Q1337" i="2"/>
  <c r="Q1336" i="2"/>
  <c r="Q1335" i="2"/>
  <c r="Q1334" i="2"/>
  <c r="M1334" i="2"/>
  <c r="Q1333" i="2"/>
  <c r="Q1332" i="2"/>
  <c r="Q1331" i="2"/>
  <c r="Q1330" i="2"/>
  <c r="Q1329" i="2"/>
  <c r="Q1328" i="2"/>
  <c r="M1328" i="2"/>
  <c r="Q1327" i="2"/>
  <c r="Q1326" i="2"/>
  <c r="Q1325" i="2"/>
  <c r="Q1324" i="2"/>
  <c r="M1324" i="2"/>
  <c r="Q1323" i="2"/>
  <c r="Q1322" i="2"/>
  <c r="Q1321" i="2"/>
  <c r="Q1320" i="2"/>
  <c r="Q1319" i="2"/>
  <c r="Q1318" i="2"/>
  <c r="Q1317" i="2"/>
  <c r="M1317" i="2"/>
  <c r="Q1316" i="2"/>
  <c r="Q1315" i="2"/>
  <c r="Q1314" i="2"/>
  <c r="Q1313" i="2"/>
  <c r="Q1312" i="2"/>
  <c r="M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M1300" i="2"/>
  <c r="Q1299" i="2"/>
  <c r="Q1298" i="2"/>
  <c r="Q1297" i="2"/>
  <c r="Q1296" i="2"/>
  <c r="Q1295" i="2"/>
  <c r="Q1294" i="2"/>
  <c r="M1294" i="2"/>
  <c r="Q1293" i="2"/>
  <c r="Q1292" i="2"/>
  <c r="Q1291" i="2"/>
  <c r="Q1290" i="2"/>
  <c r="Q1289" i="2"/>
  <c r="M1289" i="2"/>
  <c r="Q1288" i="2"/>
  <c r="M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M1276" i="2"/>
  <c r="Q1275" i="2"/>
  <c r="Q1274" i="2"/>
  <c r="Q1273" i="2"/>
  <c r="Q1272" i="2"/>
  <c r="Q1271" i="2"/>
  <c r="Q1270" i="2"/>
  <c r="Q1269" i="2"/>
  <c r="Q1268" i="2"/>
  <c r="M1268" i="2"/>
  <c r="Q1267" i="2"/>
  <c r="Q1266" i="2"/>
  <c r="Q1265" i="2"/>
  <c r="Q1264" i="2"/>
  <c r="M1264" i="2"/>
  <c r="Q1263" i="2"/>
  <c r="Q1262" i="2"/>
  <c r="Q1261" i="2"/>
  <c r="Q1260" i="2"/>
  <c r="Q1259" i="2"/>
  <c r="Q1258" i="2"/>
  <c r="Q1257" i="2"/>
  <c r="Q1256" i="2"/>
  <c r="M1256" i="2"/>
  <c r="Q1255" i="2"/>
  <c r="Q1254" i="2"/>
  <c r="Q1253" i="2"/>
  <c r="Q1252" i="2"/>
  <c r="M1252" i="2"/>
  <c r="Q1251" i="2"/>
  <c r="Q1250" i="2"/>
  <c r="Q1249" i="2"/>
  <c r="Q1248" i="2"/>
  <c r="Q1247" i="2"/>
  <c r="Q1246" i="2"/>
  <c r="Q1245" i="2"/>
  <c r="Q1244" i="2"/>
  <c r="M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M1232" i="2"/>
  <c r="Q1231" i="2"/>
  <c r="Q1230" i="2"/>
  <c r="Q1229" i="2"/>
  <c r="Q1228" i="2"/>
  <c r="Q1227" i="2"/>
  <c r="Q1226" i="2"/>
  <c r="Q1225" i="2"/>
  <c r="M1225" i="2"/>
  <c r="Q1224" i="2"/>
  <c r="Q1223" i="2"/>
  <c r="Q1222" i="2"/>
  <c r="Q1221" i="2"/>
  <c r="Q1220" i="2"/>
  <c r="M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M1208" i="2"/>
  <c r="Q1207" i="2"/>
  <c r="Q1206" i="2"/>
  <c r="Q1205" i="2"/>
  <c r="Q1204" i="2"/>
  <c r="Q1203" i="2"/>
  <c r="Q1202" i="2"/>
  <c r="Q1201" i="2"/>
  <c r="Q1200" i="2"/>
  <c r="M1200" i="2"/>
  <c r="Q1199" i="2"/>
  <c r="Q1198" i="2"/>
  <c r="Q1197" i="2"/>
  <c r="Q1196" i="2"/>
  <c r="M1196" i="2"/>
  <c r="Q1195" i="2"/>
  <c r="Q1194" i="2"/>
  <c r="Q1193" i="2"/>
  <c r="Q1192" i="2"/>
  <c r="Q1191" i="2"/>
  <c r="Q1190" i="2"/>
  <c r="Q1189" i="2"/>
  <c r="M1189" i="2"/>
  <c r="Q1188" i="2"/>
  <c r="M1188" i="2"/>
  <c r="Q1187" i="2"/>
  <c r="Q1186" i="2"/>
  <c r="Q1185" i="2"/>
  <c r="Q1184" i="2"/>
  <c r="M1184" i="2"/>
  <c r="Q1183" i="2"/>
  <c r="Q1182" i="2"/>
  <c r="Q1181" i="2"/>
  <c r="Q1180" i="2"/>
  <c r="Q1179" i="2"/>
  <c r="Q1178" i="2"/>
  <c r="Q1177" i="2"/>
  <c r="Q1176" i="2"/>
  <c r="M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M1164" i="2"/>
  <c r="Q1163" i="2"/>
  <c r="Q1162" i="2"/>
  <c r="Q1161" i="2"/>
  <c r="Q1160" i="2"/>
  <c r="M1160" i="2"/>
  <c r="Q1159" i="2"/>
  <c r="Q1158" i="2"/>
  <c r="Q1157" i="2"/>
  <c r="Q1156" i="2"/>
  <c r="Q1155" i="2"/>
  <c r="Q1154" i="2"/>
  <c r="Q1153" i="2"/>
  <c r="Q1152" i="2"/>
  <c r="M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M1140" i="2"/>
  <c r="Q1139" i="2"/>
  <c r="Q1138" i="2"/>
  <c r="Q1137" i="2"/>
  <c r="Q1136" i="2"/>
  <c r="Q1135" i="2"/>
  <c r="Q1134" i="2"/>
  <c r="Q1133" i="2"/>
  <c r="Q1132" i="2"/>
  <c r="M1132" i="2"/>
  <c r="Q1131" i="2"/>
  <c r="Q1130" i="2"/>
  <c r="Q1129" i="2"/>
  <c r="Q1128" i="2"/>
  <c r="M1128" i="2"/>
  <c r="Q1127" i="2"/>
  <c r="Q1126" i="2"/>
  <c r="Q1125" i="2"/>
  <c r="Q1124" i="2"/>
  <c r="Q1123" i="2"/>
  <c r="Q1122" i="2"/>
  <c r="Q1121" i="2"/>
  <c r="Q1120" i="2"/>
  <c r="M1120" i="2"/>
  <c r="Q1119" i="2"/>
  <c r="Q1118" i="2"/>
  <c r="Q1117" i="2"/>
  <c r="Q1116" i="2"/>
  <c r="M1116" i="2"/>
  <c r="Q1115" i="2"/>
  <c r="Q1114" i="2"/>
  <c r="Q1113" i="2"/>
  <c r="Q1112" i="2"/>
  <c r="Q1111" i="2"/>
  <c r="Q1110" i="2"/>
  <c r="Q1109" i="2"/>
  <c r="Q1108" i="2"/>
  <c r="M1108" i="2"/>
  <c r="Q1107" i="2"/>
  <c r="Q1106" i="2"/>
  <c r="Q1105" i="2"/>
  <c r="Q1104" i="2"/>
  <c r="Q1103" i="2"/>
  <c r="Q1102" i="2"/>
  <c r="M1102" i="2"/>
  <c r="Q1101" i="2"/>
  <c r="Q1100" i="2"/>
  <c r="Q1099" i="2"/>
  <c r="Q1098" i="2"/>
  <c r="Q1097" i="2"/>
  <c r="M1097" i="2"/>
  <c r="Q1096" i="2"/>
  <c r="M1096" i="2"/>
  <c r="Q1095" i="2"/>
  <c r="Q1094" i="2"/>
  <c r="Q1093" i="2"/>
  <c r="Q1092" i="2"/>
  <c r="M1092" i="2"/>
  <c r="Q1091" i="2"/>
  <c r="Q1090" i="2"/>
  <c r="Q1089" i="2"/>
  <c r="Q1088" i="2"/>
  <c r="Q1087" i="2"/>
  <c r="Q1086" i="2"/>
  <c r="Q1085" i="2"/>
  <c r="Q1084" i="2"/>
  <c r="M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M1072" i="2"/>
  <c r="Q1071" i="2"/>
  <c r="Q1070" i="2"/>
  <c r="Q1069" i="2"/>
  <c r="Q1068" i="2"/>
  <c r="Q1067" i="2"/>
  <c r="Q1066" i="2"/>
  <c r="Q1065" i="2"/>
  <c r="Q1064" i="2"/>
  <c r="M1064" i="2"/>
  <c r="Q1063" i="2"/>
  <c r="Q1062" i="2"/>
  <c r="Q1061" i="2"/>
  <c r="Q1060" i="2"/>
  <c r="M1060" i="2"/>
  <c r="Q1059" i="2"/>
  <c r="Q1058" i="2"/>
  <c r="Q1057" i="2"/>
  <c r="Q1056" i="2"/>
  <c r="Q1055" i="2"/>
  <c r="Q1054" i="2"/>
  <c r="Q1053" i="2"/>
  <c r="Q1052" i="2"/>
  <c r="M1052" i="2"/>
  <c r="Q1051" i="2"/>
  <c r="Q1050" i="2"/>
  <c r="Q1049" i="2"/>
  <c r="Q1048" i="2"/>
  <c r="M1048" i="2"/>
  <c r="Q1047" i="2"/>
  <c r="M1047" i="2"/>
  <c r="Q1046" i="2"/>
  <c r="Q1045" i="2"/>
  <c r="Q1044" i="2"/>
  <c r="Q1043" i="2"/>
  <c r="M1043" i="2"/>
  <c r="Q1042" i="2"/>
  <c r="Q1041" i="2"/>
  <c r="Q1040" i="2"/>
  <c r="Q1039" i="2"/>
  <c r="M1039" i="2"/>
  <c r="Q1038" i="2"/>
  <c r="Q1037" i="2"/>
  <c r="Q1036" i="2"/>
  <c r="M1036" i="2"/>
  <c r="Q1035" i="2"/>
  <c r="M1035" i="2"/>
  <c r="Q1034" i="2"/>
  <c r="Q1033" i="2"/>
  <c r="Q1032" i="2"/>
  <c r="M1032" i="2"/>
  <c r="Q1031" i="2"/>
  <c r="M1031" i="2"/>
  <c r="Q1030" i="2"/>
  <c r="Q1029" i="2"/>
  <c r="Q1028" i="2"/>
  <c r="M1028" i="2"/>
  <c r="Q1027" i="2"/>
  <c r="M1027" i="2"/>
  <c r="Q1026" i="2"/>
  <c r="Q1025" i="2"/>
  <c r="Q1024" i="2"/>
  <c r="Q1023" i="2"/>
  <c r="M1023" i="2"/>
  <c r="Q1022" i="2"/>
  <c r="Q1021" i="2"/>
  <c r="Q1020" i="2"/>
  <c r="Q1019" i="2"/>
  <c r="M1019" i="2"/>
  <c r="Q1018" i="2"/>
  <c r="Q1017" i="2"/>
  <c r="Q1016" i="2"/>
  <c r="M1016" i="2"/>
  <c r="Q1015" i="2"/>
  <c r="M1015" i="2"/>
  <c r="Q1014" i="2"/>
  <c r="Q1013" i="2"/>
  <c r="Q1012" i="2"/>
  <c r="M1012" i="2"/>
  <c r="Q1011" i="2"/>
  <c r="M1011" i="2"/>
  <c r="Q1010" i="2"/>
  <c r="Q1009" i="2"/>
  <c r="Q1008" i="2"/>
  <c r="Q1007" i="2"/>
  <c r="M1007" i="2"/>
  <c r="Q1006" i="2"/>
  <c r="Q1005" i="2"/>
  <c r="Q1004" i="2"/>
  <c r="Q1003" i="2"/>
  <c r="M1003" i="2"/>
  <c r="Q1002" i="2"/>
  <c r="Q1001" i="2"/>
  <c r="Q1000" i="2"/>
  <c r="M1000" i="2"/>
  <c r="Q999" i="2"/>
  <c r="M999" i="2"/>
  <c r="Q998" i="2"/>
  <c r="Q997" i="2"/>
  <c r="Q996" i="2"/>
  <c r="M996" i="2"/>
  <c r="Q995" i="2"/>
  <c r="M995" i="2"/>
  <c r="Q994" i="2"/>
  <c r="Q993" i="2"/>
  <c r="Q992" i="2"/>
  <c r="Q991" i="2"/>
  <c r="M991" i="2"/>
  <c r="Q990" i="2"/>
  <c r="M990" i="2"/>
  <c r="Q989" i="2"/>
  <c r="Q988" i="2"/>
  <c r="Q987" i="2"/>
  <c r="M987" i="2"/>
  <c r="Q986" i="2"/>
  <c r="Q985" i="2"/>
  <c r="Q984" i="2"/>
  <c r="M984" i="2"/>
  <c r="Q983" i="2"/>
  <c r="M983" i="2"/>
  <c r="Q982" i="2"/>
  <c r="Q981" i="2"/>
  <c r="Q980" i="2"/>
  <c r="M980" i="2"/>
  <c r="Q979" i="2"/>
  <c r="M979" i="2"/>
  <c r="Q978" i="2"/>
  <c r="Q977" i="2"/>
  <c r="Q976" i="2"/>
  <c r="Q975" i="2"/>
  <c r="M975" i="2"/>
  <c r="Q974" i="2"/>
  <c r="Q973" i="2"/>
  <c r="Q972" i="2"/>
  <c r="Q971" i="2"/>
  <c r="M971" i="2"/>
  <c r="Q970" i="2"/>
  <c r="M970" i="2"/>
  <c r="Q969" i="2"/>
  <c r="Q968" i="2"/>
  <c r="Q967" i="2"/>
  <c r="M967" i="2"/>
  <c r="Q966" i="2"/>
  <c r="M966" i="2"/>
  <c r="Q965" i="2"/>
  <c r="Q964" i="2"/>
  <c r="M964" i="2"/>
  <c r="Q963" i="2"/>
  <c r="M963" i="2"/>
  <c r="Q962" i="2"/>
  <c r="Q961" i="2"/>
  <c r="Q960" i="2"/>
  <c r="M960" i="2"/>
  <c r="Q959" i="2"/>
  <c r="M959" i="2"/>
  <c r="Q958" i="2"/>
  <c r="Q957" i="2"/>
  <c r="Q956" i="2"/>
  <c r="Q955" i="2"/>
  <c r="M955" i="2"/>
  <c r="Q954" i="2"/>
  <c r="Q953" i="2"/>
  <c r="Q952" i="2"/>
  <c r="Q951" i="2"/>
  <c r="M951" i="2"/>
  <c r="Q950" i="2"/>
  <c r="Q949" i="2"/>
  <c r="Q948" i="2"/>
  <c r="M948" i="2"/>
  <c r="Q947" i="2"/>
  <c r="M947" i="2"/>
  <c r="Q946" i="2"/>
  <c r="Q945" i="2"/>
  <c r="Q944" i="2"/>
  <c r="M944" i="2"/>
  <c r="Q943" i="2"/>
  <c r="M943" i="2"/>
  <c r="Q942" i="2"/>
  <c r="Q941" i="2"/>
  <c r="Q940" i="2"/>
  <c r="Q939" i="2"/>
  <c r="M939" i="2"/>
  <c r="Q938" i="2"/>
  <c r="Q937" i="2"/>
  <c r="Q936" i="2"/>
  <c r="Q935" i="2"/>
  <c r="M935" i="2"/>
  <c r="Q934" i="2"/>
  <c r="Q933" i="2"/>
  <c r="Q932" i="2"/>
  <c r="M932" i="2"/>
  <c r="Q931" i="2"/>
  <c r="M931" i="2"/>
  <c r="Q930" i="2"/>
  <c r="Q929" i="2"/>
  <c r="Q928" i="2"/>
  <c r="M928" i="2"/>
  <c r="Q927" i="2"/>
  <c r="M927" i="2"/>
  <c r="Q926" i="2"/>
  <c r="Q925" i="2"/>
  <c r="Q924" i="2"/>
  <c r="M924" i="2"/>
  <c r="Q923" i="2"/>
  <c r="M923" i="2"/>
  <c r="Q922" i="2"/>
  <c r="Q921" i="2"/>
  <c r="Q920" i="2"/>
  <c r="Q919" i="2"/>
  <c r="M919" i="2"/>
  <c r="Q918" i="2"/>
  <c r="Q917" i="2"/>
  <c r="Q916" i="2"/>
  <c r="Q915" i="2"/>
  <c r="M915" i="2"/>
  <c r="Q914" i="2"/>
  <c r="Q913" i="2"/>
  <c r="Q912" i="2"/>
  <c r="M912" i="2"/>
  <c r="Q911" i="2"/>
  <c r="M911" i="2"/>
  <c r="Q910" i="2"/>
  <c r="Q909" i="2"/>
  <c r="Q908" i="2"/>
  <c r="M908" i="2"/>
  <c r="Q907" i="2"/>
  <c r="M907" i="2"/>
  <c r="Q906" i="2"/>
  <c r="Q905" i="2"/>
  <c r="Q904" i="2"/>
  <c r="Q903" i="2"/>
  <c r="M903" i="2"/>
  <c r="Q902" i="2"/>
  <c r="M902" i="2"/>
  <c r="Q901" i="2"/>
  <c r="Q900" i="2"/>
  <c r="Q899" i="2"/>
  <c r="M899" i="2"/>
  <c r="Q898" i="2"/>
  <c r="Q897" i="2"/>
  <c r="Q896" i="2"/>
  <c r="Q895" i="2"/>
  <c r="M895" i="2"/>
  <c r="Q894" i="2"/>
  <c r="Q893" i="2"/>
  <c r="Q892" i="2"/>
  <c r="M892" i="2"/>
  <c r="Q891" i="2"/>
  <c r="M891" i="2"/>
  <c r="Q890" i="2"/>
  <c r="Q889" i="2"/>
  <c r="Q888" i="2"/>
  <c r="M888" i="2"/>
  <c r="Q887" i="2"/>
  <c r="M887" i="2"/>
  <c r="Q886" i="2"/>
  <c r="Q885" i="2"/>
  <c r="Q884" i="2"/>
  <c r="Q883" i="2"/>
  <c r="M883" i="2"/>
  <c r="Q882" i="2"/>
  <c r="Q881" i="2"/>
  <c r="Q880" i="2"/>
  <c r="Q879" i="2"/>
  <c r="M879" i="2"/>
  <c r="Q878" i="2"/>
  <c r="Q877" i="2"/>
  <c r="Q876" i="2"/>
  <c r="M876" i="2"/>
  <c r="Q875" i="2"/>
  <c r="M875" i="2"/>
  <c r="Q874" i="2"/>
  <c r="Q873" i="2"/>
  <c r="Q872" i="2"/>
  <c r="M872" i="2"/>
  <c r="Q871" i="2"/>
  <c r="M871" i="2"/>
  <c r="Q870" i="2"/>
  <c r="Q869" i="2"/>
  <c r="Q868" i="2"/>
  <c r="Q867" i="2"/>
  <c r="M867" i="2"/>
  <c r="Q866" i="2"/>
  <c r="Q865" i="2"/>
  <c r="Q864" i="2"/>
  <c r="Q863" i="2"/>
  <c r="M863" i="2"/>
  <c r="Q862" i="2"/>
  <c r="M862" i="2"/>
  <c r="Q861" i="2"/>
  <c r="Q860" i="2"/>
  <c r="M860" i="2"/>
  <c r="Q859" i="2"/>
  <c r="M859" i="2"/>
  <c r="Q858" i="2"/>
  <c r="Q857" i="2"/>
  <c r="Q856" i="2"/>
  <c r="M856" i="2"/>
  <c r="Q855" i="2"/>
  <c r="M855" i="2"/>
  <c r="Q854" i="2"/>
  <c r="Q853" i="2"/>
  <c r="Q852" i="2"/>
  <c r="Q851" i="2"/>
  <c r="M851" i="2"/>
  <c r="Q850" i="2"/>
  <c r="Q849" i="2"/>
  <c r="Q848" i="2"/>
  <c r="Q847" i="2"/>
  <c r="M847" i="2"/>
  <c r="Q846" i="2"/>
  <c r="Q845" i="2"/>
  <c r="Q844" i="2"/>
  <c r="M844" i="2"/>
  <c r="Q843" i="2"/>
  <c r="M843" i="2"/>
  <c r="Q842" i="2"/>
  <c r="Q841" i="2"/>
  <c r="Q840" i="2"/>
  <c r="M840" i="2"/>
  <c r="Q839" i="2"/>
  <c r="M839" i="2"/>
  <c r="Q838" i="2"/>
  <c r="Q837" i="2"/>
  <c r="Q836" i="2"/>
  <c r="Q835" i="2"/>
  <c r="M835" i="2"/>
  <c r="Q834" i="2"/>
  <c r="Q833" i="2"/>
  <c r="Q832" i="2"/>
  <c r="Q831" i="2"/>
  <c r="M831" i="2"/>
  <c r="Q830" i="2"/>
  <c r="Q829" i="2"/>
  <c r="Q828" i="2"/>
  <c r="M828" i="2"/>
  <c r="Q827" i="2"/>
  <c r="M827" i="2"/>
  <c r="Q826" i="2"/>
  <c r="Q825" i="2"/>
  <c r="Q824" i="2"/>
  <c r="M824" i="2"/>
  <c r="Q823" i="2"/>
  <c r="M823" i="2"/>
  <c r="Q822" i="2"/>
  <c r="Q821" i="2"/>
  <c r="Q820" i="2"/>
  <c r="Q819" i="2"/>
  <c r="M819" i="2"/>
  <c r="Q818" i="2"/>
  <c r="Q817" i="2"/>
  <c r="Q816" i="2"/>
  <c r="Q815" i="2"/>
  <c r="M815" i="2"/>
  <c r="Q814" i="2"/>
  <c r="Q813" i="2"/>
  <c r="Q812" i="2"/>
  <c r="M812" i="2"/>
  <c r="Q811" i="2"/>
  <c r="M811" i="2"/>
  <c r="Q810" i="2"/>
  <c r="Q809" i="2"/>
  <c r="Q808" i="2"/>
  <c r="M808" i="2"/>
  <c r="Q807" i="2"/>
  <c r="M807" i="2"/>
  <c r="Q806" i="2"/>
  <c r="Q805" i="2"/>
  <c r="Q804" i="2"/>
  <c r="Q803" i="2"/>
  <c r="M803" i="2"/>
  <c r="Q802" i="2"/>
  <c r="Q801" i="2"/>
  <c r="Q800" i="2"/>
  <c r="Q799" i="2"/>
  <c r="M799" i="2"/>
  <c r="Q798" i="2"/>
  <c r="M798" i="2"/>
  <c r="Q797" i="2"/>
  <c r="Q796" i="2"/>
  <c r="Q795" i="2"/>
  <c r="M795" i="2"/>
  <c r="Q794" i="2"/>
  <c r="Q793" i="2"/>
  <c r="Q792" i="2"/>
  <c r="M792" i="2"/>
  <c r="Q791" i="2"/>
  <c r="M791" i="2"/>
  <c r="Q790" i="2"/>
  <c r="Q789" i="2"/>
  <c r="Q788" i="2"/>
  <c r="M788" i="2"/>
  <c r="Q787" i="2"/>
  <c r="M787" i="2"/>
  <c r="Q786" i="2"/>
  <c r="Q785" i="2"/>
  <c r="Q784" i="2"/>
  <c r="Q783" i="2"/>
  <c r="M783" i="2"/>
  <c r="Q782" i="2"/>
  <c r="Q781" i="2"/>
  <c r="Q780" i="2"/>
  <c r="Q779" i="2"/>
  <c r="M779" i="2"/>
  <c r="Q778" i="2"/>
  <c r="Q777" i="2"/>
  <c r="Q776" i="2"/>
  <c r="M776" i="2"/>
  <c r="Q775" i="2"/>
  <c r="M775" i="2"/>
  <c r="Q774" i="2"/>
  <c r="Q773" i="2"/>
  <c r="Q772" i="2"/>
  <c r="M772" i="2"/>
  <c r="Q771" i="2"/>
  <c r="M771" i="2"/>
  <c r="Q770" i="2"/>
  <c r="Q769" i="2"/>
  <c r="Q768" i="2"/>
  <c r="Q767" i="2"/>
  <c r="M767" i="2"/>
  <c r="Q766" i="2"/>
  <c r="Q765" i="2"/>
  <c r="Q764" i="2"/>
  <c r="Q763" i="2"/>
  <c r="M763" i="2"/>
  <c r="Q762" i="2"/>
  <c r="Q761" i="2"/>
  <c r="Q760" i="2"/>
  <c r="M760" i="2"/>
  <c r="Q759" i="2"/>
  <c r="M759" i="2"/>
  <c r="Q758" i="2"/>
  <c r="Q757" i="2"/>
  <c r="Q756" i="2"/>
  <c r="M756" i="2"/>
  <c r="Q755" i="2"/>
  <c r="M755" i="2"/>
  <c r="Q754" i="2"/>
  <c r="Q753" i="2"/>
  <c r="Q752" i="2"/>
  <c r="Q751" i="2"/>
  <c r="M751" i="2"/>
  <c r="Q750" i="2"/>
  <c r="Q749" i="2"/>
  <c r="Q748" i="2"/>
  <c r="Q747" i="2"/>
  <c r="M747" i="2"/>
  <c r="Q746" i="2"/>
  <c r="Q745" i="2"/>
  <c r="Q744" i="2"/>
  <c r="M744" i="2"/>
  <c r="Q743" i="2"/>
  <c r="M743" i="2"/>
  <c r="Q742" i="2"/>
  <c r="Q741" i="2"/>
  <c r="Q740" i="2"/>
  <c r="M740" i="2"/>
  <c r="Q739" i="2"/>
  <c r="M739" i="2"/>
  <c r="Q738" i="2"/>
  <c r="Q737" i="2"/>
  <c r="Q736" i="2"/>
  <c r="Q735" i="2"/>
  <c r="M735" i="2"/>
  <c r="Q734" i="2"/>
  <c r="Q733" i="2"/>
  <c r="Q732" i="2"/>
  <c r="Q731" i="2"/>
  <c r="M731" i="2"/>
  <c r="Q730" i="2"/>
  <c r="Q729" i="2"/>
  <c r="Q728" i="2"/>
  <c r="M728" i="2"/>
  <c r="Q727" i="2"/>
  <c r="M727" i="2"/>
  <c r="Q726" i="2"/>
  <c r="Q725" i="2"/>
  <c r="M725" i="2"/>
  <c r="Q724" i="2"/>
  <c r="M724" i="2"/>
  <c r="Q723" i="2"/>
  <c r="M723" i="2"/>
  <c r="Q722" i="2"/>
  <c r="Q721" i="2"/>
  <c r="Q720" i="2"/>
  <c r="M720" i="2"/>
  <c r="Q719" i="2"/>
  <c r="M719" i="2"/>
  <c r="Q718" i="2"/>
  <c r="Q717" i="2"/>
  <c r="Q716" i="2"/>
  <c r="Q715" i="2"/>
  <c r="M715" i="2"/>
  <c r="Q714" i="2"/>
  <c r="Q713" i="2"/>
  <c r="Q712" i="2"/>
  <c r="Q711" i="2"/>
  <c r="M711" i="2"/>
  <c r="Q710" i="2"/>
  <c r="Q709" i="2"/>
  <c r="Q708" i="2"/>
  <c r="M708" i="2"/>
  <c r="Q707" i="2"/>
  <c r="M707" i="2"/>
  <c r="Q706" i="2"/>
  <c r="Q705" i="2"/>
  <c r="Q704" i="2"/>
  <c r="M704" i="2"/>
  <c r="Q703" i="2"/>
  <c r="M703" i="2"/>
  <c r="Q702" i="2"/>
  <c r="Q701" i="2"/>
  <c r="Q700" i="2"/>
  <c r="Q699" i="2"/>
  <c r="M699" i="2"/>
  <c r="Q698" i="2"/>
  <c r="Q697" i="2"/>
  <c r="Q696" i="2"/>
  <c r="Q695" i="2"/>
  <c r="M695" i="2"/>
  <c r="Q694" i="2"/>
  <c r="Q693" i="2"/>
  <c r="Q692" i="2"/>
  <c r="M692" i="2"/>
  <c r="Q691" i="2"/>
  <c r="M691" i="2"/>
  <c r="Q690" i="2"/>
  <c r="Q689" i="2"/>
  <c r="Q688" i="2"/>
  <c r="M688" i="2"/>
  <c r="Q687" i="2"/>
  <c r="M687" i="2"/>
  <c r="Q686" i="2"/>
  <c r="Q685" i="2"/>
  <c r="Q684" i="2"/>
  <c r="Q683" i="2"/>
  <c r="M683" i="2"/>
  <c r="Q682" i="2"/>
  <c r="Q681" i="2"/>
  <c r="Q680" i="2"/>
  <c r="Q679" i="2"/>
  <c r="M679" i="2"/>
  <c r="Q678" i="2"/>
  <c r="Q677" i="2"/>
  <c r="Q676" i="2"/>
  <c r="M676" i="2"/>
  <c r="Q675" i="2"/>
  <c r="M675" i="2"/>
  <c r="Q674" i="2"/>
  <c r="Q673" i="2"/>
  <c r="Q672" i="2"/>
  <c r="M672" i="2"/>
  <c r="Q671" i="2"/>
  <c r="M671" i="2"/>
  <c r="Q670" i="2"/>
  <c r="Q669" i="2"/>
  <c r="Q668" i="2"/>
  <c r="Q667" i="2"/>
  <c r="M667" i="2"/>
  <c r="Q666" i="2"/>
  <c r="Q665" i="2"/>
  <c r="Q664" i="2"/>
  <c r="Q663" i="2"/>
  <c r="M663" i="2"/>
  <c r="Q662" i="2"/>
  <c r="Q661" i="2"/>
  <c r="Q660" i="2"/>
  <c r="M660" i="2"/>
  <c r="Q659" i="2"/>
  <c r="M659" i="2"/>
  <c r="Q658" i="2"/>
  <c r="Q657" i="2"/>
  <c r="Q656" i="2"/>
  <c r="M656" i="2"/>
  <c r="Q655" i="2"/>
  <c r="M655" i="2"/>
  <c r="Q654" i="2"/>
  <c r="Q653" i="2"/>
  <c r="Q652" i="2"/>
  <c r="Q651" i="2"/>
  <c r="M651" i="2"/>
  <c r="Q650" i="2"/>
  <c r="Q649" i="2"/>
  <c r="Q648" i="2"/>
  <c r="Q647" i="2"/>
  <c r="M647" i="2"/>
  <c r="Q646" i="2"/>
  <c r="Q645" i="2"/>
  <c r="Q644" i="2"/>
  <c r="M644" i="2"/>
  <c r="Q643" i="2"/>
  <c r="M643" i="2"/>
  <c r="Q642" i="2"/>
  <c r="Q641" i="2"/>
  <c r="Q640" i="2"/>
  <c r="M640" i="2"/>
  <c r="Q639" i="2"/>
  <c r="M639" i="2"/>
  <c r="Q638" i="2"/>
  <c r="Q637" i="2"/>
  <c r="Q636" i="2"/>
  <c r="Q635" i="2"/>
  <c r="M635" i="2"/>
  <c r="Q634" i="2"/>
  <c r="Q633" i="2"/>
  <c r="Q632" i="2"/>
  <c r="Q631" i="2"/>
  <c r="M631" i="2"/>
  <c r="Q630" i="2"/>
  <c r="Q629" i="2"/>
  <c r="Q628" i="2"/>
  <c r="Q627" i="2"/>
  <c r="M627" i="2"/>
  <c r="Q626" i="2"/>
  <c r="Q625" i="2"/>
  <c r="M625" i="2"/>
  <c r="Q624" i="2"/>
  <c r="M624" i="2"/>
  <c r="Q623" i="2"/>
  <c r="M623" i="2"/>
  <c r="Q622" i="2"/>
  <c r="Q621" i="2"/>
  <c r="Q620" i="2"/>
  <c r="M620" i="2"/>
  <c r="Q619" i="2"/>
  <c r="M619" i="2"/>
  <c r="Q618" i="2"/>
  <c r="Q617" i="2"/>
  <c r="Q616" i="2"/>
  <c r="Q615" i="2"/>
  <c r="M615" i="2"/>
  <c r="Q614" i="2"/>
  <c r="Q613" i="2"/>
  <c r="Q612" i="2"/>
  <c r="Q611" i="2"/>
  <c r="M611" i="2"/>
  <c r="Q610" i="2"/>
  <c r="Q609" i="2"/>
  <c r="Q608" i="2"/>
  <c r="M608" i="2"/>
  <c r="Q607" i="2"/>
  <c r="M607" i="2"/>
  <c r="Q606" i="2"/>
  <c r="Q605" i="2"/>
  <c r="Q604" i="2"/>
  <c r="M604" i="2"/>
  <c r="Q603" i="2"/>
  <c r="M603" i="2"/>
  <c r="Q602" i="2"/>
  <c r="Q601" i="2"/>
  <c r="Q600" i="2"/>
  <c r="Q599" i="2"/>
  <c r="M599" i="2"/>
  <c r="Q598" i="2"/>
  <c r="Q597" i="2"/>
  <c r="Q596" i="2"/>
  <c r="Q595" i="2"/>
  <c r="M595" i="2"/>
  <c r="Q594" i="2"/>
  <c r="Q593" i="2"/>
  <c r="Q592" i="2"/>
  <c r="M592" i="2"/>
  <c r="Q591" i="2"/>
  <c r="M591" i="2"/>
  <c r="Q590" i="2"/>
  <c r="Q589" i="2"/>
  <c r="Q588" i="2"/>
  <c r="M588" i="2"/>
  <c r="Q587" i="2"/>
  <c r="M587" i="2"/>
  <c r="Q586" i="2"/>
  <c r="Q585" i="2"/>
  <c r="Q584" i="2"/>
  <c r="Q583" i="2"/>
  <c r="M583" i="2"/>
  <c r="Q582" i="2"/>
  <c r="Q581" i="2"/>
  <c r="Q580" i="2"/>
  <c r="Q579" i="2"/>
  <c r="M579" i="2"/>
  <c r="Q578" i="2"/>
  <c r="Q577" i="2"/>
  <c r="Q576" i="2"/>
  <c r="M576" i="2"/>
  <c r="Q575" i="2"/>
  <c r="M575" i="2"/>
  <c r="Q574" i="2"/>
  <c r="Q573" i="2"/>
  <c r="Q572" i="2"/>
  <c r="M572" i="2"/>
  <c r="Q571" i="2"/>
  <c r="M571" i="2"/>
  <c r="Q570" i="2"/>
  <c r="Q569" i="2"/>
  <c r="Q568" i="2"/>
  <c r="M568" i="2"/>
  <c r="Q567" i="2"/>
  <c r="M567" i="2"/>
  <c r="Q566" i="2"/>
  <c r="Q565" i="2"/>
  <c r="Q564" i="2"/>
  <c r="Q563" i="2"/>
  <c r="M563" i="2"/>
  <c r="Q562" i="2"/>
  <c r="Q561" i="2"/>
  <c r="Q560" i="2"/>
  <c r="Q559" i="2"/>
  <c r="M559" i="2"/>
  <c r="Q558" i="2"/>
  <c r="Q557" i="2"/>
  <c r="Q556" i="2"/>
  <c r="M556" i="2"/>
  <c r="Q555" i="2"/>
  <c r="M555" i="2"/>
  <c r="Q554" i="2"/>
  <c r="Q553" i="2"/>
  <c r="Q552" i="2"/>
  <c r="M552" i="2"/>
  <c r="Q551" i="2"/>
  <c r="M551" i="2"/>
  <c r="Q550" i="2"/>
  <c r="Q549" i="2"/>
  <c r="Q548" i="2"/>
  <c r="Q547" i="2"/>
  <c r="M547" i="2"/>
  <c r="Q546" i="2"/>
  <c r="Q545" i="2"/>
  <c r="Q544" i="2"/>
  <c r="Q543" i="2"/>
  <c r="M543" i="2"/>
  <c r="Q542" i="2"/>
  <c r="Q541" i="2"/>
  <c r="Q540" i="2"/>
  <c r="M540" i="2"/>
  <c r="Q539" i="2"/>
  <c r="M539" i="2"/>
  <c r="Q538" i="2"/>
  <c r="Q537" i="2"/>
  <c r="Q536" i="2"/>
  <c r="M536" i="2"/>
  <c r="Q535" i="2"/>
  <c r="M535" i="2"/>
  <c r="Q534" i="2"/>
  <c r="Q533" i="2"/>
  <c r="Q532" i="2"/>
  <c r="Q531" i="2"/>
  <c r="M531" i="2"/>
  <c r="Q530" i="2"/>
  <c r="Q529" i="2"/>
  <c r="Q528" i="2"/>
  <c r="Q527" i="2"/>
  <c r="M527" i="2"/>
  <c r="Q526" i="2"/>
  <c r="Q525" i="2"/>
  <c r="Q524" i="2"/>
  <c r="M524" i="2"/>
  <c r="Q523" i="2"/>
  <c r="M523" i="2"/>
  <c r="Q522" i="2"/>
  <c r="Q521" i="2"/>
  <c r="Q520" i="2"/>
  <c r="M520" i="2"/>
  <c r="Q519" i="2"/>
  <c r="M519" i="2"/>
  <c r="Q518" i="2"/>
  <c r="Q517" i="2"/>
  <c r="Q516" i="2"/>
  <c r="Q515" i="2"/>
  <c r="M515" i="2"/>
  <c r="Q514" i="2"/>
  <c r="Q513" i="2"/>
  <c r="Q512" i="2"/>
  <c r="Q511" i="2"/>
  <c r="M511" i="2"/>
  <c r="Q510" i="2"/>
  <c r="Q509" i="2"/>
  <c r="Q508" i="2"/>
  <c r="M508" i="2"/>
  <c r="Q507" i="2"/>
  <c r="M507" i="2"/>
  <c r="Q506" i="2"/>
  <c r="Q505" i="2"/>
  <c r="Q504" i="2"/>
  <c r="M504" i="2"/>
  <c r="Q503" i="2"/>
  <c r="M503" i="2"/>
  <c r="Q502" i="2"/>
  <c r="Q501" i="2"/>
  <c r="Q500" i="2"/>
  <c r="Q499" i="2"/>
  <c r="M499" i="2"/>
  <c r="Q498" i="2"/>
  <c r="Q497" i="2"/>
  <c r="Q496" i="2"/>
  <c r="Q495" i="2"/>
  <c r="M495" i="2"/>
  <c r="Q494" i="2"/>
  <c r="Q493" i="2"/>
  <c r="Q492" i="2"/>
  <c r="M492" i="2"/>
  <c r="Q491" i="2"/>
  <c r="M491" i="2"/>
  <c r="Q490" i="2"/>
  <c r="Q489" i="2"/>
  <c r="Q488" i="2"/>
  <c r="M488" i="2"/>
  <c r="Q487" i="2"/>
  <c r="M487" i="2"/>
  <c r="Q486" i="2"/>
  <c r="Q485" i="2"/>
  <c r="Q484" i="2"/>
  <c r="Q483" i="2"/>
  <c r="M483" i="2"/>
  <c r="Q482" i="2"/>
  <c r="Q481" i="2"/>
  <c r="Q480" i="2"/>
  <c r="Q479" i="2"/>
  <c r="M479" i="2"/>
  <c r="Q478" i="2"/>
  <c r="Q477" i="2"/>
  <c r="Q476" i="2"/>
  <c r="M476" i="2"/>
  <c r="Q475" i="2"/>
  <c r="M475" i="2"/>
  <c r="Q474" i="2"/>
  <c r="Q473" i="2"/>
  <c r="Q472" i="2"/>
  <c r="M472" i="2"/>
  <c r="Q471" i="2"/>
  <c r="M471" i="2"/>
  <c r="Q470" i="2"/>
  <c r="Q469" i="2"/>
  <c r="Q468" i="2"/>
  <c r="Q467" i="2"/>
  <c r="M467" i="2"/>
  <c r="Q466" i="2"/>
  <c r="Q465" i="2"/>
  <c r="Q464" i="2"/>
  <c r="Q463" i="2"/>
  <c r="M463" i="2"/>
  <c r="Q462" i="2"/>
  <c r="Q461" i="2"/>
  <c r="Q460" i="2"/>
  <c r="M460" i="2"/>
  <c r="Q459" i="2"/>
  <c r="M459" i="2"/>
  <c r="Q458" i="2"/>
  <c r="Q457" i="2"/>
  <c r="Q456" i="2"/>
  <c r="M456" i="2"/>
  <c r="Q455" i="2"/>
  <c r="M455" i="2"/>
  <c r="Q454" i="2"/>
  <c r="Q453" i="2"/>
  <c r="Q452" i="2"/>
  <c r="Q451" i="2"/>
  <c r="M451" i="2"/>
  <c r="Q450" i="2"/>
  <c r="Q449" i="2"/>
  <c r="Q448" i="2"/>
  <c r="Q447" i="2"/>
  <c r="M447" i="2"/>
  <c r="Q446" i="2"/>
  <c r="Q445" i="2"/>
  <c r="Q444" i="2"/>
  <c r="M444" i="2"/>
  <c r="Q443" i="2"/>
  <c r="M443" i="2"/>
  <c r="Q442" i="2"/>
  <c r="Q441" i="2"/>
  <c r="Q440" i="2"/>
  <c r="M440" i="2"/>
  <c r="Q439" i="2"/>
  <c r="M439" i="2"/>
  <c r="Q438" i="2"/>
  <c r="Q437" i="2"/>
  <c r="Q436" i="2"/>
  <c r="Q435" i="2"/>
  <c r="M435" i="2"/>
  <c r="Q434" i="2"/>
  <c r="Q433" i="2"/>
  <c r="Q432" i="2"/>
  <c r="Q431" i="2"/>
  <c r="M431" i="2"/>
  <c r="Q430" i="2"/>
  <c r="Q429" i="2"/>
  <c r="Q428" i="2"/>
  <c r="M428" i="2"/>
  <c r="Q427" i="2"/>
  <c r="M427" i="2"/>
  <c r="Q426" i="2"/>
  <c r="Q425" i="2"/>
  <c r="Q424" i="2"/>
  <c r="M424" i="2"/>
  <c r="Q423" i="2"/>
  <c r="M423" i="2"/>
  <c r="Q422" i="2"/>
  <c r="Q421" i="2"/>
  <c r="Q420" i="2"/>
  <c r="Q419" i="2"/>
  <c r="M419" i="2"/>
  <c r="Q418" i="2"/>
  <c r="Q417" i="2"/>
  <c r="Q416" i="2"/>
  <c r="Q415" i="2"/>
  <c r="M415" i="2"/>
  <c r="Q414" i="2"/>
  <c r="Q413" i="2"/>
  <c r="Q412" i="2"/>
  <c r="M412" i="2"/>
  <c r="Q411" i="2"/>
  <c r="M411" i="2"/>
  <c r="Q410" i="2"/>
  <c r="Q409" i="2"/>
  <c r="Q408" i="2"/>
  <c r="M408" i="2"/>
  <c r="Q407" i="2"/>
  <c r="M407" i="2"/>
  <c r="Q406" i="2"/>
  <c r="Q405" i="2"/>
  <c r="Q404" i="2"/>
  <c r="Q403" i="2"/>
  <c r="M403" i="2"/>
  <c r="Q402" i="2"/>
  <c r="Q401" i="2"/>
  <c r="Q400" i="2"/>
  <c r="Q399" i="2"/>
  <c r="M399" i="2"/>
  <c r="Q398" i="2"/>
  <c r="Q397" i="2"/>
  <c r="Q396" i="2"/>
  <c r="M396" i="2"/>
  <c r="Q395" i="2"/>
  <c r="M395" i="2"/>
  <c r="Q394" i="2"/>
  <c r="Q393" i="2"/>
  <c r="Q392" i="2"/>
  <c r="M392" i="2"/>
  <c r="Q391" i="2"/>
  <c r="M391" i="2"/>
  <c r="Q390" i="2"/>
  <c r="Q389" i="2"/>
  <c r="Q388" i="2"/>
  <c r="Q387" i="2"/>
  <c r="M387" i="2"/>
  <c r="Q386" i="2"/>
  <c r="Q385" i="2"/>
  <c r="Q384" i="2"/>
  <c r="Q383" i="2"/>
  <c r="M383" i="2"/>
  <c r="Q382" i="2"/>
  <c r="Q381" i="2"/>
  <c r="Q380" i="2"/>
  <c r="M380" i="2"/>
  <c r="Q379" i="2"/>
  <c r="M379" i="2"/>
  <c r="Q378" i="2"/>
  <c r="Q377" i="2"/>
  <c r="Q376" i="2"/>
  <c r="M376" i="2"/>
  <c r="Q375" i="2"/>
  <c r="M375" i="2"/>
  <c r="Q374" i="2"/>
  <c r="Q373" i="2"/>
  <c r="Q372" i="2"/>
  <c r="Q371" i="2"/>
  <c r="M371" i="2"/>
  <c r="Q370" i="2"/>
  <c r="Q369" i="2"/>
  <c r="Q368" i="2"/>
  <c r="Q367" i="2"/>
  <c r="M367" i="2"/>
  <c r="Q366" i="2"/>
  <c r="Q365" i="2"/>
  <c r="Q364" i="2"/>
  <c r="M364" i="2"/>
  <c r="Q363" i="2"/>
  <c r="M363" i="2"/>
  <c r="Q362" i="2"/>
  <c r="Q361" i="2"/>
  <c r="Q360" i="2"/>
  <c r="M360" i="2"/>
  <c r="Q359" i="2"/>
  <c r="M359" i="2"/>
  <c r="Q358" i="2"/>
  <c r="Q357" i="2"/>
  <c r="Q356" i="2"/>
  <c r="Q355" i="2"/>
  <c r="M355" i="2"/>
  <c r="Q354" i="2"/>
  <c r="Q353" i="2"/>
  <c r="Q352" i="2"/>
  <c r="Q351" i="2"/>
  <c r="M351" i="2"/>
  <c r="Q350" i="2"/>
  <c r="Q349" i="2"/>
  <c r="Q348" i="2"/>
  <c r="M348" i="2"/>
  <c r="Q347" i="2"/>
  <c r="M347" i="2"/>
  <c r="Q346" i="2"/>
  <c r="Q345" i="2"/>
  <c r="Q344" i="2"/>
  <c r="M344" i="2"/>
  <c r="Q343" i="2"/>
  <c r="M343" i="2"/>
  <c r="Q342" i="2"/>
  <c r="Q341" i="2"/>
  <c r="Q340" i="2"/>
  <c r="Q339" i="2"/>
  <c r="M339" i="2"/>
  <c r="Q338" i="2"/>
  <c r="Q337" i="2"/>
  <c r="Q336" i="2"/>
  <c r="Q335" i="2"/>
  <c r="M335" i="2"/>
  <c r="Q334" i="2"/>
  <c r="Q333" i="2"/>
  <c r="Q332" i="2"/>
  <c r="M332" i="2"/>
  <c r="Q331" i="2"/>
  <c r="M331" i="2"/>
  <c r="Q330" i="2"/>
  <c r="Q329" i="2"/>
  <c r="Q328" i="2"/>
  <c r="M328" i="2"/>
  <c r="Q327" i="2"/>
  <c r="M327" i="2"/>
  <c r="Q326" i="2"/>
  <c r="Q325" i="2"/>
  <c r="Q324" i="2"/>
  <c r="Q323" i="2"/>
  <c r="M323" i="2"/>
  <c r="Q322" i="2"/>
  <c r="Q321" i="2"/>
  <c r="Q320" i="2"/>
  <c r="Q319" i="2"/>
  <c r="M319" i="2"/>
  <c r="Q318" i="2"/>
  <c r="Q317" i="2"/>
  <c r="Q316" i="2"/>
  <c r="M316" i="2"/>
  <c r="Q315" i="2"/>
  <c r="M315" i="2"/>
  <c r="Q314" i="2"/>
  <c r="Q313" i="2"/>
  <c r="Q312" i="2"/>
  <c r="M312" i="2"/>
  <c r="Q311" i="2"/>
  <c r="M311" i="2"/>
  <c r="Q310" i="2"/>
  <c r="Q309" i="2"/>
  <c r="Q308" i="2"/>
  <c r="Q307" i="2"/>
  <c r="M307" i="2"/>
  <c r="Q306" i="2"/>
  <c r="Q305" i="2"/>
  <c r="Q304" i="2"/>
  <c r="Q303" i="2"/>
  <c r="M303" i="2"/>
  <c r="Q302" i="2"/>
  <c r="Q301" i="2"/>
  <c r="Q300" i="2"/>
  <c r="M300" i="2"/>
  <c r="Q299" i="2"/>
  <c r="M299" i="2"/>
  <c r="Q298" i="2"/>
  <c r="Q297" i="2"/>
  <c r="Q296" i="2"/>
  <c r="M296" i="2"/>
  <c r="Q295" i="2"/>
  <c r="M295" i="2"/>
  <c r="Q294" i="2"/>
  <c r="Q293" i="2"/>
  <c r="Q292" i="2"/>
  <c r="Q291" i="2"/>
  <c r="M291" i="2"/>
  <c r="Q290" i="2"/>
  <c r="Q289" i="2"/>
  <c r="Q288" i="2"/>
  <c r="Q287" i="2"/>
  <c r="M287" i="2"/>
  <c r="Q286" i="2"/>
  <c r="Q285" i="2"/>
  <c r="Q284" i="2"/>
  <c r="M284" i="2"/>
  <c r="Q283" i="2"/>
  <c r="M283" i="2"/>
  <c r="Q282" i="2"/>
  <c r="Q281" i="2"/>
  <c r="Q280" i="2"/>
  <c r="M280" i="2"/>
  <c r="Q279" i="2"/>
  <c r="M279" i="2"/>
  <c r="Q278" i="2"/>
  <c r="Q277" i="2"/>
  <c r="Q276" i="2"/>
  <c r="Q275" i="2"/>
  <c r="M275" i="2"/>
  <c r="Q274" i="2"/>
  <c r="Q273" i="2"/>
  <c r="Q272" i="2"/>
  <c r="Q271" i="2"/>
  <c r="M271" i="2"/>
  <c r="Q270" i="2"/>
  <c r="Q269" i="2"/>
  <c r="Q268" i="2"/>
  <c r="M268" i="2"/>
  <c r="Q267" i="2"/>
  <c r="M267" i="2"/>
  <c r="Q266" i="2"/>
  <c r="Q265" i="2"/>
  <c r="Q264" i="2"/>
  <c r="M264" i="2"/>
  <c r="Q263" i="2"/>
  <c r="M263" i="2"/>
  <c r="Q262" i="2"/>
  <c r="Q261" i="2"/>
  <c r="Q260" i="2"/>
  <c r="Q259" i="2"/>
  <c r="M259" i="2"/>
  <c r="Q258" i="2"/>
  <c r="Q257" i="2"/>
  <c r="Q256" i="2"/>
  <c r="Q255" i="2"/>
  <c r="M255" i="2"/>
  <c r="Q254" i="2"/>
  <c r="Q253" i="2"/>
  <c r="Q252" i="2"/>
  <c r="M252" i="2"/>
  <c r="Q251" i="2"/>
  <c r="M251" i="2"/>
  <c r="Q250" i="2"/>
  <c r="Q249" i="2"/>
  <c r="Q248" i="2"/>
  <c r="M248" i="2"/>
  <c r="Q247" i="2"/>
  <c r="M247" i="2"/>
  <c r="Q246" i="2"/>
  <c r="Q245" i="2"/>
  <c r="Q244" i="2"/>
  <c r="Q243" i="2"/>
  <c r="M243" i="2"/>
  <c r="Q242" i="2"/>
  <c r="Q241" i="2"/>
  <c r="Q240" i="2"/>
  <c r="Q239" i="2"/>
  <c r="M239" i="2"/>
  <c r="Q238" i="2"/>
  <c r="Q237" i="2"/>
  <c r="Q236" i="2"/>
  <c r="M236" i="2"/>
  <c r="Q235" i="2"/>
  <c r="M235" i="2"/>
  <c r="Q234" i="2"/>
  <c r="Q233" i="2"/>
  <c r="Q232" i="2"/>
  <c r="M232" i="2"/>
  <c r="Q231" i="2"/>
  <c r="M231" i="2"/>
  <c r="Q230" i="2"/>
  <c r="Q229" i="2"/>
  <c r="Q228" i="2"/>
  <c r="Q227" i="2"/>
  <c r="M227" i="2"/>
  <c r="Q226" i="2"/>
  <c r="M226" i="2"/>
  <c r="Q225" i="2"/>
  <c r="Q224" i="2"/>
  <c r="Q223" i="2"/>
  <c r="M223" i="2"/>
  <c r="Q222" i="2"/>
  <c r="M222" i="2"/>
  <c r="Q221" i="2"/>
  <c r="Q220" i="2"/>
  <c r="Q219" i="2"/>
  <c r="M219" i="2"/>
  <c r="Q218" i="2"/>
  <c r="Q217" i="2"/>
  <c r="Q216" i="2"/>
  <c r="M216" i="2"/>
  <c r="Q215" i="2"/>
  <c r="M215" i="2"/>
  <c r="Q214" i="2"/>
  <c r="Q213" i="2"/>
  <c r="Q212" i="2"/>
  <c r="M212" i="2"/>
  <c r="Q211" i="2"/>
  <c r="M211" i="2"/>
  <c r="Q210" i="2"/>
  <c r="Q209" i="2"/>
  <c r="Q208" i="2"/>
  <c r="M208" i="2"/>
  <c r="Q207" i="2"/>
  <c r="M207" i="2"/>
  <c r="Q206" i="2"/>
  <c r="Q205" i="2"/>
  <c r="Q204" i="2"/>
  <c r="Q203" i="2"/>
  <c r="M203" i="2"/>
  <c r="Q202" i="2"/>
  <c r="Q201" i="2"/>
  <c r="Q200" i="2"/>
  <c r="Q199" i="2"/>
  <c r="M199" i="2"/>
  <c r="Q198" i="2"/>
  <c r="Q197" i="2"/>
  <c r="Q196" i="2"/>
  <c r="M196" i="2"/>
  <c r="Q195" i="2"/>
  <c r="M195" i="2"/>
  <c r="Q194" i="2"/>
  <c r="Q193" i="2"/>
  <c r="Q192" i="2"/>
  <c r="M192" i="2"/>
  <c r="Q191" i="2"/>
  <c r="M191" i="2"/>
  <c r="Q190" i="2"/>
  <c r="Q189" i="2"/>
  <c r="Q188" i="2"/>
  <c r="M188" i="2"/>
  <c r="Q187" i="2"/>
  <c r="M187" i="2"/>
  <c r="Q186" i="2"/>
  <c r="Q185" i="2"/>
  <c r="Q184" i="2"/>
  <c r="Q183" i="2"/>
  <c r="M183" i="2"/>
  <c r="Q182" i="2"/>
  <c r="M182" i="2"/>
  <c r="Q181" i="2"/>
  <c r="M181" i="2"/>
  <c r="Q180" i="2"/>
  <c r="M180" i="2"/>
  <c r="Q179" i="2"/>
  <c r="M179" i="2"/>
  <c r="Q178" i="2"/>
  <c r="M178" i="2"/>
  <c r="Q177" i="2"/>
  <c r="M177" i="2"/>
  <c r="Q176" i="2"/>
  <c r="M176" i="2"/>
  <c r="Q175" i="2"/>
  <c r="M175" i="2"/>
  <c r="Q174" i="2"/>
  <c r="M174" i="2"/>
  <c r="Q173" i="2"/>
  <c r="M173" i="2"/>
  <c r="Q172" i="2"/>
  <c r="M172" i="2"/>
  <c r="Q171" i="2"/>
  <c r="M171" i="2"/>
  <c r="Q170" i="2"/>
  <c r="M170" i="2"/>
  <c r="Q169" i="2"/>
  <c r="M169" i="2"/>
  <c r="Q168" i="2"/>
  <c r="M168" i="2"/>
  <c r="Q167" i="2"/>
  <c r="M167" i="2"/>
  <c r="Q166" i="2"/>
  <c r="M166" i="2"/>
  <c r="Q165" i="2"/>
  <c r="M165" i="2"/>
  <c r="Q164" i="2"/>
  <c r="M164" i="2"/>
  <c r="Q163" i="2"/>
  <c r="M163" i="2"/>
  <c r="Q162" i="2"/>
  <c r="M162" i="2"/>
  <c r="Q161" i="2"/>
  <c r="M161" i="2"/>
  <c r="Q160" i="2"/>
  <c r="M160" i="2"/>
  <c r="Q159" i="2"/>
  <c r="M159" i="2"/>
  <c r="Q158" i="2"/>
  <c r="M158" i="2"/>
  <c r="Q157" i="2"/>
  <c r="M157" i="2"/>
  <c r="Q156" i="2"/>
  <c r="M156" i="2"/>
  <c r="Q155" i="2"/>
  <c r="M155" i="2"/>
  <c r="Q154" i="2"/>
  <c r="M154" i="2"/>
  <c r="Q153" i="2"/>
  <c r="M153" i="2"/>
  <c r="Q152" i="2"/>
  <c r="M152" i="2"/>
  <c r="Q151" i="2"/>
  <c r="M151" i="2"/>
  <c r="Q150" i="2"/>
  <c r="M150" i="2"/>
  <c r="Q149" i="2"/>
  <c r="M149" i="2"/>
  <c r="Q148" i="2"/>
  <c r="M148" i="2"/>
  <c r="Q147" i="2"/>
  <c r="M147" i="2"/>
  <c r="Q146" i="2"/>
  <c r="M146" i="2"/>
  <c r="Q145" i="2"/>
  <c r="M145" i="2"/>
  <c r="Q144" i="2"/>
  <c r="M144" i="2"/>
  <c r="Q143" i="2"/>
  <c r="M143" i="2"/>
  <c r="Q142" i="2"/>
  <c r="M142" i="2"/>
  <c r="Q141" i="2"/>
  <c r="M141" i="2"/>
  <c r="Q140" i="2"/>
  <c r="M140" i="2"/>
  <c r="Q139" i="2"/>
  <c r="M139" i="2"/>
  <c r="Q138" i="2"/>
  <c r="M138" i="2"/>
  <c r="Q137" i="2"/>
  <c r="M137" i="2"/>
  <c r="Q136" i="2"/>
  <c r="M136" i="2"/>
  <c r="Q135" i="2"/>
  <c r="M135" i="2"/>
  <c r="Q134" i="2"/>
  <c r="M134" i="2"/>
  <c r="Q133" i="2"/>
  <c r="M133" i="2"/>
  <c r="Q132" i="2"/>
  <c r="M132" i="2"/>
  <c r="Q131" i="2"/>
  <c r="M131" i="2"/>
  <c r="Q130" i="2"/>
  <c r="M130" i="2"/>
  <c r="Q129" i="2"/>
  <c r="M129" i="2"/>
  <c r="Q128" i="2"/>
  <c r="M128" i="2"/>
  <c r="Q127" i="2"/>
  <c r="M127" i="2"/>
  <c r="Q126" i="2"/>
  <c r="M126" i="2"/>
  <c r="Q125" i="2"/>
  <c r="M125" i="2"/>
  <c r="Q124" i="2"/>
  <c r="M124" i="2"/>
  <c r="S1397" i="2"/>
  <c r="S1396" i="2"/>
  <c r="S1395" i="2"/>
  <c r="S1394" i="2"/>
  <c r="S1393" i="2"/>
  <c r="S1392" i="2"/>
  <c r="S1391" i="2"/>
  <c r="S1390" i="2"/>
  <c r="S1389" i="2"/>
  <c r="S1388" i="2"/>
  <c r="S1387" i="2"/>
  <c r="S1386" i="2"/>
  <c r="S1385" i="2"/>
  <c r="S1384" i="2"/>
  <c r="S1383" i="2"/>
  <c r="S1382" i="2"/>
  <c r="S1381" i="2"/>
  <c r="S1380" i="2"/>
  <c r="S1379" i="2"/>
  <c r="S1378" i="2"/>
  <c r="S1377" i="2"/>
  <c r="S1376" i="2"/>
  <c r="S1375" i="2"/>
  <c r="S1374" i="2"/>
  <c r="S1373" i="2"/>
  <c r="S1372" i="2"/>
  <c r="S1371" i="2"/>
  <c r="S1370" i="2"/>
  <c r="S1369" i="2"/>
  <c r="S1368" i="2"/>
  <c r="S1367" i="2"/>
  <c r="S1366" i="2"/>
  <c r="S1365" i="2"/>
  <c r="S1364" i="2"/>
  <c r="S1363" i="2"/>
  <c r="S1362" i="2"/>
  <c r="S1361" i="2"/>
  <c r="S1360" i="2"/>
  <c r="S1359" i="2"/>
  <c r="S1358" i="2"/>
  <c r="S1357" i="2"/>
  <c r="S1356" i="2"/>
  <c r="S1355" i="2"/>
  <c r="S1354" i="2"/>
  <c r="S1353" i="2"/>
  <c r="S1352" i="2"/>
  <c r="S1351" i="2"/>
  <c r="S1350" i="2"/>
  <c r="S1349" i="2"/>
  <c r="S1348" i="2"/>
  <c r="S1347" i="2"/>
  <c r="S1346" i="2"/>
  <c r="S1345" i="2"/>
  <c r="S1344" i="2"/>
  <c r="S1343" i="2"/>
  <c r="S1342" i="2"/>
  <c r="S1341" i="2"/>
  <c r="S1340" i="2"/>
  <c r="S1339" i="2"/>
  <c r="S1338" i="2"/>
  <c r="S1337" i="2"/>
  <c r="S1336" i="2"/>
  <c r="S1335" i="2"/>
  <c r="S1334" i="2"/>
  <c r="S1333" i="2"/>
  <c r="S1332" i="2"/>
  <c r="S1331" i="2"/>
  <c r="S1330" i="2"/>
  <c r="S1329" i="2"/>
  <c r="S1328" i="2"/>
  <c r="S1327" i="2"/>
  <c r="S1326" i="2"/>
  <c r="S1325" i="2"/>
  <c r="S1324" i="2"/>
  <c r="S1323" i="2"/>
  <c r="S1322" i="2"/>
  <c r="S1321" i="2"/>
  <c r="S1320" i="2"/>
  <c r="S1319" i="2"/>
  <c r="S1318" i="2"/>
  <c r="S1317" i="2"/>
  <c r="S1316" i="2"/>
  <c r="S1315" i="2"/>
  <c r="S1314" i="2"/>
  <c r="S1313" i="2"/>
  <c r="S1312" i="2"/>
  <c r="S1311" i="2"/>
  <c r="S1310" i="2"/>
  <c r="S1309" i="2"/>
  <c r="S1308" i="2"/>
  <c r="S1307" i="2"/>
  <c r="S1306" i="2"/>
  <c r="S1305" i="2"/>
  <c r="S1304" i="2"/>
  <c r="S1303" i="2"/>
  <c r="S1302" i="2"/>
  <c r="S1301" i="2"/>
  <c r="S1300" i="2"/>
  <c r="S1299" i="2"/>
  <c r="S1298" i="2"/>
  <c r="S1297" i="2"/>
  <c r="S1296" i="2"/>
  <c r="S1295" i="2"/>
  <c r="S1294" i="2"/>
  <c r="S1293" i="2"/>
  <c r="S1292" i="2"/>
  <c r="S1291" i="2"/>
  <c r="S1290" i="2"/>
  <c r="S1289" i="2"/>
  <c r="S1288" i="2"/>
  <c r="S1287" i="2"/>
  <c r="S1286" i="2"/>
  <c r="S1285" i="2"/>
  <c r="S1284" i="2"/>
  <c r="S1283" i="2"/>
  <c r="S1282" i="2"/>
  <c r="S1281" i="2"/>
  <c r="S1280" i="2"/>
  <c r="S1279" i="2"/>
  <c r="S1278" i="2"/>
  <c r="S1277" i="2"/>
  <c r="S1276" i="2"/>
  <c r="S1275" i="2"/>
  <c r="S1274" i="2"/>
  <c r="S1273" i="2"/>
  <c r="S1272" i="2"/>
  <c r="S1271" i="2"/>
  <c r="S1270" i="2"/>
  <c r="S1269" i="2"/>
  <c r="S1268" i="2"/>
  <c r="S1267" i="2"/>
  <c r="S1266" i="2"/>
  <c r="S1265" i="2"/>
  <c r="S1264" i="2"/>
  <c r="S1263" i="2"/>
  <c r="S1262" i="2"/>
  <c r="S1261" i="2"/>
  <c r="S1260" i="2"/>
  <c r="S1259" i="2"/>
  <c r="S1258" i="2"/>
  <c r="S1257" i="2"/>
  <c r="S1256" i="2"/>
  <c r="S1255" i="2"/>
  <c r="S1254" i="2"/>
  <c r="S1253" i="2"/>
  <c r="S1252" i="2"/>
  <c r="S1251" i="2"/>
  <c r="S1250" i="2"/>
  <c r="S1249" i="2"/>
  <c r="S1248" i="2"/>
  <c r="S1247" i="2"/>
  <c r="S1246" i="2"/>
  <c r="S1245" i="2"/>
  <c r="S1244" i="2"/>
  <c r="S1243" i="2"/>
  <c r="S1242" i="2"/>
  <c r="S1241" i="2"/>
  <c r="S1240" i="2"/>
  <c r="S1239" i="2"/>
  <c r="S1238" i="2"/>
  <c r="S1237" i="2"/>
  <c r="S1236" i="2"/>
  <c r="S1235" i="2"/>
  <c r="S1234" i="2"/>
  <c r="S1233" i="2"/>
  <c r="S1232" i="2"/>
  <c r="S1231" i="2"/>
  <c r="S1230" i="2"/>
  <c r="S1229" i="2"/>
  <c r="S1228" i="2"/>
  <c r="S1227" i="2"/>
  <c r="S1226" i="2"/>
  <c r="S1225" i="2"/>
  <c r="S1224" i="2"/>
  <c r="S1223" i="2"/>
  <c r="S1222" i="2"/>
  <c r="S1221" i="2"/>
  <c r="S1220" i="2"/>
  <c r="S1219" i="2"/>
  <c r="S1218" i="2"/>
  <c r="S1217" i="2"/>
  <c r="S1216" i="2"/>
  <c r="S1215" i="2"/>
  <c r="S1214" i="2"/>
  <c r="S1213" i="2"/>
  <c r="S1212" i="2"/>
  <c r="S1211" i="2"/>
  <c r="S1210" i="2"/>
  <c r="S1209" i="2"/>
  <c r="S1208" i="2"/>
  <c r="S1207" i="2"/>
  <c r="S1206" i="2"/>
  <c r="S1205" i="2"/>
  <c r="S1204" i="2"/>
  <c r="S1203" i="2"/>
  <c r="S1202" i="2"/>
  <c r="S1201" i="2"/>
  <c r="S1200" i="2"/>
  <c r="S1199" i="2"/>
  <c r="S1198" i="2"/>
  <c r="S1197" i="2"/>
  <c r="S1196" i="2"/>
  <c r="S1195" i="2"/>
  <c r="S1194" i="2"/>
  <c r="S1193" i="2"/>
  <c r="S1192" i="2"/>
  <c r="S1191" i="2"/>
  <c r="S1190" i="2"/>
  <c r="S1189" i="2"/>
  <c r="S1188" i="2"/>
  <c r="S1187" i="2"/>
  <c r="S1186" i="2"/>
  <c r="S1185" i="2"/>
  <c r="S1184" i="2"/>
  <c r="S1183" i="2"/>
  <c r="S1182" i="2"/>
  <c r="S1181" i="2"/>
  <c r="S1180" i="2"/>
  <c r="S1179" i="2"/>
  <c r="S1178" i="2"/>
  <c r="S1177" i="2"/>
  <c r="S1176" i="2"/>
  <c r="S1175" i="2"/>
  <c r="S1174" i="2"/>
  <c r="S1173" i="2"/>
  <c r="S1172" i="2"/>
  <c r="S1171" i="2"/>
  <c r="S1170" i="2"/>
  <c r="S1169" i="2"/>
  <c r="S1168" i="2"/>
  <c r="S1167" i="2"/>
  <c r="S1166" i="2"/>
  <c r="S1165" i="2"/>
  <c r="S1164" i="2"/>
  <c r="S1163" i="2"/>
  <c r="S1162" i="2"/>
  <c r="S1161" i="2"/>
  <c r="S1160" i="2"/>
  <c r="S1159" i="2"/>
  <c r="S1158" i="2"/>
  <c r="S1157" i="2"/>
  <c r="S1156" i="2"/>
  <c r="S1155" i="2"/>
  <c r="S1154" i="2"/>
  <c r="S1153" i="2"/>
  <c r="S1152" i="2"/>
  <c r="S1151" i="2"/>
  <c r="S1150" i="2"/>
  <c r="S1149" i="2"/>
  <c r="S1148" i="2"/>
  <c r="S1147" i="2"/>
  <c r="S1146" i="2"/>
  <c r="S1145" i="2"/>
  <c r="S1144" i="2"/>
  <c r="S1143" i="2"/>
  <c r="S1142" i="2"/>
  <c r="S1141" i="2"/>
  <c r="S1140" i="2"/>
  <c r="S1139" i="2"/>
  <c r="S1138" i="2"/>
  <c r="S1137" i="2"/>
  <c r="S1136" i="2"/>
  <c r="S1135" i="2"/>
  <c r="S1134" i="2"/>
  <c r="S1133" i="2"/>
  <c r="S1132" i="2"/>
  <c r="S1131" i="2"/>
  <c r="S1130" i="2"/>
  <c r="S1129" i="2"/>
  <c r="S1128" i="2"/>
  <c r="S1127" i="2"/>
  <c r="S1126" i="2"/>
  <c r="S1125" i="2"/>
  <c r="S1124" i="2"/>
  <c r="S1123" i="2"/>
  <c r="S1122" i="2"/>
  <c r="S1121" i="2"/>
  <c r="S1120" i="2"/>
  <c r="S1119" i="2"/>
  <c r="S1118" i="2"/>
  <c r="S1117" i="2"/>
  <c r="S1116" i="2"/>
  <c r="S1115" i="2"/>
  <c r="S1114" i="2"/>
  <c r="S1113" i="2"/>
  <c r="S1112" i="2"/>
  <c r="S1111" i="2"/>
  <c r="S1110" i="2"/>
  <c r="S1109" i="2"/>
  <c r="S1108" i="2"/>
  <c r="S1107" i="2"/>
  <c r="S1106" i="2"/>
  <c r="S1105" i="2"/>
  <c r="S1104" i="2"/>
  <c r="S1103" i="2"/>
  <c r="S1102" i="2"/>
  <c r="S1101" i="2"/>
  <c r="S1100" i="2"/>
  <c r="S1099" i="2"/>
  <c r="S1098" i="2"/>
  <c r="S1097" i="2"/>
  <c r="S1096" i="2"/>
  <c r="S1095" i="2"/>
  <c r="S1094" i="2"/>
  <c r="S1093" i="2"/>
  <c r="S1092" i="2"/>
  <c r="S1091" i="2"/>
  <c r="S1090" i="2"/>
  <c r="S1089" i="2"/>
  <c r="S1088" i="2"/>
  <c r="S1087" i="2"/>
  <c r="S1086" i="2"/>
  <c r="S1085" i="2"/>
  <c r="S1084" i="2"/>
  <c r="S1083" i="2"/>
  <c r="S1082" i="2"/>
  <c r="S1081" i="2"/>
  <c r="S1080" i="2"/>
  <c r="S1079" i="2"/>
  <c r="S1078" i="2"/>
  <c r="S1077" i="2"/>
  <c r="S1076" i="2"/>
  <c r="S1075" i="2"/>
  <c r="S1074" i="2"/>
  <c r="S1073" i="2"/>
  <c r="S1072" i="2"/>
  <c r="S1071" i="2"/>
  <c r="S1070" i="2"/>
  <c r="S1069" i="2"/>
  <c r="S1068" i="2"/>
  <c r="S1067" i="2"/>
  <c r="S1066" i="2"/>
  <c r="S1065" i="2"/>
  <c r="S1064" i="2"/>
  <c r="S1063" i="2"/>
  <c r="S1062" i="2"/>
  <c r="S1061" i="2"/>
  <c r="S1060" i="2"/>
  <c r="S1059" i="2"/>
  <c r="S1058" i="2"/>
  <c r="S1057" i="2"/>
  <c r="S1056" i="2"/>
  <c r="S1055" i="2"/>
  <c r="S1054" i="2"/>
  <c r="S1053" i="2"/>
  <c r="S1052" i="2"/>
  <c r="S1051" i="2"/>
  <c r="S1050" i="2"/>
  <c r="S1049" i="2"/>
  <c r="S1048" i="2"/>
  <c r="S1047" i="2"/>
  <c r="S1046" i="2"/>
  <c r="S1045" i="2"/>
  <c r="S1044" i="2"/>
  <c r="S1043" i="2"/>
  <c r="S1042" i="2"/>
  <c r="S1041" i="2"/>
  <c r="S1040" i="2"/>
  <c r="S1039" i="2"/>
  <c r="S1038" i="2"/>
  <c r="S1037" i="2"/>
  <c r="S1036" i="2"/>
  <c r="S1035" i="2"/>
  <c r="S1034" i="2"/>
  <c r="S1033" i="2"/>
  <c r="S1032" i="2"/>
  <c r="S1031" i="2"/>
  <c r="S1030" i="2"/>
  <c r="S1029" i="2"/>
  <c r="S1028" i="2"/>
  <c r="S1027" i="2"/>
  <c r="S1026" i="2"/>
  <c r="S1025" i="2"/>
  <c r="S1024" i="2"/>
  <c r="S1023" i="2"/>
  <c r="S1022" i="2"/>
  <c r="S1021" i="2"/>
  <c r="S1020" i="2"/>
  <c r="S1019" i="2"/>
  <c r="S1018" i="2"/>
  <c r="S1017" i="2"/>
  <c r="S1016" i="2"/>
  <c r="S1015" i="2"/>
  <c r="S1014" i="2"/>
  <c r="S1013" i="2"/>
  <c r="S1012" i="2"/>
  <c r="S1011" i="2"/>
  <c r="S1010" i="2"/>
  <c r="S1009" i="2"/>
  <c r="S1008" i="2"/>
  <c r="S1007" i="2"/>
  <c r="S1006" i="2"/>
  <c r="S1005" i="2"/>
  <c r="S1004" i="2"/>
  <c r="S1003" i="2"/>
  <c r="S1002" i="2"/>
  <c r="S1001" i="2"/>
  <c r="S1000" i="2"/>
  <c r="S999" i="2"/>
  <c r="S998" i="2"/>
  <c r="S997" i="2"/>
  <c r="S996" i="2"/>
  <c r="S995" i="2"/>
  <c r="S994" i="2"/>
  <c r="S993" i="2"/>
  <c r="S992" i="2"/>
  <c r="S991" i="2"/>
  <c r="S990" i="2"/>
  <c r="S989" i="2"/>
  <c r="S988" i="2"/>
  <c r="S987" i="2"/>
  <c r="S986" i="2"/>
  <c r="S985" i="2"/>
  <c r="S984" i="2"/>
  <c r="S983" i="2"/>
  <c r="S982" i="2"/>
  <c r="S981" i="2"/>
  <c r="S980" i="2"/>
  <c r="S979" i="2"/>
  <c r="S978" i="2"/>
  <c r="S977" i="2"/>
  <c r="S976" i="2"/>
  <c r="S975" i="2"/>
  <c r="S974" i="2"/>
  <c r="S973" i="2"/>
  <c r="S972" i="2"/>
  <c r="S971" i="2"/>
  <c r="S970" i="2"/>
  <c r="S969" i="2"/>
  <c r="S968" i="2"/>
  <c r="S967" i="2"/>
  <c r="S966" i="2"/>
  <c r="S965" i="2"/>
  <c r="S964" i="2"/>
  <c r="S963" i="2"/>
  <c r="S962" i="2"/>
  <c r="S961" i="2"/>
  <c r="S960" i="2"/>
  <c r="S959" i="2"/>
  <c r="S958" i="2"/>
  <c r="S957" i="2"/>
  <c r="S956" i="2"/>
  <c r="S955" i="2"/>
  <c r="S954" i="2"/>
  <c r="S953" i="2"/>
  <c r="S952" i="2"/>
  <c r="S951" i="2"/>
  <c r="S950" i="2"/>
  <c r="S949" i="2"/>
  <c r="S948" i="2"/>
  <c r="S947" i="2"/>
  <c r="S946" i="2"/>
  <c r="S945" i="2"/>
  <c r="S944" i="2"/>
  <c r="S943" i="2"/>
  <c r="S942" i="2"/>
  <c r="S941" i="2"/>
  <c r="S940" i="2"/>
  <c r="S939" i="2"/>
  <c r="S938" i="2"/>
  <c r="S937" i="2"/>
  <c r="S936" i="2"/>
  <c r="S935" i="2"/>
  <c r="S934" i="2"/>
  <c r="S933" i="2"/>
  <c r="S932" i="2"/>
  <c r="S931" i="2"/>
  <c r="S930" i="2"/>
  <c r="S929" i="2"/>
  <c r="S928" i="2"/>
  <c r="S927" i="2"/>
  <c r="S926" i="2"/>
  <c r="S925" i="2"/>
  <c r="S924" i="2"/>
  <c r="S923" i="2"/>
  <c r="S922" i="2"/>
  <c r="S921" i="2"/>
  <c r="S920" i="2"/>
  <c r="S919" i="2"/>
  <c r="S918" i="2"/>
  <c r="S917" i="2"/>
  <c r="S916" i="2"/>
  <c r="S915" i="2"/>
  <c r="S914" i="2"/>
  <c r="S913" i="2"/>
  <c r="S912" i="2"/>
  <c r="S911" i="2"/>
  <c r="S910" i="2"/>
  <c r="S909" i="2"/>
  <c r="S908" i="2"/>
  <c r="S907" i="2"/>
  <c r="S906" i="2"/>
  <c r="S905" i="2"/>
  <c r="S904" i="2"/>
  <c r="S903" i="2"/>
  <c r="S902" i="2"/>
  <c r="S901" i="2"/>
  <c r="S900" i="2"/>
  <c r="S899" i="2"/>
  <c r="S898" i="2"/>
  <c r="S897" i="2"/>
  <c r="S896" i="2"/>
  <c r="S895" i="2"/>
  <c r="S894" i="2"/>
  <c r="S893" i="2"/>
  <c r="S892" i="2"/>
  <c r="S891" i="2"/>
  <c r="S890" i="2"/>
  <c r="S889" i="2"/>
  <c r="S888" i="2"/>
  <c r="S887" i="2"/>
  <c r="S886" i="2"/>
  <c r="S885" i="2"/>
  <c r="S884" i="2"/>
  <c r="S883" i="2"/>
  <c r="S882" i="2"/>
  <c r="S881" i="2"/>
  <c r="S880" i="2"/>
  <c r="S879" i="2"/>
  <c r="S878" i="2"/>
  <c r="S877" i="2"/>
  <c r="S876" i="2"/>
  <c r="S875" i="2"/>
  <c r="S874" i="2"/>
  <c r="S873" i="2"/>
  <c r="S872" i="2"/>
  <c r="S871" i="2"/>
  <c r="S870" i="2"/>
  <c r="S869" i="2"/>
  <c r="S868" i="2"/>
  <c r="S867" i="2"/>
  <c r="S866" i="2"/>
  <c r="S865" i="2"/>
  <c r="S864" i="2"/>
  <c r="S863" i="2"/>
  <c r="S862" i="2"/>
  <c r="S861" i="2"/>
  <c r="S860" i="2"/>
  <c r="S859" i="2"/>
  <c r="S858" i="2"/>
  <c r="S857" i="2"/>
  <c r="S856" i="2"/>
  <c r="S855" i="2"/>
  <c r="S854" i="2"/>
  <c r="S853" i="2"/>
  <c r="S852" i="2"/>
  <c r="S851" i="2"/>
  <c r="S850" i="2"/>
  <c r="S849" i="2"/>
  <c r="S848" i="2"/>
  <c r="S847" i="2"/>
  <c r="S846" i="2"/>
  <c r="S845" i="2"/>
  <c r="S844" i="2"/>
  <c r="S843" i="2"/>
  <c r="S842" i="2"/>
  <c r="S841" i="2"/>
  <c r="S840" i="2"/>
  <c r="S839" i="2"/>
  <c r="S838" i="2"/>
  <c r="S837" i="2"/>
  <c r="S836" i="2"/>
  <c r="S835" i="2"/>
  <c r="S834" i="2"/>
  <c r="S833" i="2"/>
  <c r="S832" i="2"/>
  <c r="S831" i="2"/>
  <c r="S830" i="2"/>
  <c r="S829" i="2"/>
  <c r="S828" i="2"/>
  <c r="S827" i="2"/>
  <c r="S826" i="2"/>
  <c r="S825" i="2"/>
  <c r="S824" i="2"/>
  <c r="S823" i="2"/>
  <c r="S822" i="2"/>
  <c r="S821" i="2"/>
  <c r="S820" i="2"/>
  <c r="S819" i="2"/>
  <c r="S818" i="2"/>
  <c r="S817" i="2"/>
  <c r="S816" i="2"/>
  <c r="S815" i="2"/>
  <c r="S814" i="2"/>
  <c r="S813" i="2"/>
  <c r="S812" i="2"/>
  <c r="S811" i="2"/>
  <c r="S810" i="2"/>
  <c r="S809" i="2"/>
  <c r="S808" i="2"/>
  <c r="S807" i="2"/>
  <c r="S806" i="2"/>
  <c r="S805" i="2"/>
  <c r="S804" i="2"/>
  <c r="S803" i="2"/>
  <c r="S802" i="2"/>
  <c r="S801" i="2"/>
  <c r="S800" i="2"/>
  <c r="S799" i="2"/>
  <c r="S798" i="2"/>
  <c r="S797" i="2"/>
  <c r="S796" i="2"/>
  <c r="S795" i="2"/>
  <c r="S794" i="2"/>
  <c r="S793" i="2"/>
  <c r="S792" i="2"/>
  <c r="S791" i="2"/>
  <c r="S790" i="2"/>
  <c r="S789" i="2"/>
  <c r="S788" i="2"/>
  <c r="S787" i="2"/>
  <c r="S786" i="2"/>
  <c r="S785" i="2"/>
  <c r="S784" i="2"/>
  <c r="S783" i="2"/>
  <c r="S782" i="2"/>
  <c r="S781" i="2"/>
  <c r="S780" i="2"/>
  <c r="S779" i="2"/>
  <c r="S778" i="2"/>
  <c r="S777" i="2"/>
  <c r="S776" i="2"/>
  <c r="S775" i="2"/>
  <c r="S774" i="2"/>
  <c r="S773" i="2"/>
  <c r="S772" i="2"/>
  <c r="S771" i="2"/>
  <c r="S770" i="2"/>
  <c r="S769" i="2"/>
  <c r="S768" i="2"/>
  <c r="S767" i="2"/>
  <c r="S766" i="2"/>
  <c r="S765" i="2"/>
  <c r="S764" i="2"/>
  <c r="S763" i="2"/>
  <c r="S762" i="2"/>
  <c r="S761" i="2"/>
  <c r="S760" i="2"/>
  <c r="S759" i="2"/>
  <c r="S758" i="2"/>
  <c r="S757" i="2"/>
  <c r="S756" i="2"/>
  <c r="S755" i="2"/>
  <c r="S754" i="2"/>
  <c r="S753" i="2"/>
  <c r="S752" i="2"/>
  <c r="S751" i="2"/>
  <c r="S750" i="2"/>
  <c r="S749" i="2"/>
  <c r="S748" i="2"/>
  <c r="S747" i="2"/>
  <c r="S746" i="2"/>
  <c r="S745" i="2"/>
  <c r="S744" i="2"/>
  <c r="S743" i="2"/>
  <c r="S742" i="2"/>
  <c r="S741" i="2"/>
  <c r="S740" i="2"/>
  <c r="S739" i="2"/>
  <c r="S738" i="2"/>
  <c r="S737" i="2"/>
  <c r="S736" i="2"/>
  <c r="S735" i="2"/>
  <c r="S734" i="2"/>
  <c r="S733" i="2"/>
  <c r="S732" i="2"/>
  <c r="S731" i="2"/>
  <c r="S730" i="2"/>
  <c r="S729" i="2"/>
  <c r="S728" i="2"/>
  <c r="S727" i="2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E125" i="2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I170" i="2"/>
  <c r="R1397" i="2"/>
  <c r="R1396" i="2"/>
  <c r="R1395" i="2"/>
  <c r="R1394" i="2"/>
  <c r="R1393" i="2"/>
  <c r="R1392" i="2"/>
  <c r="R1391" i="2"/>
  <c r="R1390" i="2"/>
  <c r="R1389" i="2"/>
  <c r="R1388" i="2"/>
  <c r="R1387" i="2"/>
  <c r="R1386" i="2"/>
  <c r="R1385" i="2"/>
  <c r="R1384" i="2"/>
  <c r="R1383" i="2"/>
  <c r="R1382" i="2"/>
  <c r="R1381" i="2"/>
  <c r="R1380" i="2"/>
  <c r="R1379" i="2"/>
  <c r="R1378" i="2"/>
  <c r="R1377" i="2"/>
  <c r="R1376" i="2"/>
  <c r="R1375" i="2"/>
  <c r="R1374" i="2"/>
  <c r="R1373" i="2"/>
  <c r="R1372" i="2"/>
  <c r="R1371" i="2"/>
  <c r="R1370" i="2"/>
  <c r="R1369" i="2"/>
  <c r="R1368" i="2"/>
  <c r="R1367" i="2"/>
  <c r="R1366" i="2"/>
  <c r="R1365" i="2"/>
  <c r="R1364" i="2"/>
  <c r="R1363" i="2"/>
  <c r="R1362" i="2"/>
  <c r="R1361" i="2"/>
  <c r="R1360" i="2"/>
  <c r="R1359" i="2"/>
  <c r="R1358" i="2"/>
  <c r="R1357" i="2"/>
  <c r="R1356" i="2"/>
  <c r="R1355" i="2"/>
  <c r="R1354" i="2"/>
  <c r="R1353" i="2"/>
  <c r="R1352" i="2"/>
  <c r="R1351" i="2"/>
  <c r="R1350" i="2"/>
  <c r="R1349" i="2"/>
  <c r="R1348" i="2"/>
  <c r="R1347" i="2"/>
  <c r="R1346" i="2"/>
  <c r="R1345" i="2"/>
  <c r="R1344" i="2"/>
  <c r="R1343" i="2"/>
  <c r="R1342" i="2"/>
  <c r="R1341" i="2"/>
  <c r="R1340" i="2"/>
  <c r="R1339" i="2"/>
  <c r="R1338" i="2"/>
  <c r="R1337" i="2"/>
  <c r="R1336" i="2"/>
  <c r="R1335" i="2"/>
  <c r="R1334" i="2"/>
  <c r="R1333" i="2"/>
  <c r="R1332" i="2"/>
  <c r="R1331" i="2"/>
  <c r="R1330" i="2"/>
  <c r="R1329" i="2"/>
  <c r="R1328" i="2"/>
  <c r="R1327" i="2"/>
  <c r="R1326" i="2"/>
  <c r="R1325" i="2"/>
  <c r="R1324" i="2"/>
  <c r="R1323" i="2"/>
  <c r="R1322" i="2"/>
  <c r="R1321" i="2"/>
  <c r="R1320" i="2"/>
  <c r="R1319" i="2"/>
  <c r="R1318" i="2"/>
  <c r="R1317" i="2"/>
  <c r="R1316" i="2"/>
  <c r="R1315" i="2"/>
  <c r="R1314" i="2"/>
  <c r="R1313" i="2"/>
  <c r="R1312" i="2"/>
  <c r="R1311" i="2"/>
  <c r="R1310" i="2"/>
  <c r="R1309" i="2"/>
  <c r="R1308" i="2"/>
  <c r="R1307" i="2"/>
  <c r="R1306" i="2"/>
  <c r="R1305" i="2"/>
  <c r="R1304" i="2"/>
  <c r="R1303" i="2"/>
  <c r="R1302" i="2"/>
  <c r="R1301" i="2"/>
  <c r="R1300" i="2"/>
  <c r="R1299" i="2"/>
  <c r="R1298" i="2"/>
  <c r="R1297" i="2"/>
  <c r="R1296" i="2"/>
  <c r="R1295" i="2"/>
  <c r="R1294" i="2"/>
  <c r="R1293" i="2"/>
  <c r="R1292" i="2"/>
  <c r="R1291" i="2"/>
  <c r="R1290" i="2"/>
  <c r="R1289" i="2"/>
  <c r="R1288" i="2"/>
  <c r="R1287" i="2"/>
  <c r="R1286" i="2"/>
  <c r="R1285" i="2"/>
  <c r="R1284" i="2"/>
  <c r="R1283" i="2"/>
  <c r="R1282" i="2"/>
  <c r="R1281" i="2"/>
  <c r="R1280" i="2"/>
  <c r="R1279" i="2"/>
  <c r="R1278" i="2"/>
  <c r="R1277" i="2"/>
  <c r="R1276" i="2"/>
  <c r="R1275" i="2"/>
  <c r="R1274" i="2"/>
  <c r="R1273" i="2"/>
  <c r="R1272" i="2"/>
  <c r="R1271" i="2"/>
  <c r="R1270" i="2"/>
  <c r="R1269" i="2"/>
  <c r="R1268" i="2"/>
  <c r="R1267" i="2"/>
  <c r="R1266" i="2"/>
  <c r="R1265" i="2"/>
  <c r="R1264" i="2"/>
  <c r="R1263" i="2"/>
  <c r="R1262" i="2"/>
  <c r="R1261" i="2"/>
  <c r="R1260" i="2"/>
  <c r="R1259" i="2"/>
  <c r="R1258" i="2"/>
  <c r="R1257" i="2"/>
  <c r="R1256" i="2"/>
  <c r="R1255" i="2"/>
  <c r="R1254" i="2"/>
  <c r="R1253" i="2"/>
  <c r="R1252" i="2"/>
  <c r="R1251" i="2"/>
  <c r="R1250" i="2"/>
  <c r="R1249" i="2"/>
  <c r="R1248" i="2"/>
  <c r="R1247" i="2"/>
  <c r="R1246" i="2"/>
  <c r="R1245" i="2"/>
  <c r="R1244" i="2"/>
  <c r="R1243" i="2"/>
  <c r="R1242" i="2"/>
  <c r="R1241" i="2"/>
  <c r="R1240" i="2"/>
  <c r="R1239" i="2"/>
  <c r="R1238" i="2"/>
  <c r="R1237" i="2"/>
  <c r="R1236" i="2"/>
  <c r="R1235" i="2"/>
  <c r="R1234" i="2"/>
  <c r="R1233" i="2"/>
  <c r="R1232" i="2"/>
  <c r="R1231" i="2"/>
  <c r="R1230" i="2"/>
  <c r="R1229" i="2"/>
  <c r="R1228" i="2"/>
  <c r="R1227" i="2"/>
  <c r="R1226" i="2"/>
  <c r="R1225" i="2"/>
  <c r="R1224" i="2"/>
  <c r="R1223" i="2"/>
  <c r="R1222" i="2"/>
  <c r="R1221" i="2"/>
  <c r="R1220" i="2"/>
  <c r="R1219" i="2"/>
  <c r="R1218" i="2"/>
  <c r="R1217" i="2"/>
  <c r="R1216" i="2"/>
  <c r="R1215" i="2"/>
  <c r="R1214" i="2"/>
  <c r="R1213" i="2"/>
  <c r="R1212" i="2"/>
  <c r="R1211" i="2"/>
  <c r="R1210" i="2"/>
  <c r="R1209" i="2"/>
  <c r="R1208" i="2"/>
  <c r="R1207" i="2"/>
  <c r="R1206" i="2"/>
  <c r="R1205" i="2"/>
  <c r="R1204" i="2"/>
  <c r="R1203" i="2"/>
  <c r="R1202" i="2"/>
  <c r="R1201" i="2"/>
  <c r="R1200" i="2"/>
  <c r="R1199" i="2"/>
  <c r="R1198" i="2"/>
  <c r="R1197" i="2"/>
  <c r="R1196" i="2"/>
  <c r="R1195" i="2"/>
  <c r="R1194" i="2"/>
  <c r="R1193" i="2"/>
  <c r="R1192" i="2"/>
  <c r="R1191" i="2"/>
  <c r="R1190" i="2"/>
  <c r="R1189" i="2"/>
  <c r="R1188" i="2"/>
  <c r="R1187" i="2"/>
  <c r="R1186" i="2"/>
  <c r="R1185" i="2"/>
  <c r="R1184" i="2"/>
  <c r="R1183" i="2"/>
  <c r="R1182" i="2"/>
  <c r="R1181" i="2"/>
  <c r="R1180" i="2"/>
  <c r="R1179" i="2"/>
  <c r="R1178" i="2"/>
  <c r="R1177" i="2"/>
  <c r="R1176" i="2"/>
  <c r="R1175" i="2"/>
  <c r="R1174" i="2"/>
  <c r="R1173" i="2"/>
  <c r="R1172" i="2"/>
  <c r="R1171" i="2"/>
  <c r="R1170" i="2"/>
  <c r="R1169" i="2"/>
  <c r="R1168" i="2"/>
  <c r="R1167" i="2"/>
  <c r="R1166" i="2"/>
  <c r="R1165" i="2"/>
  <c r="R1164" i="2"/>
  <c r="R1163" i="2"/>
  <c r="R1162" i="2"/>
  <c r="R1161" i="2"/>
  <c r="R1160" i="2"/>
  <c r="R1159" i="2"/>
  <c r="R1158" i="2"/>
  <c r="R1157" i="2"/>
  <c r="R1156" i="2"/>
  <c r="R1155" i="2"/>
  <c r="R1154" i="2"/>
  <c r="R1153" i="2"/>
  <c r="R1152" i="2"/>
  <c r="R1151" i="2"/>
  <c r="R1150" i="2"/>
  <c r="R1149" i="2"/>
  <c r="R1148" i="2"/>
  <c r="R1147" i="2"/>
  <c r="R1146" i="2"/>
  <c r="R1145" i="2"/>
  <c r="R1144" i="2"/>
  <c r="R1143" i="2"/>
  <c r="R1142" i="2"/>
  <c r="R1141" i="2"/>
  <c r="R1140" i="2"/>
  <c r="R1139" i="2"/>
  <c r="R1138" i="2"/>
  <c r="R1137" i="2"/>
  <c r="R1136" i="2"/>
  <c r="R1135" i="2"/>
  <c r="R1134" i="2"/>
  <c r="R1133" i="2"/>
  <c r="R1132" i="2"/>
  <c r="R1131" i="2"/>
  <c r="R1130" i="2"/>
  <c r="R1129" i="2"/>
  <c r="R1128" i="2"/>
  <c r="R1127" i="2"/>
  <c r="R1126" i="2"/>
  <c r="R1125" i="2"/>
  <c r="R1124" i="2"/>
  <c r="R1123" i="2"/>
  <c r="R1122" i="2"/>
  <c r="R1121" i="2"/>
  <c r="R1120" i="2"/>
  <c r="R1119" i="2"/>
  <c r="R1118" i="2"/>
  <c r="R1117" i="2"/>
  <c r="R1116" i="2"/>
  <c r="R1115" i="2"/>
  <c r="R1114" i="2"/>
  <c r="R1113" i="2"/>
  <c r="R1112" i="2"/>
  <c r="R1111" i="2"/>
  <c r="R1110" i="2"/>
  <c r="R1109" i="2"/>
  <c r="R1108" i="2"/>
  <c r="R1107" i="2"/>
  <c r="R1106" i="2"/>
  <c r="R1105" i="2"/>
  <c r="R1104" i="2"/>
  <c r="R1103" i="2"/>
  <c r="R1102" i="2"/>
  <c r="R1101" i="2"/>
  <c r="R1100" i="2"/>
  <c r="R1099" i="2"/>
  <c r="R1098" i="2"/>
  <c r="R1097" i="2"/>
  <c r="R1096" i="2"/>
  <c r="R1095" i="2"/>
  <c r="R1094" i="2"/>
  <c r="R1093" i="2"/>
  <c r="R1092" i="2"/>
  <c r="R1091" i="2"/>
  <c r="R1090" i="2"/>
  <c r="R1089" i="2"/>
  <c r="R1088" i="2"/>
  <c r="R1087" i="2"/>
  <c r="R1086" i="2"/>
  <c r="R1085" i="2"/>
  <c r="R1084" i="2"/>
  <c r="R1083" i="2"/>
  <c r="R1082" i="2"/>
  <c r="R1081" i="2"/>
  <c r="R1080" i="2"/>
  <c r="R1079" i="2"/>
  <c r="R1078" i="2"/>
  <c r="R1077" i="2"/>
  <c r="R1076" i="2"/>
  <c r="R1075" i="2"/>
  <c r="R1074" i="2"/>
  <c r="R1073" i="2"/>
  <c r="R1072" i="2"/>
  <c r="R1071" i="2"/>
  <c r="R1070" i="2"/>
  <c r="R1069" i="2"/>
  <c r="R1068" i="2"/>
  <c r="R1067" i="2"/>
  <c r="R1066" i="2"/>
  <c r="R1065" i="2"/>
  <c r="R1064" i="2"/>
  <c r="R1063" i="2"/>
  <c r="R1062" i="2"/>
  <c r="R1061" i="2"/>
  <c r="R1060" i="2"/>
  <c r="R1059" i="2"/>
  <c r="R1058" i="2"/>
  <c r="R1057" i="2"/>
  <c r="R1056" i="2"/>
  <c r="R1055" i="2"/>
  <c r="R1054" i="2"/>
  <c r="R1053" i="2"/>
  <c r="R1052" i="2"/>
  <c r="R1051" i="2"/>
  <c r="R1050" i="2"/>
  <c r="R1049" i="2"/>
  <c r="R1048" i="2"/>
  <c r="R1047" i="2"/>
  <c r="R1046" i="2"/>
  <c r="R1045" i="2"/>
  <c r="R1044" i="2"/>
  <c r="R1043" i="2"/>
  <c r="R1042" i="2"/>
  <c r="R1041" i="2"/>
  <c r="R1040" i="2"/>
  <c r="R1039" i="2"/>
  <c r="R1038" i="2"/>
  <c r="R1037" i="2"/>
  <c r="R1036" i="2"/>
  <c r="R1035" i="2"/>
  <c r="R1034" i="2"/>
  <c r="R1033" i="2"/>
  <c r="R1032" i="2"/>
  <c r="R1031" i="2"/>
  <c r="R1030" i="2"/>
  <c r="R1029" i="2"/>
  <c r="R1028" i="2"/>
  <c r="R1027" i="2"/>
  <c r="R1026" i="2"/>
  <c r="R1025" i="2"/>
  <c r="R1024" i="2"/>
  <c r="R1023" i="2"/>
  <c r="R1022" i="2"/>
  <c r="R1021" i="2"/>
  <c r="R1020" i="2"/>
  <c r="R1019" i="2"/>
  <c r="R1018" i="2"/>
  <c r="R1017" i="2"/>
  <c r="R1016" i="2"/>
  <c r="R1015" i="2"/>
  <c r="R1014" i="2"/>
  <c r="R1013" i="2"/>
  <c r="R1012" i="2"/>
  <c r="R1011" i="2"/>
  <c r="R1010" i="2"/>
  <c r="R1009" i="2"/>
  <c r="R1008" i="2"/>
  <c r="R1007" i="2"/>
  <c r="R1006" i="2"/>
  <c r="R1005" i="2"/>
  <c r="R1004" i="2"/>
  <c r="R1003" i="2"/>
  <c r="R1002" i="2"/>
  <c r="R1001" i="2"/>
  <c r="R1000" i="2"/>
  <c r="R999" i="2"/>
  <c r="R998" i="2"/>
  <c r="R997" i="2"/>
  <c r="R996" i="2"/>
  <c r="R995" i="2"/>
  <c r="R994" i="2"/>
  <c r="R993" i="2"/>
  <c r="R992" i="2"/>
  <c r="R991" i="2"/>
  <c r="R990" i="2"/>
  <c r="R989" i="2"/>
  <c r="R988" i="2"/>
  <c r="R987" i="2"/>
  <c r="R986" i="2"/>
  <c r="R985" i="2"/>
  <c r="R984" i="2"/>
  <c r="R983" i="2"/>
  <c r="R982" i="2"/>
  <c r="R981" i="2"/>
  <c r="R980" i="2"/>
  <c r="R979" i="2"/>
  <c r="R978" i="2"/>
  <c r="R977" i="2"/>
  <c r="R976" i="2"/>
  <c r="R975" i="2"/>
  <c r="R974" i="2"/>
  <c r="R973" i="2"/>
  <c r="R972" i="2"/>
  <c r="R971" i="2"/>
  <c r="R970" i="2"/>
  <c r="R969" i="2"/>
  <c r="R968" i="2"/>
  <c r="R967" i="2"/>
  <c r="R966" i="2"/>
  <c r="R965" i="2"/>
  <c r="R964" i="2"/>
  <c r="R963" i="2"/>
  <c r="R962" i="2"/>
  <c r="R961" i="2"/>
  <c r="R960" i="2"/>
  <c r="R959" i="2"/>
  <c r="R958" i="2"/>
  <c r="R957" i="2"/>
  <c r="R956" i="2"/>
  <c r="R955" i="2"/>
  <c r="R954" i="2"/>
  <c r="R953" i="2"/>
  <c r="R952" i="2"/>
  <c r="R951" i="2"/>
  <c r="R950" i="2"/>
  <c r="R949" i="2"/>
  <c r="R948" i="2"/>
  <c r="R947" i="2"/>
  <c r="R946" i="2"/>
  <c r="R945" i="2"/>
  <c r="R944" i="2"/>
  <c r="R943" i="2"/>
  <c r="R942" i="2"/>
  <c r="R941" i="2"/>
  <c r="R940" i="2"/>
  <c r="R939" i="2"/>
  <c r="R938" i="2"/>
  <c r="R937" i="2"/>
  <c r="R936" i="2"/>
  <c r="R935" i="2"/>
  <c r="R934" i="2"/>
  <c r="R933" i="2"/>
  <c r="R932" i="2"/>
  <c r="R931" i="2"/>
  <c r="R930" i="2"/>
  <c r="R929" i="2"/>
  <c r="R928" i="2"/>
  <c r="R927" i="2"/>
  <c r="R926" i="2"/>
  <c r="R925" i="2"/>
  <c r="R924" i="2"/>
  <c r="R923" i="2"/>
  <c r="R922" i="2"/>
  <c r="R921" i="2"/>
  <c r="R920" i="2"/>
  <c r="R919" i="2"/>
  <c r="R918" i="2"/>
  <c r="R917" i="2"/>
  <c r="R916" i="2"/>
  <c r="R915" i="2"/>
  <c r="R914" i="2"/>
  <c r="R913" i="2"/>
  <c r="R912" i="2"/>
  <c r="R911" i="2"/>
  <c r="R910" i="2"/>
  <c r="R909" i="2"/>
  <c r="R908" i="2"/>
  <c r="R907" i="2"/>
  <c r="R906" i="2"/>
  <c r="R905" i="2"/>
  <c r="R904" i="2"/>
  <c r="R903" i="2"/>
  <c r="R902" i="2"/>
  <c r="R901" i="2"/>
  <c r="R900" i="2"/>
  <c r="R899" i="2"/>
  <c r="R898" i="2"/>
  <c r="R897" i="2"/>
  <c r="R896" i="2"/>
  <c r="R895" i="2"/>
  <c r="R894" i="2"/>
  <c r="R893" i="2"/>
  <c r="R892" i="2"/>
  <c r="R891" i="2"/>
  <c r="R890" i="2"/>
  <c r="R889" i="2"/>
  <c r="R888" i="2"/>
  <c r="R887" i="2"/>
  <c r="R886" i="2"/>
  <c r="R885" i="2"/>
  <c r="R884" i="2"/>
  <c r="R883" i="2"/>
  <c r="R882" i="2"/>
  <c r="R881" i="2"/>
  <c r="R880" i="2"/>
  <c r="R879" i="2"/>
  <c r="R878" i="2"/>
  <c r="R877" i="2"/>
  <c r="R876" i="2"/>
  <c r="R875" i="2"/>
  <c r="R874" i="2"/>
  <c r="R873" i="2"/>
  <c r="R872" i="2"/>
  <c r="R871" i="2"/>
  <c r="R870" i="2"/>
  <c r="R869" i="2"/>
  <c r="R868" i="2"/>
  <c r="R867" i="2"/>
  <c r="R866" i="2"/>
  <c r="R865" i="2"/>
  <c r="R864" i="2"/>
  <c r="R863" i="2"/>
  <c r="R862" i="2"/>
  <c r="R861" i="2"/>
  <c r="R860" i="2"/>
  <c r="R859" i="2"/>
  <c r="R858" i="2"/>
  <c r="R857" i="2"/>
  <c r="R856" i="2"/>
  <c r="R855" i="2"/>
  <c r="R854" i="2"/>
  <c r="R853" i="2"/>
  <c r="R852" i="2"/>
  <c r="R851" i="2"/>
  <c r="R850" i="2"/>
  <c r="R849" i="2"/>
  <c r="R848" i="2"/>
  <c r="R847" i="2"/>
  <c r="R846" i="2"/>
  <c r="R845" i="2"/>
  <c r="R844" i="2"/>
  <c r="R843" i="2"/>
  <c r="R842" i="2"/>
  <c r="R841" i="2"/>
  <c r="R840" i="2"/>
  <c r="R839" i="2"/>
  <c r="R838" i="2"/>
  <c r="R837" i="2"/>
  <c r="R836" i="2"/>
  <c r="R835" i="2"/>
  <c r="R834" i="2"/>
  <c r="R833" i="2"/>
  <c r="R832" i="2"/>
  <c r="R831" i="2"/>
  <c r="R830" i="2"/>
  <c r="R829" i="2"/>
  <c r="R828" i="2"/>
  <c r="R827" i="2"/>
  <c r="R826" i="2"/>
  <c r="R825" i="2"/>
  <c r="R824" i="2"/>
  <c r="R823" i="2"/>
  <c r="R822" i="2"/>
  <c r="R821" i="2"/>
  <c r="R820" i="2"/>
  <c r="R819" i="2"/>
  <c r="R818" i="2"/>
  <c r="R817" i="2"/>
  <c r="R816" i="2"/>
  <c r="R815" i="2"/>
  <c r="R814" i="2"/>
  <c r="R813" i="2"/>
  <c r="R812" i="2"/>
  <c r="R811" i="2"/>
  <c r="R810" i="2"/>
  <c r="R809" i="2"/>
  <c r="R808" i="2"/>
  <c r="R807" i="2"/>
  <c r="R806" i="2"/>
  <c r="R805" i="2"/>
  <c r="R804" i="2"/>
  <c r="R803" i="2"/>
  <c r="R802" i="2"/>
  <c r="R801" i="2"/>
  <c r="R800" i="2"/>
  <c r="R799" i="2"/>
  <c r="R798" i="2"/>
  <c r="R797" i="2"/>
  <c r="R796" i="2"/>
  <c r="R795" i="2"/>
  <c r="R794" i="2"/>
  <c r="R793" i="2"/>
  <c r="R792" i="2"/>
  <c r="R791" i="2"/>
  <c r="R790" i="2"/>
  <c r="R789" i="2"/>
  <c r="R788" i="2"/>
  <c r="R787" i="2"/>
  <c r="R786" i="2"/>
  <c r="R785" i="2"/>
  <c r="R784" i="2"/>
  <c r="R783" i="2"/>
  <c r="R782" i="2"/>
  <c r="R781" i="2"/>
  <c r="R780" i="2"/>
  <c r="R779" i="2"/>
  <c r="R778" i="2"/>
  <c r="R777" i="2"/>
  <c r="R776" i="2"/>
  <c r="R775" i="2"/>
  <c r="R774" i="2"/>
  <c r="R773" i="2"/>
  <c r="R772" i="2"/>
  <c r="R771" i="2"/>
  <c r="R770" i="2"/>
  <c r="R769" i="2"/>
  <c r="R768" i="2"/>
  <c r="R767" i="2"/>
  <c r="R766" i="2"/>
  <c r="R765" i="2"/>
  <c r="R764" i="2"/>
  <c r="R763" i="2"/>
  <c r="R762" i="2"/>
  <c r="R761" i="2"/>
  <c r="R760" i="2"/>
  <c r="R759" i="2"/>
  <c r="R758" i="2"/>
  <c r="R757" i="2"/>
  <c r="R756" i="2"/>
  <c r="R755" i="2"/>
  <c r="R754" i="2"/>
  <c r="R753" i="2"/>
  <c r="R752" i="2"/>
  <c r="R751" i="2"/>
  <c r="R750" i="2"/>
  <c r="R749" i="2"/>
  <c r="R748" i="2"/>
  <c r="R747" i="2"/>
  <c r="R746" i="2"/>
  <c r="R745" i="2"/>
  <c r="R744" i="2"/>
  <c r="R743" i="2"/>
  <c r="R742" i="2"/>
  <c r="R741" i="2"/>
  <c r="R740" i="2"/>
  <c r="R739" i="2"/>
  <c r="R738" i="2"/>
  <c r="R737" i="2"/>
  <c r="R736" i="2"/>
  <c r="R735" i="2"/>
  <c r="R734" i="2"/>
  <c r="R733" i="2"/>
  <c r="R732" i="2"/>
  <c r="R731" i="2"/>
  <c r="R730" i="2"/>
  <c r="R729" i="2"/>
  <c r="R728" i="2"/>
  <c r="R727" i="2"/>
  <c r="R726" i="2"/>
  <c r="R725" i="2"/>
  <c r="R724" i="2"/>
  <c r="R723" i="2"/>
  <c r="R722" i="2"/>
  <c r="R721" i="2"/>
  <c r="R720" i="2"/>
  <c r="R719" i="2"/>
  <c r="R718" i="2"/>
  <c r="R717" i="2"/>
  <c r="R716" i="2"/>
  <c r="R715" i="2"/>
  <c r="R714" i="2"/>
  <c r="R713" i="2"/>
  <c r="R712" i="2"/>
  <c r="R711" i="2"/>
  <c r="R710" i="2"/>
  <c r="R709" i="2"/>
  <c r="R708" i="2"/>
  <c r="R707" i="2"/>
  <c r="R706" i="2"/>
  <c r="R705" i="2"/>
  <c r="R704" i="2"/>
  <c r="R703" i="2"/>
  <c r="R702" i="2"/>
  <c r="R701" i="2"/>
  <c r="R700" i="2"/>
  <c r="R699" i="2"/>
  <c r="R698" i="2"/>
  <c r="R697" i="2"/>
  <c r="R696" i="2"/>
  <c r="R695" i="2"/>
  <c r="R694" i="2"/>
  <c r="R693" i="2"/>
  <c r="R692" i="2"/>
  <c r="R691" i="2"/>
  <c r="R690" i="2"/>
  <c r="R689" i="2"/>
  <c r="R688" i="2"/>
  <c r="R687" i="2"/>
  <c r="R686" i="2"/>
  <c r="R685" i="2"/>
  <c r="R684" i="2"/>
  <c r="R683" i="2"/>
  <c r="R682" i="2"/>
  <c r="R681" i="2"/>
  <c r="R680" i="2"/>
  <c r="R679" i="2"/>
  <c r="R678" i="2"/>
  <c r="R677" i="2"/>
  <c r="R676" i="2"/>
  <c r="R675" i="2"/>
  <c r="R674" i="2"/>
  <c r="R673" i="2"/>
  <c r="R672" i="2"/>
  <c r="R671" i="2"/>
  <c r="R670" i="2"/>
  <c r="R669" i="2"/>
  <c r="R668" i="2"/>
  <c r="R667" i="2"/>
  <c r="R666" i="2"/>
  <c r="R665" i="2"/>
  <c r="R664" i="2"/>
  <c r="R663" i="2"/>
  <c r="R662" i="2"/>
  <c r="R661" i="2"/>
  <c r="R660" i="2"/>
  <c r="R659" i="2"/>
  <c r="R658" i="2"/>
  <c r="R657" i="2"/>
  <c r="R656" i="2"/>
  <c r="R655" i="2"/>
  <c r="R654" i="2"/>
  <c r="R653" i="2"/>
  <c r="R652" i="2"/>
  <c r="R651" i="2"/>
  <c r="R650" i="2"/>
  <c r="R649" i="2"/>
  <c r="R648" i="2"/>
  <c r="R647" i="2"/>
  <c r="R646" i="2"/>
  <c r="R645" i="2"/>
  <c r="R644" i="2"/>
  <c r="R643" i="2"/>
  <c r="R642" i="2"/>
  <c r="R641" i="2"/>
  <c r="R640" i="2"/>
  <c r="R639" i="2"/>
  <c r="R638" i="2"/>
  <c r="R637" i="2"/>
  <c r="R636" i="2"/>
  <c r="R635" i="2"/>
  <c r="R634" i="2"/>
  <c r="R633" i="2"/>
  <c r="R632" i="2"/>
  <c r="R631" i="2"/>
  <c r="R630" i="2"/>
  <c r="R629" i="2"/>
  <c r="R628" i="2"/>
  <c r="R627" i="2"/>
  <c r="R626" i="2"/>
  <c r="R625" i="2"/>
  <c r="R624" i="2"/>
  <c r="R623" i="2"/>
  <c r="R622" i="2"/>
  <c r="R621" i="2"/>
  <c r="R620" i="2"/>
  <c r="R619" i="2"/>
  <c r="R618" i="2"/>
  <c r="R617" i="2"/>
  <c r="R616" i="2"/>
  <c r="R615" i="2"/>
  <c r="R614" i="2"/>
  <c r="R613" i="2"/>
  <c r="R612" i="2"/>
  <c r="R611" i="2"/>
  <c r="R610" i="2"/>
  <c r="R609" i="2"/>
  <c r="R608" i="2"/>
  <c r="R607" i="2"/>
  <c r="R606" i="2"/>
  <c r="R605" i="2"/>
  <c r="R604" i="2"/>
  <c r="R603" i="2"/>
  <c r="R602" i="2"/>
  <c r="R601" i="2"/>
  <c r="R600" i="2"/>
  <c r="R599" i="2"/>
  <c r="R598" i="2"/>
  <c r="R597" i="2"/>
  <c r="R596" i="2"/>
  <c r="R595" i="2"/>
  <c r="R594" i="2"/>
  <c r="R593" i="2"/>
  <c r="R592" i="2"/>
  <c r="R591" i="2"/>
  <c r="R590" i="2"/>
  <c r="R589" i="2"/>
  <c r="R588" i="2"/>
  <c r="R587" i="2"/>
  <c r="R586" i="2"/>
  <c r="R585" i="2"/>
  <c r="R584" i="2"/>
  <c r="R583" i="2"/>
  <c r="R582" i="2"/>
  <c r="R581" i="2"/>
  <c r="R580" i="2"/>
  <c r="R579" i="2"/>
  <c r="R578" i="2"/>
  <c r="R577" i="2"/>
  <c r="R576" i="2"/>
  <c r="R575" i="2"/>
  <c r="R574" i="2"/>
  <c r="R573" i="2"/>
  <c r="R572" i="2"/>
  <c r="R571" i="2"/>
  <c r="R570" i="2"/>
  <c r="R569" i="2"/>
  <c r="R568" i="2"/>
  <c r="R567" i="2"/>
  <c r="R566" i="2"/>
  <c r="R565" i="2"/>
  <c r="R564" i="2"/>
  <c r="R563" i="2"/>
  <c r="R562" i="2"/>
  <c r="R561" i="2"/>
  <c r="R560" i="2"/>
  <c r="R559" i="2"/>
  <c r="R558" i="2"/>
  <c r="R557" i="2"/>
  <c r="R556" i="2"/>
  <c r="R555" i="2"/>
  <c r="R554" i="2"/>
  <c r="R553" i="2"/>
  <c r="R552" i="2"/>
  <c r="R551" i="2"/>
  <c r="R550" i="2"/>
  <c r="R549" i="2"/>
  <c r="R548" i="2"/>
  <c r="R547" i="2"/>
  <c r="R546" i="2"/>
  <c r="R545" i="2"/>
  <c r="R544" i="2"/>
  <c r="R543" i="2"/>
  <c r="R542" i="2"/>
  <c r="R541" i="2"/>
  <c r="R540" i="2"/>
  <c r="R539" i="2"/>
  <c r="R538" i="2"/>
  <c r="R537" i="2"/>
  <c r="R536" i="2"/>
  <c r="R535" i="2"/>
  <c r="R534" i="2"/>
  <c r="R533" i="2"/>
  <c r="R532" i="2"/>
  <c r="R531" i="2"/>
  <c r="R530" i="2"/>
  <c r="R529" i="2"/>
  <c r="R528" i="2"/>
  <c r="R527" i="2"/>
  <c r="R526" i="2"/>
  <c r="R525" i="2"/>
  <c r="R524" i="2"/>
  <c r="R523" i="2"/>
  <c r="R522" i="2"/>
  <c r="R521" i="2"/>
  <c r="R520" i="2"/>
  <c r="R519" i="2"/>
  <c r="R518" i="2"/>
  <c r="R517" i="2"/>
  <c r="R516" i="2"/>
  <c r="R515" i="2"/>
  <c r="R514" i="2"/>
  <c r="R513" i="2"/>
  <c r="R512" i="2"/>
  <c r="R511" i="2"/>
  <c r="R510" i="2"/>
  <c r="R509" i="2"/>
  <c r="R508" i="2"/>
  <c r="R507" i="2"/>
  <c r="R506" i="2"/>
  <c r="R505" i="2"/>
  <c r="R504" i="2"/>
  <c r="R503" i="2"/>
  <c r="R502" i="2"/>
  <c r="R501" i="2"/>
  <c r="R500" i="2"/>
  <c r="R499" i="2"/>
  <c r="R498" i="2"/>
  <c r="R497" i="2"/>
  <c r="R496" i="2"/>
  <c r="R495" i="2"/>
  <c r="R494" i="2"/>
  <c r="R493" i="2"/>
  <c r="R492" i="2"/>
  <c r="R491" i="2"/>
  <c r="R490" i="2"/>
  <c r="R489" i="2"/>
  <c r="R488" i="2"/>
  <c r="R487" i="2"/>
  <c r="R486" i="2"/>
  <c r="R485" i="2"/>
  <c r="R484" i="2"/>
  <c r="R483" i="2"/>
  <c r="R482" i="2"/>
  <c r="R481" i="2"/>
  <c r="R480" i="2"/>
  <c r="R479" i="2"/>
  <c r="R478" i="2"/>
  <c r="R477" i="2"/>
  <c r="R476" i="2"/>
  <c r="R475" i="2"/>
  <c r="R474" i="2"/>
  <c r="R473" i="2"/>
  <c r="R472" i="2"/>
  <c r="R471" i="2"/>
  <c r="R470" i="2"/>
  <c r="R469" i="2"/>
  <c r="R468" i="2"/>
  <c r="R467" i="2"/>
  <c r="R466" i="2"/>
  <c r="R465" i="2"/>
  <c r="R464" i="2"/>
  <c r="R463" i="2"/>
  <c r="R462" i="2"/>
  <c r="R461" i="2"/>
  <c r="R460" i="2"/>
  <c r="R459" i="2"/>
  <c r="R458" i="2"/>
  <c r="R457" i="2"/>
  <c r="R456" i="2"/>
  <c r="R455" i="2"/>
  <c r="R454" i="2"/>
  <c r="R453" i="2"/>
  <c r="R452" i="2"/>
  <c r="R451" i="2"/>
  <c r="R450" i="2"/>
  <c r="R449" i="2"/>
  <c r="R448" i="2"/>
  <c r="R447" i="2"/>
  <c r="R446" i="2"/>
  <c r="R445" i="2"/>
  <c r="R444" i="2"/>
  <c r="R443" i="2"/>
  <c r="R442" i="2"/>
  <c r="R441" i="2"/>
  <c r="R440" i="2"/>
  <c r="R439" i="2"/>
  <c r="R438" i="2"/>
  <c r="R437" i="2"/>
  <c r="R436" i="2"/>
  <c r="R435" i="2"/>
  <c r="R434" i="2"/>
  <c r="R433" i="2"/>
  <c r="R432" i="2"/>
  <c r="R431" i="2"/>
  <c r="R430" i="2"/>
  <c r="R429" i="2"/>
  <c r="R428" i="2"/>
  <c r="R427" i="2"/>
  <c r="R426" i="2"/>
  <c r="R425" i="2"/>
  <c r="R424" i="2"/>
  <c r="R423" i="2"/>
  <c r="R422" i="2"/>
  <c r="R421" i="2"/>
  <c r="R420" i="2"/>
  <c r="R419" i="2"/>
  <c r="R418" i="2"/>
  <c r="R417" i="2"/>
  <c r="R416" i="2"/>
  <c r="R415" i="2"/>
  <c r="R414" i="2"/>
  <c r="R413" i="2"/>
  <c r="R412" i="2"/>
  <c r="R411" i="2"/>
  <c r="R410" i="2"/>
  <c r="R409" i="2"/>
  <c r="R408" i="2"/>
  <c r="R407" i="2"/>
  <c r="R406" i="2"/>
  <c r="R405" i="2"/>
  <c r="R404" i="2"/>
  <c r="R403" i="2"/>
  <c r="R402" i="2"/>
  <c r="R401" i="2"/>
  <c r="R400" i="2"/>
  <c r="R399" i="2"/>
  <c r="R398" i="2"/>
  <c r="R397" i="2"/>
  <c r="R396" i="2"/>
  <c r="R395" i="2"/>
  <c r="R394" i="2"/>
  <c r="R393" i="2"/>
  <c r="R392" i="2"/>
  <c r="R391" i="2"/>
  <c r="R390" i="2"/>
  <c r="R389" i="2"/>
  <c r="R388" i="2"/>
  <c r="R387" i="2"/>
  <c r="R386" i="2"/>
  <c r="R385" i="2"/>
  <c r="R384" i="2"/>
  <c r="R383" i="2"/>
  <c r="R382" i="2"/>
  <c r="R381" i="2"/>
  <c r="R380" i="2"/>
  <c r="R379" i="2"/>
  <c r="R378" i="2"/>
  <c r="R377" i="2"/>
  <c r="R376" i="2"/>
  <c r="R375" i="2"/>
  <c r="R374" i="2"/>
  <c r="R373" i="2"/>
  <c r="R372" i="2"/>
  <c r="R371" i="2"/>
  <c r="R370" i="2"/>
  <c r="R369" i="2"/>
  <c r="R368" i="2"/>
  <c r="R367" i="2"/>
  <c r="R366" i="2"/>
  <c r="R365" i="2"/>
  <c r="R364" i="2"/>
  <c r="R363" i="2"/>
  <c r="R362" i="2"/>
  <c r="R361" i="2"/>
  <c r="R360" i="2"/>
  <c r="R359" i="2"/>
  <c r="R358" i="2"/>
  <c r="R357" i="2"/>
  <c r="R356" i="2"/>
  <c r="R355" i="2"/>
  <c r="R354" i="2"/>
  <c r="R353" i="2"/>
  <c r="R352" i="2"/>
  <c r="R351" i="2"/>
  <c r="R350" i="2"/>
  <c r="R349" i="2"/>
  <c r="R348" i="2"/>
  <c r="R347" i="2"/>
  <c r="R346" i="2"/>
  <c r="R345" i="2"/>
  <c r="R344" i="2"/>
  <c r="R343" i="2"/>
  <c r="R342" i="2"/>
  <c r="R341" i="2"/>
  <c r="R340" i="2"/>
  <c r="R339" i="2"/>
  <c r="R338" i="2"/>
  <c r="R337" i="2"/>
  <c r="R336" i="2"/>
  <c r="R335" i="2"/>
  <c r="R334" i="2"/>
  <c r="R333" i="2"/>
  <c r="R332" i="2"/>
  <c r="R331" i="2"/>
  <c r="R330" i="2"/>
  <c r="R329" i="2"/>
  <c r="R328" i="2"/>
  <c r="R327" i="2"/>
  <c r="R326" i="2"/>
  <c r="R325" i="2"/>
  <c r="R324" i="2"/>
  <c r="R323" i="2"/>
  <c r="R322" i="2"/>
  <c r="R321" i="2"/>
  <c r="R320" i="2"/>
  <c r="R319" i="2"/>
  <c r="R318" i="2"/>
  <c r="R317" i="2"/>
  <c r="R316" i="2"/>
  <c r="R315" i="2"/>
  <c r="R314" i="2"/>
  <c r="R313" i="2"/>
  <c r="R312" i="2"/>
  <c r="R311" i="2"/>
  <c r="R310" i="2"/>
  <c r="R309" i="2"/>
  <c r="R308" i="2"/>
  <c r="R307" i="2"/>
  <c r="R306" i="2"/>
  <c r="R305" i="2"/>
  <c r="R304" i="2"/>
  <c r="R303" i="2"/>
  <c r="R302" i="2"/>
  <c r="R301" i="2"/>
  <c r="R300" i="2"/>
  <c r="R299" i="2"/>
  <c r="R298" i="2"/>
  <c r="R297" i="2"/>
  <c r="R296" i="2"/>
  <c r="R295" i="2"/>
  <c r="R294" i="2"/>
  <c r="R293" i="2"/>
  <c r="R292" i="2"/>
  <c r="R291" i="2"/>
  <c r="R290" i="2"/>
  <c r="R289" i="2"/>
  <c r="R288" i="2"/>
  <c r="R287" i="2"/>
  <c r="R286" i="2"/>
  <c r="R285" i="2"/>
  <c r="R284" i="2"/>
  <c r="R283" i="2"/>
  <c r="R282" i="2"/>
  <c r="R281" i="2"/>
  <c r="R280" i="2"/>
  <c r="R279" i="2"/>
  <c r="R278" i="2"/>
  <c r="R277" i="2"/>
  <c r="R276" i="2"/>
  <c r="R275" i="2"/>
  <c r="R274" i="2"/>
  <c r="R273" i="2"/>
  <c r="R272" i="2"/>
  <c r="R271" i="2"/>
  <c r="R270" i="2"/>
  <c r="R269" i="2"/>
  <c r="R268" i="2"/>
  <c r="R267" i="2"/>
  <c r="R266" i="2"/>
  <c r="R265" i="2"/>
  <c r="R264" i="2"/>
  <c r="R263" i="2"/>
  <c r="R262" i="2"/>
  <c r="R261" i="2"/>
  <c r="R260" i="2"/>
  <c r="R259" i="2"/>
  <c r="R258" i="2"/>
  <c r="R257" i="2"/>
  <c r="R256" i="2"/>
  <c r="R255" i="2"/>
  <c r="R254" i="2"/>
  <c r="R253" i="2"/>
  <c r="R252" i="2"/>
  <c r="R251" i="2"/>
  <c r="R250" i="2"/>
  <c r="R249" i="2"/>
  <c r="R248" i="2"/>
  <c r="R247" i="2"/>
  <c r="R246" i="2"/>
  <c r="R245" i="2"/>
  <c r="R244" i="2"/>
  <c r="R243" i="2"/>
  <c r="R242" i="2"/>
  <c r="R241" i="2"/>
  <c r="R240" i="2"/>
  <c r="R239" i="2"/>
  <c r="R238" i="2"/>
  <c r="R237" i="2"/>
  <c r="R236" i="2"/>
  <c r="R235" i="2"/>
  <c r="R234" i="2"/>
  <c r="R233" i="2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Q123" i="2"/>
  <c r="R122" i="2"/>
  <c r="Q122" i="2"/>
  <c r="R121" i="2"/>
  <c r="Q121" i="2"/>
  <c r="R120" i="2"/>
  <c r="Q120" i="2"/>
  <c r="R119" i="2"/>
  <c r="Q119" i="2"/>
  <c r="R118" i="2"/>
  <c r="Q118" i="2"/>
  <c r="R117" i="2"/>
  <c r="Q117" i="2"/>
  <c r="R116" i="2"/>
  <c r="Q116" i="2"/>
  <c r="R115" i="2"/>
  <c r="Q115" i="2"/>
  <c r="R114" i="2"/>
  <c r="Q114" i="2"/>
  <c r="R113" i="2"/>
  <c r="Q113" i="2"/>
  <c r="R112" i="2"/>
  <c r="Q112" i="2"/>
  <c r="R111" i="2"/>
  <c r="Q111" i="2"/>
  <c r="R110" i="2"/>
  <c r="Q110" i="2"/>
  <c r="R109" i="2"/>
  <c r="Q109" i="2"/>
  <c r="R108" i="2"/>
  <c r="Q108" i="2"/>
  <c r="R107" i="2"/>
  <c r="Q107" i="2"/>
  <c r="R106" i="2"/>
  <c r="Q106" i="2"/>
  <c r="R105" i="2"/>
  <c r="Q105" i="2"/>
  <c r="R104" i="2"/>
  <c r="Q104" i="2"/>
  <c r="R103" i="2"/>
  <c r="Q103" i="2"/>
  <c r="R102" i="2"/>
  <c r="Q102" i="2"/>
  <c r="R101" i="2"/>
  <c r="Q101" i="2"/>
  <c r="R100" i="2"/>
  <c r="Q100" i="2"/>
  <c r="R99" i="2"/>
  <c r="Q99" i="2"/>
  <c r="R98" i="2"/>
  <c r="Q98" i="2"/>
  <c r="R97" i="2"/>
  <c r="Q97" i="2"/>
  <c r="R96" i="2"/>
  <c r="Q96" i="2"/>
  <c r="R95" i="2"/>
  <c r="Q95" i="2"/>
  <c r="R94" i="2"/>
  <c r="Q94" i="2"/>
  <c r="R93" i="2"/>
  <c r="Q93" i="2"/>
  <c r="R92" i="2"/>
  <c r="Q92" i="2"/>
  <c r="R91" i="2"/>
  <c r="Q91" i="2"/>
  <c r="R90" i="2"/>
  <c r="Q90" i="2"/>
  <c r="R89" i="2"/>
  <c r="Q89" i="2"/>
  <c r="R88" i="2"/>
  <c r="Q88" i="2"/>
  <c r="R87" i="2"/>
  <c r="Q87" i="2"/>
  <c r="R86" i="2"/>
  <c r="Q86" i="2"/>
  <c r="R85" i="2"/>
  <c r="Q85" i="2"/>
  <c r="R84" i="2"/>
  <c r="Q84" i="2"/>
  <c r="R83" i="2"/>
  <c r="Q83" i="2"/>
  <c r="R82" i="2"/>
  <c r="Q82" i="2"/>
  <c r="R81" i="2"/>
  <c r="Q81" i="2"/>
  <c r="R80" i="2"/>
  <c r="Q80" i="2"/>
  <c r="R79" i="2"/>
  <c r="Q79" i="2"/>
  <c r="R78" i="2"/>
  <c r="Q78" i="2"/>
  <c r="R77" i="2"/>
  <c r="Q77" i="2"/>
  <c r="R76" i="2"/>
  <c r="Q76" i="2"/>
  <c r="R75" i="2"/>
  <c r="Q75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R67" i="2"/>
  <c r="Q67" i="2"/>
  <c r="R66" i="2"/>
  <c r="Q66" i="2"/>
  <c r="R65" i="2"/>
  <c r="Q65" i="2"/>
  <c r="R64" i="2"/>
  <c r="Q64" i="2"/>
  <c r="R63" i="2"/>
  <c r="Q63" i="2"/>
  <c r="R62" i="2"/>
  <c r="Q62" i="2"/>
  <c r="R61" i="2"/>
  <c r="Q61" i="2"/>
  <c r="R60" i="2"/>
  <c r="Q60" i="2"/>
  <c r="R59" i="2"/>
  <c r="Q59" i="2"/>
  <c r="R58" i="2"/>
  <c r="Q58" i="2"/>
  <c r="R57" i="2"/>
  <c r="Q57" i="2"/>
  <c r="R56" i="2"/>
  <c r="Q56" i="2"/>
  <c r="R55" i="2"/>
  <c r="Q55" i="2"/>
  <c r="R54" i="2"/>
  <c r="Q54" i="2"/>
  <c r="R53" i="2"/>
  <c r="Q53" i="2"/>
  <c r="R52" i="2"/>
  <c r="Q52" i="2"/>
  <c r="R51" i="2"/>
  <c r="Q51" i="2"/>
  <c r="R50" i="2"/>
  <c r="Q50" i="2"/>
  <c r="R49" i="2"/>
  <c r="Q49" i="2"/>
  <c r="R48" i="2"/>
  <c r="Q48" i="2"/>
  <c r="R47" i="2"/>
  <c r="Q47" i="2"/>
  <c r="R46" i="2"/>
  <c r="Q46" i="2"/>
  <c r="R45" i="2"/>
  <c r="Q45" i="2"/>
  <c r="R44" i="2"/>
  <c r="Q44" i="2"/>
  <c r="R43" i="2"/>
  <c r="Q43" i="2"/>
  <c r="R42" i="2"/>
  <c r="Q42" i="2"/>
  <c r="R41" i="2"/>
  <c r="Q41" i="2"/>
  <c r="R40" i="2"/>
  <c r="Q40" i="2"/>
  <c r="R39" i="2"/>
  <c r="Q39" i="2"/>
  <c r="R38" i="2"/>
  <c r="Q38" i="2"/>
  <c r="R37" i="2"/>
  <c r="Q37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R4" i="2"/>
  <c r="Q4" i="2"/>
  <c r="R3" i="2"/>
  <c r="Q3" i="2"/>
  <c r="R2" i="2"/>
  <c r="Q2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Q67" i="3" l="1"/>
  <c r="P67" i="3"/>
  <c r="Q66" i="3"/>
  <c r="M66" i="3" s="1"/>
  <c r="P66" i="3"/>
  <c r="P65" i="3"/>
  <c r="Q65" i="3" s="1"/>
  <c r="P64" i="3"/>
  <c r="Q64" i="3" s="1"/>
  <c r="Q63" i="3"/>
  <c r="P63" i="3"/>
  <c r="Q62" i="3"/>
  <c r="M62" i="3" s="1"/>
  <c r="P62" i="3"/>
  <c r="P61" i="3"/>
  <c r="Q61" i="3" s="1"/>
  <c r="P60" i="3"/>
  <c r="Q60" i="3" s="1"/>
  <c r="Q59" i="3"/>
  <c r="P59" i="3"/>
  <c r="Q58" i="3"/>
  <c r="M58" i="3" s="1"/>
  <c r="P58" i="3"/>
  <c r="P57" i="3"/>
  <c r="Q57" i="3" s="1"/>
  <c r="P56" i="3"/>
  <c r="Q56" i="3" s="1"/>
  <c r="Q55" i="3"/>
  <c r="P55" i="3"/>
  <c r="Q54" i="3"/>
  <c r="M54" i="3" s="1"/>
  <c r="P54" i="3"/>
  <c r="P53" i="3"/>
  <c r="Q53" i="3" s="1"/>
  <c r="M53" i="3"/>
  <c r="P52" i="3"/>
  <c r="Q52" i="3" s="1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P51" i="3"/>
  <c r="Q51" i="3" s="1"/>
  <c r="E51" i="3"/>
  <c r="P50" i="3"/>
  <c r="Q50" i="3" s="1"/>
  <c r="E50" i="3"/>
  <c r="P49" i="3"/>
  <c r="Q49" i="3" s="1"/>
  <c r="E49" i="3"/>
  <c r="P48" i="3"/>
  <c r="Q48" i="3" s="1"/>
  <c r="E48" i="3"/>
  <c r="P47" i="3"/>
  <c r="Q47" i="3" s="1"/>
  <c r="E47" i="3"/>
  <c r="P46" i="3"/>
  <c r="Q46" i="3" s="1"/>
  <c r="E46" i="3"/>
  <c r="P45" i="3"/>
  <c r="Q45" i="3" s="1"/>
  <c r="E45" i="3"/>
  <c r="P44" i="3"/>
  <c r="Q44" i="3" s="1"/>
  <c r="E44" i="3"/>
  <c r="P43" i="3"/>
  <c r="Q43" i="3" s="1"/>
  <c r="E43" i="3"/>
  <c r="P42" i="3"/>
  <c r="Q42" i="3" s="1"/>
  <c r="E42" i="3"/>
  <c r="P41" i="3"/>
  <c r="Q41" i="3" s="1"/>
  <c r="E41" i="3"/>
  <c r="P40" i="3"/>
  <c r="Q40" i="3" s="1"/>
  <c r="E40" i="3"/>
  <c r="P39" i="3"/>
  <c r="Q39" i="3" s="1"/>
  <c r="E39" i="3"/>
  <c r="P38" i="3"/>
  <c r="Q38" i="3" s="1"/>
  <c r="E38" i="3"/>
  <c r="P37" i="3"/>
  <c r="Q37" i="3" s="1"/>
  <c r="E37" i="3"/>
  <c r="P36" i="3"/>
  <c r="Q36" i="3" s="1"/>
  <c r="E36" i="3"/>
  <c r="P35" i="3"/>
  <c r="Q35" i="3" s="1"/>
  <c r="E35" i="3"/>
  <c r="P34" i="3"/>
  <c r="Q34" i="3" s="1"/>
  <c r="E34" i="3"/>
  <c r="P33" i="3"/>
  <c r="Q33" i="3" s="1"/>
  <c r="E33" i="3"/>
  <c r="P32" i="3"/>
  <c r="Q32" i="3" s="1"/>
  <c r="E32" i="3"/>
  <c r="P31" i="3"/>
  <c r="Q31" i="3" s="1"/>
  <c r="E31" i="3"/>
  <c r="P30" i="3"/>
  <c r="Q30" i="3" s="1"/>
  <c r="E30" i="3"/>
  <c r="P29" i="3"/>
  <c r="Q29" i="3" s="1"/>
  <c r="E29" i="3"/>
  <c r="P28" i="3"/>
  <c r="Q28" i="3" s="1"/>
  <c r="E28" i="3"/>
  <c r="P27" i="3"/>
  <c r="Q27" i="3" s="1"/>
  <c r="E27" i="3"/>
  <c r="P26" i="3"/>
  <c r="Q26" i="3" s="1"/>
  <c r="E26" i="3"/>
  <c r="P25" i="3"/>
  <c r="Q25" i="3" s="1"/>
  <c r="E25" i="3"/>
  <c r="P24" i="3"/>
  <c r="Q24" i="3" s="1"/>
  <c r="E24" i="3"/>
  <c r="P23" i="3"/>
  <c r="Q23" i="3" s="1"/>
  <c r="E23" i="3"/>
  <c r="P22" i="3"/>
  <c r="Q22" i="3" s="1"/>
  <c r="E22" i="3"/>
  <c r="P21" i="3"/>
  <c r="Q21" i="3" s="1"/>
  <c r="E21" i="3"/>
  <c r="P20" i="3"/>
  <c r="Q20" i="3" s="1"/>
  <c r="E20" i="3"/>
  <c r="P19" i="3"/>
  <c r="Q19" i="3" s="1"/>
  <c r="E19" i="3"/>
  <c r="P18" i="3"/>
  <c r="Q18" i="3" s="1"/>
  <c r="E18" i="3"/>
  <c r="P17" i="3"/>
  <c r="Q17" i="3" s="1"/>
  <c r="E17" i="3"/>
  <c r="P16" i="3"/>
  <c r="Q16" i="3" s="1"/>
  <c r="E16" i="3"/>
  <c r="P15" i="3"/>
  <c r="Q15" i="3" s="1"/>
  <c r="E15" i="3"/>
  <c r="P14" i="3"/>
  <c r="Q14" i="3" s="1"/>
  <c r="E14" i="3"/>
  <c r="P13" i="3"/>
  <c r="Q13" i="3" s="1"/>
  <c r="E13" i="3"/>
  <c r="P12" i="3"/>
  <c r="Q12" i="3" s="1"/>
  <c r="E12" i="3"/>
  <c r="P11" i="3"/>
  <c r="Q11" i="3" s="1"/>
  <c r="E11" i="3"/>
  <c r="P10" i="3"/>
  <c r="Q10" i="3" s="1"/>
  <c r="E10" i="3"/>
  <c r="P9" i="3"/>
  <c r="Q9" i="3" s="1"/>
  <c r="E9" i="3"/>
  <c r="P8" i="3"/>
  <c r="Q8" i="3" s="1"/>
  <c r="E8" i="3"/>
  <c r="P7" i="3"/>
  <c r="Q7" i="3" s="1"/>
  <c r="E7" i="3"/>
  <c r="P6" i="3"/>
  <c r="Q6" i="3" s="1"/>
  <c r="E6" i="3"/>
  <c r="P5" i="3"/>
  <c r="Q5" i="3" s="1"/>
  <c r="E5" i="3"/>
  <c r="P4" i="3"/>
  <c r="Q4" i="3" s="1"/>
  <c r="E4" i="3"/>
  <c r="P3" i="3"/>
  <c r="Q3" i="3" s="1"/>
  <c r="E3" i="3"/>
  <c r="AA2" i="3"/>
  <c r="Q1" i="3"/>
  <c r="F1" i="3"/>
  <c r="C1" i="3" s="1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P134" i="3"/>
  <c r="Q134" i="3" s="1"/>
  <c r="P133" i="3"/>
  <c r="Q133" i="3" s="1"/>
  <c r="P132" i="3"/>
  <c r="Q132" i="3" s="1"/>
  <c r="P131" i="3"/>
  <c r="Q131" i="3" s="1"/>
  <c r="P130" i="3"/>
  <c r="Q130" i="3" s="1"/>
  <c r="P129" i="3"/>
  <c r="Q129" i="3" s="1"/>
  <c r="P128" i="3"/>
  <c r="Q128" i="3" s="1"/>
  <c r="P127" i="3"/>
  <c r="Q127" i="3" s="1"/>
  <c r="P126" i="3"/>
  <c r="Q126" i="3" s="1"/>
  <c r="P125" i="3"/>
  <c r="Q125" i="3" s="1"/>
  <c r="P124" i="3"/>
  <c r="Q124" i="3" s="1"/>
  <c r="P123" i="3"/>
  <c r="Q123" i="3" s="1"/>
  <c r="P122" i="3"/>
  <c r="Q122" i="3" s="1"/>
  <c r="P121" i="3"/>
  <c r="Q121" i="3" s="1"/>
  <c r="P120" i="3"/>
  <c r="Q120" i="3" s="1"/>
  <c r="P119" i="3"/>
  <c r="Q119" i="3" s="1"/>
  <c r="P118" i="3"/>
  <c r="Q118" i="3" s="1"/>
  <c r="P117" i="3"/>
  <c r="Q117" i="3" s="1"/>
  <c r="P116" i="3"/>
  <c r="Q116" i="3" s="1"/>
  <c r="P115" i="3"/>
  <c r="Q115" i="3" s="1"/>
  <c r="P114" i="3"/>
  <c r="Q114" i="3" s="1"/>
  <c r="P113" i="3"/>
  <c r="Q113" i="3" s="1"/>
  <c r="P112" i="3"/>
  <c r="Q112" i="3" s="1"/>
  <c r="P111" i="3"/>
  <c r="Q111" i="3" s="1"/>
  <c r="P110" i="3"/>
  <c r="Q110" i="3" s="1"/>
  <c r="P109" i="3"/>
  <c r="Q109" i="3" s="1"/>
  <c r="P108" i="3"/>
  <c r="Q108" i="3" s="1"/>
  <c r="P107" i="3"/>
  <c r="Q107" i="3" s="1"/>
  <c r="P106" i="3"/>
  <c r="Q106" i="3" s="1"/>
  <c r="P105" i="3"/>
  <c r="Q105" i="3" s="1"/>
  <c r="P104" i="3"/>
  <c r="Q104" i="3" s="1"/>
  <c r="P103" i="3"/>
  <c r="Q103" i="3" s="1"/>
  <c r="P102" i="3"/>
  <c r="Q102" i="3" s="1"/>
  <c r="P101" i="3"/>
  <c r="Q101" i="3" s="1"/>
  <c r="P100" i="3"/>
  <c r="Q100" i="3" s="1"/>
  <c r="P99" i="3"/>
  <c r="Q99" i="3" s="1"/>
  <c r="P98" i="3"/>
  <c r="Q98" i="3" s="1"/>
  <c r="P97" i="3"/>
  <c r="Q97" i="3" s="1"/>
  <c r="P96" i="3"/>
  <c r="Q96" i="3" s="1"/>
  <c r="P95" i="3"/>
  <c r="Q95" i="3" s="1"/>
  <c r="P94" i="3"/>
  <c r="Q94" i="3" s="1"/>
  <c r="P93" i="3"/>
  <c r="Q93" i="3" s="1"/>
  <c r="P92" i="3"/>
  <c r="Q92" i="3" s="1"/>
  <c r="P91" i="3"/>
  <c r="Q91" i="3" s="1"/>
  <c r="P90" i="3"/>
  <c r="Q90" i="3" s="1"/>
  <c r="P89" i="3"/>
  <c r="Q89" i="3" s="1"/>
  <c r="P88" i="3"/>
  <c r="Q88" i="3" s="1"/>
  <c r="P87" i="3"/>
  <c r="Q87" i="3" s="1"/>
  <c r="P86" i="3"/>
  <c r="Q86" i="3" s="1"/>
  <c r="P85" i="3"/>
  <c r="Q85" i="3" s="1"/>
  <c r="P84" i="3"/>
  <c r="Q84" i="3" s="1"/>
  <c r="P83" i="3"/>
  <c r="Q83" i="3" s="1"/>
  <c r="P82" i="3"/>
  <c r="Q82" i="3" s="1"/>
  <c r="P81" i="3"/>
  <c r="Q81" i="3" s="1"/>
  <c r="P80" i="3"/>
  <c r="Q80" i="3" s="1"/>
  <c r="P79" i="3"/>
  <c r="Q79" i="3" s="1"/>
  <c r="P78" i="3"/>
  <c r="Q78" i="3" s="1"/>
  <c r="P77" i="3"/>
  <c r="Q77" i="3" s="1"/>
  <c r="P76" i="3"/>
  <c r="Q76" i="3" s="1"/>
  <c r="P75" i="3"/>
  <c r="Q75" i="3" s="1"/>
  <c r="P74" i="3"/>
  <c r="Q74" i="3" s="1"/>
  <c r="P73" i="3"/>
  <c r="Q73" i="3" s="1"/>
  <c r="P72" i="3"/>
  <c r="Q72" i="3" s="1"/>
  <c r="P71" i="3"/>
  <c r="Q71" i="3" s="1"/>
  <c r="P70" i="3"/>
  <c r="Q70" i="3" s="1"/>
  <c r="P69" i="3"/>
  <c r="Q69" i="3" s="1"/>
  <c r="P184" i="3"/>
  <c r="Q184" i="3" s="1"/>
  <c r="P183" i="3"/>
  <c r="Q183" i="3" s="1"/>
  <c r="P182" i="3"/>
  <c r="Q182" i="3" s="1"/>
  <c r="P181" i="3"/>
  <c r="Q181" i="3" s="1"/>
  <c r="P180" i="3"/>
  <c r="Q180" i="3" s="1"/>
  <c r="P179" i="3"/>
  <c r="Q179" i="3" s="1"/>
  <c r="P178" i="3"/>
  <c r="Q178" i="3" s="1"/>
  <c r="P177" i="3"/>
  <c r="Q177" i="3" s="1"/>
  <c r="P176" i="3"/>
  <c r="Q176" i="3" s="1"/>
  <c r="P175" i="3"/>
  <c r="Q175" i="3" s="1"/>
  <c r="P174" i="3"/>
  <c r="Q174" i="3" s="1"/>
  <c r="P173" i="3"/>
  <c r="Q173" i="3" s="1"/>
  <c r="P172" i="3"/>
  <c r="Q172" i="3" s="1"/>
  <c r="P171" i="3"/>
  <c r="Q171" i="3" s="1"/>
  <c r="P170" i="3"/>
  <c r="Q170" i="3" s="1"/>
  <c r="P169" i="3"/>
  <c r="Q169" i="3" s="1"/>
  <c r="P168" i="3"/>
  <c r="Q168" i="3" s="1"/>
  <c r="P167" i="3"/>
  <c r="Q167" i="3" s="1"/>
  <c r="P166" i="3"/>
  <c r="Q166" i="3" s="1"/>
  <c r="P165" i="3"/>
  <c r="Q165" i="3" s="1"/>
  <c r="P164" i="3"/>
  <c r="Q164" i="3" s="1"/>
  <c r="P163" i="3"/>
  <c r="Q163" i="3" s="1"/>
  <c r="P162" i="3"/>
  <c r="Q162" i="3" s="1"/>
  <c r="P161" i="3"/>
  <c r="Q161" i="3" s="1"/>
  <c r="P160" i="3"/>
  <c r="Q160" i="3" s="1"/>
  <c r="P159" i="3"/>
  <c r="Q159" i="3" s="1"/>
  <c r="P158" i="3"/>
  <c r="Q158" i="3" s="1"/>
  <c r="P157" i="3"/>
  <c r="Q157" i="3" s="1"/>
  <c r="P156" i="3"/>
  <c r="Q156" i="3" s="1"/>
  <c r="P155" i="3"/>
  <c r="Q155" i="3" s="1"/>
  <c r="P154" i="3"/>
  <c r="Q154" i="3" s="1"/>
  <c r="P153" i="3"/>
  <c r="Q153" i="3" s="1"/>
  <c r="P152" i="3"/>
  <c r="Q152" i="3" s="1"/>
  <c r="P151" i="3"/>
  <c r="Q151" i="3" s="1"/>
  <c r="P150" i="3"/>
  <c r="Q150" i="3" s="1"/>
  <c r="P149" i="3"/>
  <c r="Q149" i="3" s="1"/>
  <c r="P148" i="3"/>
  <c r="Q148" i="3" s="1"/>
  <c r="P147" i="3"/>
  <c r="Q147" i="3" s="1"/>
  <c r="P146" i="3"/>
  <c r="Q146" i="3" s="1"/>
  <c r="P145" i="3"/>
  <c r="Q145" i="3" s="1"/>
  <c r="P144" i="3"/>
  <c r="Q144" i="3" s="1"/>
  <c r="P143" i="3"/>
  <c r="Q143" i="3" s="1"/>
  <c r="P142" i="3"/>
  <c r="Q142" i="3" s="1"/>
  <c r="P141" i="3"/>
  <c r="Q141" i="3" s="1"/>
  <c r="P140" i="3"/>
  <c r="Q140" i="3" s="1"/>
  <c r="P139" i="3"/>
  <c r="Q139" i="3" s="1"/>
  <c r="P138" i="3"/>
  <c r="Q138" i="3" s="1"/>
  <c r="P137" i="3"/>
  <c r="Q137" i="3" s="1"/>
  <c r="E184" i="3"/>
  <c r="E183" i="3"/>
  <c r="E182" i="3"/>
  <c r="M182" i="3" s="1"/>
  <c r="R182" i="3" s="1"/>
  <c r="AA182" i="3" s="1"/>
  <c r="E181" i="3"/>
  <c r="E180" i="3"/>
  <c r="E179" i="3"/>
  <c r="E178" i="3"/>
  <c r="M178" i="3" s="1"/>
  <c r="AE178" i="3" s="1"/>
  <c r="E177" i="3"/>
  <c r="E176" i="3"/>
  <c r="E175" i="3"/>
  <c r="E174" i="3"/>
  <c r="M174" i="3" s="1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P136" i="3"/>
  <c r="Q136" i="3" s="1"/>
  <c r="AA135" i="3"/>
  <c r="M64" i="3" l="1"/>
  <c r="X54" i="3"/>
  <c r="AE54" i="3"/>
  <c r="N54" i="3"/>
  <c r="R54" i="3"/>
  <c r="AA54" i="3" s="1"/>
  <c r="V59" i="3"/>
  <c r="M61" i="3"/>
  <c r="V61" i="3"/>
  <c r="X66" i="3"/>
  <c r="AE66" i="3"/>
  <c r="N66" i="3"/>
  <c r="R66" i="3"/>
  <c r="AA66" i="3" s="1"/>
  <c r="V52" i="3"/>
  <c r="M52" i="3"/>
  <c r="M65" i="3"/>
  <c r="V53" i="3"/>
  <c r="M56" i="3"/>
  <c r="X58" i="3"/>
  <c r="AE58" i="3"/>
  <c r="N58" i="3"/>
  <c r="R58" i="3"/>
  <c r="AA58" i="3" s="1"/>
  <c r="R53" i="3"/>
  <c r="AA53" i="3" s="1"/>
  <c r="X53" i="3"/>
  <c r="AE53" i="3"/>
  <c r="N53" i="3"/>
  <c r="M60" i="3"/>
  <c r="M57" i="3"/>
  <c r="V57" i="3" s="1"/>
  <c r="X62" i="3"/>
  <c r="AE62" i="3"/>
  <c r="N62" i="3"/>
  <c r="R62" i="3"/>
  <c r="AA62" i="3" s="1"/>
  <c r="V54" i="3"/>
  <c r="V58" i="3"/>
  <c r="V62" i="3"/>
  <c r="V66" i="3"/>
  <c r="M55" i="3"/>
  <c r="M59" i="3"/>
  <c r="M63" i="3"/>
  <c r="V63" i="3" s="1"/>
  <c r="M67" i="3"/>
  <c r="M50" i="3"/>
  <c r="X50" i="3" s="1"/>
  <c r="M119" i="3"/>
  <c r="AE119" i="3" s="1"/>
  <c r="M127" i="3"/>
  <c r="AE127" i="3" s="1"/>
  <c r="M29" i="3"/>
  <c r="X29" i="3" s="1"/>
  <c r="M107" i="3"/>
  <c r="R107" i="3" s="1"/>
  <c r="AA107" i="3" s="1"/>
  <c r="M123" i="3"/>
  <c r="X123" i="3" s="1"/>
  <c r="M84" i="3"/>
  <c r="R84" i="3" s="1"/>
  <c r="AA84" i="3" s="1"/>
  <c r="M98" i="3"/>
  <c r="X98" i="3" s="1"/>
  <c r="M132" i="3"/>
  <c r="AE132" i="3" s="1"/>
  <c r="M80" i="3"/>
  <c r="R80" i="3" s="1"/>
  <c r="AA80" i="3" s="1"/>
  <c r="M88" i="3"/>
  <c r="R88" i="3" s="1"/>
  <c r="AA88" i="3" s="1"/>
  <c r="M101" i="3"/>
  <c r="X101" i="3" s="1"/>
  <c r="M23" i="3"/>
  <c r="X23" i="3" s="1"/>
  <c r="M124" i="3"/>
  <c r="R124" i="3" s="1"/>
  <c r="M81" i="3"/>
  <c r="R81" i="3" s="1"/>
  <c r="M5" i="3"/>
  <c r="X5" i="3" s="1"/>
  <c r="M34" i="3"/>
  <c r="X34" i="3" s="1"/>
  <c r="M97" i="3"/>
  <c r="X97" i="3" s="1"/>
  <c r="M25" i="3"/>
  <c r="R25" i="3" s="1"/>
  <c r="AA25" i="3" s="1"/>
  <c r="M7" i="3"/>
  <c r="R7" i="3" s="1"/>
  <c r="AA7" i="3" s="1"/>
  <c r="M139" i="3"/>
  <c r="X139" i="3" s="1"/>
  <c r="M147" i="3"/>
  <c r="V147" i="3" s="1"/>
  <c r="M89" i="3"/>
  <c r="X89" i="3" s="1"/>
  <c r="M3" i="3"/>
  <c r="X3" i="3" s="1"/>
  <c r="M49" i="3"/>
  <c r="R49" i="3" s="1"/>
  <c r="AA49" i="3" s="1"/>
  <c r="M76" i="3"/>
  <c r="R76" i="3" s="1"/>
  <c r="AA76" i="3" s="1"/>
  <c r="M41" i="3"/>
  <c r="AE41" i="3" s="1"/>
  <c r="M153" i="3"/>
  <c r="V153" i="3" s="1"/>
  <c r="M161" i="3"/>
  <c r="V161" i="3" s="1"/>
  <c r="F161" i="3" s="1"/>
  <c r="M177" i="3"/>
  <c r="N177" i="3" s="1"/>
  <c r="O177" i="3" s="1"/>
  <c r="M73" i="3"/>
  <c r="R73" i="3" s="1"/>
  <c r="AA73" i="3" s="1"/>
  <c r="M28" i="3"/>
  <c r="V28" i="3" s="1"/>
  <c r="M44" i="3"/>
  <c r="AE44" i="3" s="1"/>
  <c r="M39" i="3"/>
  <c r="V39" i="3" s="1"/>
  <c r="M15" i="3"/>
  <c r="X15" i="3" s="1"/>
  <c r="M42" i="3"/>
  <c r="X42" i="3" s="1"/>
  <c r="M20" i="3"/>
  <c r="AE20" i="3" s="1"/>
  <c r="M26" i="3"/>
  <c r="X26" i="3" s="1"/>
  <c r="M11" i="3"/>
  <c r="V11" i="3" s="1"/>
  <c r="M8" i="3"/>
  <c r="R8" i="3" s="1"/>
  <c r="AA8" i="3" s="1"/>
  <c r="M16" i="3"/>
  <c r="V16" i="3" s="1"/>
  <c r="M9" i="3"/>
  <c r="N9" i="3" s="1"/>
  <c r="M13" i="3"/>
  <c r="R13" i="3" s="1"/>
  <c r="AA13" i="3" s="1"/>
  <c r="M33" i="3"/>
  <c r="N33" i="3" s="1"/>
  <c r="M35" i="3"/>
  <c r="M48" i="3"/>
  <c r="V48" i="3" s="1"/>
  <c r="M17" i="3"/>
  <c r="N17" i="3" s="1"/>
  <c r="O17" i="3" s="1"/>
  <c r="M36" i="3"/>
  <c r="R36" i="3" s="1"/>
  <c r="AA36" i="3" s="1"/>
  <c r="M32" i="3"/>
  <c r="R32" i="3" s="1"/>
  <c r="AA32" i="3" s="1"/>
  <c r="M46" i="3"/>
  <c r="R46" i="3" s="1"/>
  <c r="AA46" i="3" s="1"/>
  <c r="M10" i="3"/>
  <c r="N10" i="3" s="1"/>
  <c r="O10" i="3" s="1"/>
  <c r="M47" i="3"/>
  <c r="V47" i="3" s="1"/>
  <c r="M37" i="3"/>
  <c r="V37" i="3" s="1"/>
  <c r="M45" i="3"/>
  <c r="R45" i="3" s="1"/>
  <c r="AA45" i="3" s="1"/>
  <c r="M12" i="3"/>
  <c r="R12" i="3" s="1"/>
  <c r="AA12" i="3" s="1"/>
  <c r="M18" i="3"/>
  <c r="V18" i="3" s="1"/>
  <c r="AE25" i="3"/>
  <c r="V25" i="3"/>
  <c r="M4" i="3"/>
  <c r="V4" i="3" s="1"/>
  <c r="M6" i="3"/>
  <c r="N6" i="3" s="1"/>
  <c r="O6" i="3" s="1"/>
  <c r="M19" i="3"/>
  <c r="R19" i="3" s="1"/>
  <c r="AA19" i="3" s="1"/>
  <c r="AE50" i="3"/>
  <c r="N50" i="3"/>
  <c r="O50" i="3" s="1"/>
  <c r="V50" i="3"/>
  <c r="R41" i="3"/>
  <c r="AA41" i="3" s="1"/>
  <c r="M14" i="3"/>
  <c r="M31" i="3"/>
  <c r="R31" i="3" s="1"/>
  <c r="AA31" i="3" s="1"/>
  <c r="M30" i="3"/>
  <c r="N30" i="3" s="1"/>
  <c r="O30" i="3" s="1"/>
  <c r="M43" i="3"/>
  <c r="N43" i="3" s="1"/>
  <c r="O43" i="3" s="1"/>
  <c r="M22" i="3"/>
  <c r="N22" i="3" s="1"/>
  <c r="M24" i="3"/>
  <c r="V24" i="3" s="1"/>
  <c r="M38" i="3"/>
  <c r="M51" i="3"/>
  <c r="N51" i="3" s="1"/>
  <c r="N25" i="3"/>
  <c r="M27" i="3"/>
  <c r="M40" i="3"/>
  <c r="N40" i="3" s="1"/>
  <c r="O40" i="3" s="1"/>
  <c r="M21" i="3"/>
  <c r="R21" i="3" s="1"/>
  <c r="AA21" i="3" s="1"/>
  <c r="R50" i="3"/>
  <c r="AA50" i="3" s="1"/>
  <c r="M145" i="3"/>
  <c r="N145" i="3" s="1"/>
  <c r="O145" i="3" s="1"/>
  <c r="M169" i="3"/>
  <c r="AE169" i="3" s="1"/>
  <c r="M154" i="3"/>
  <c r="V154" i="3" s="1"/>
  <c r="G154" i="3" s="1"/>
  <c r="M141" i="3"/>
  <c r="N141" i="3" s="1"/>
  <c r="O141" i="3" s="1"/>
  <c r="M158" i="3"/>
  <c r="AE158" i="3" s="1"/>
  <c r="M151" i="3"/>
  <c r="X151" i="3" s="1"/>
  <c r="M103" i="3"/>
  <c r="R103" i="3" s="1"/>
  <c r="AA103" i="3" s="1"/>
  <c r="M157" i="3"/>
  <c r="R157" i="3" s="1"/>
  <c r="AA157" i="3" s="1"/>
  <c r="M150" i="3"/>
  <c r="X150" i="3" s="1"/>
  <c r="M85" i="3"/>
  <c r="R85" i="3" s="1"/>
  <c r="AA85" i="3" s="1"/>
  <c r="M96" i="3"/>
  <c r="X96" i="3" s="1"/>
  <c r="M104" i="3"/>
  <c r="V104" i="3" s="1"/>
  <c r="M112" i="3"/>
  <c r="R112" i="3" s="1"/>
  <c r="M128" i="3"/>
  <c r="N128" i="3" s="1"/>
  <c r="M171" i="3"/>
  <c r="AE171" i="3" s="1"/>
  <c r="M69" i="3"/>
  <c r="V69" i="3" s="1"/>
  <c r="M100" i="3"/>
  <c r="N100" i="3" s="1"/>
  <c r="O100" i="3" s="1"/>
  <c r="M108" i="3"/>
  <c r="N108" i="3" s="1"/>
  <c r="M116" i="3"/>
  <c r="R116" i="3" s="1"/>
  <c r="AA116" i="3" s="1"/>
  <c r="M92" i="3"/>
  <c r="R92" i="3" s="1"/>
  <c r="AA92" i="3" s="1"/>
  <c r="M109" i="3"/>
  <c r="AE109" i="3" s="1"/>
  <c r="M117" i="3"/>
  <c r="N117" i="3" s="1"/>
  <c r="M133" i="3"/>
  <c r="V133" i="3" s="1"/>
  <c r="M113" i="3"/>
  <c r="X113" i="3" s="1"/>
  <c r="M72" i="3"/>
  <c r="R72" i="3" s="1"/>
  <c r="AA72" i="3" s="1"/>
  <c r="M87" i="3"/>
  <c r="V87" i="3" s="1"/>
  <c r="X88" i="3"/>
  <c r="M93" i="3"/>
  <c r="N93" i="3" s="1"/>
  <c r="O93" i="3" s="1"/>
  <c r="M77" i="3"/>
  <c r="X77" i="3" s="1"/>
  <c r="M111" i="3"/>
  <c r="R111" i="3" s="1"/>
  <c r="AA111" i="3" s="1"/>
  <c r="M78" i="3"/>
  <c r="M90" i="3"/>
  <c r="V90" i="3" s="1"/>
  <c r="M83" i="3"/>
  <c r="V83" i="3" s="1"/>
  <c r="M75" i="3"/>
  <c r="V75" i="3" s="1"/>
  <c r="M110" i="3"/>
  <c r="V110" i="3" s="1"/>
  <c r="M79" i="3"/>
  <c r="V79" i="3" s="1"/>
  <c r="M91" i="3"/>
  <c r="V91" i="3" s="1"/>
  <c r="M71" i="3"/>
  <c r="V71" i="3" s="1"/>
  <c r="M74" i="3"/>
  <c r="V74" i="3" s="1"/>
  <c r="M86" i="3"/>
  <c r="V86" i="3" s="1"/>
  <c r="M95" i="3"/>
  <c r="V95" i="3" s="1"/>
  <c r="M115" i="3"/>
  <c r="M129" i="3"/>
  <c r="M105" i="3"/>
  <c r="M121" i="3"/>
  <c r="R127" i="3"/>
  <c r="AA127" i="3" s="1"/>
  <c r="X127" i="3"/>
  <c r="R119" i="3"/>
  <c r="AA119" i="3" s="1"/>
  <c r="N119" i="3"/>
  <c r="X119" i="3"/>
  <c r="M125" i="3"/>
  <c r="V125" i="3" s="1"/>
  <c r="N76" i="3"/>
  <c r="N97" i="3"/>
  <c r="M122" i="3"/>
  <c r="AE88" i="3"/>
  <c r="M114" i="3"/>
  <c r="V114" i="3" s="1"/>
  <c r="M70" i="3"/>
  <c r="AE80" i="3"/>
  <c r="M82" i="3"/>
  <c r="V97" i="3"/>
  <c r="M102" i="3"/>
  <c r="V102" i="3" s="1"/>
  <c r="M120" i="3"/>
  <c r="V120" i="3" s="1"/>
  <c r="M126" i="3"/>
  <c r="X80" i="3"/>
  <c r="M99" i="3"/>
  <c r="V99" i="3" s="1"/>
  <c r="X76" i="3"/>
  <c r="N80" i="3"/>
  <c r="N88" i="3"/>
  <c r="AE76" i="3"/>
  <c r="M94" i="3"/>
  <c r="M106" i="3"/>
  <c r="V106" i="3" s="1"/>
  <c r="M131" i="3"/>
  <c r="V131" i="3" s="1"/>
  <c r="V119" i="3"/>
  <c r="M134" i="3"/>
  <c r="M130" i="3"/>
  <c r="V130" i="3" s="1"/>
  <c r="M118" i="3"/>
  <c r="V118" i="3" s="1"/>
  <c r="M172" i="3"/>
  <c r="R172" i="3" s="1"/>
  <c r="M184" i="3"/>
  <c r="X184" i="3" s="1"/>
  <c r="V182" i="3"/>
  <c r="G182" i="3" s="1"/>
  <c r="M138" i="3"/>
  <c r="V138" i="3" s="1"/>
  <c r="M142" i="3"/>
  <c r="X142" i="3" s="1"/>
  <c r="M179" i="3"/>
  <c r="R179" i="3" s="1"/>
  <c r="AA179" i="3" s="1"/>
  <c r="R153" i="3"/>
  <c r="AA153" i="3" s="1"/>
  <c r="M173" i="3"/>
  <c r="N173" i="3" s="1"/>
  <c r="M170" i="3"/>
  <c r="V170" i="3" s="1"/>
  <c r="M162" i="3"/>
  <c r="V178" i="3"/>
  <c r="M183" i="3"/>
  <c r="N183" i="3" s="1"/>
  <c r="O183" i="3" s="1"/>
  <c r="M181" i="3"/>
  <c r="V181" i="3" s="1"/>
  <c r="F181" i="3" s="1"/>
  <c r="M180" i="3"/>
  <c r="N180" i="3" s="1"/>
  <c r="M144" i="3"/>
  <c r="M149" i="3"/>
  <c r="V149" i="3" s="1"/>
  <c r="M165" i="3"/>
  <c r="V165" i="3" s="1"/>
  <c r="M152" i="3"/>
  <c r="V152" i="3" s="1"/>
  <c r="M156" i="3"/>
  <c r="V156" i="3" s="1"/>
  <c r="M160" i="3"/>
  <c r="V160" i="3" s="1"/>
  <c r="M137" i="3"/>
  <c r="V137" i="3" s="1"/>
  <c r="M140" i="3"/>
  <c r="V140" i="3" s="1"/>
  <c r="M148" i="3"/>
  <c r="V148" i="3" s="1"/>
  <c r="M143" i="3"/>
  <c r="V143" i="3" s="1"/>
  <c r="M166" i="3"/>
  <c r="M176" i="3"/>
  <c r="V176" i="3" s="1"/>
  <c r="M155" i="3"/>
  <c r="V155" i="3" s="1"/>
  <c r="R174" i="3"/>
  <c r="AA174" i="3" s="1"/>
  <c r="X174" i="3"/>
  <c r="N174" i="3"/>
  <c r="V174" i="3"/>
  <c r="M146" i="3"/>
  <c r="V146" i="3" s="1"/>
  <c r="AE174" i="3"/>
  <c r="R178" i="3"/>
  <c r="X178" i="3"/>
  <c r="N178" i="3"/>
  <c r="M163" i="3"/>
  <c r="M164" i="3"/>
  <c r="V164" i="3" s="1"/>
  <c r="M168" i="3"/>
  <c r="V168" i="3" s="1"/>
  <c r="M175" i="3"/>
  <c r="N153" i="3"/>
  <c r="M167" i="3"/>
  <c r="X182" i="3"/>
  <c r="M159" i="3"/>
  <c r="V159" i="3" s="1"/>
  <c r="AE182" i="3"/>
  <c r="N182" i="3"/>
  <c r="M136" i="3"/>
  <c r="V136" i="3" s="1"/>
  <c r="G57" i="3" l="1"/>
  <c r="F57" i="3"/>
  <c r="G63" i="3"/>
  <c r="F63" i="3"/>
  <c r="F54" i="3"/>
  <c r="W54" i="3"/>
  <c r="G54" i="3"/>
  <c r="R60" i="3"/>
  <c r="AA60" i="3" s="1"/>
  <c r="X60" i="3"/>
  <c r="AE60" i="3"/>
  <c r="N60" i="3"/>
  <c r="F52" i="3"/>
  <c r="G52" i="3"/>
  <c r="G59" i="3"/>
  <c r="F59" i="3"/>
  <c r="AE67" i="3"/>
  <c r="N67" i="3"/>
  <c r="R67" i="3"/>
  <c r="AA67" i="3" s="1"/>
  <c r="X67" i="3"/>
  <c r="V67" i="3"/>
  <c r="V60" i="3"/>
  <c r="AE63" i="3"/>
  <c r="N63" i="3"/>
  <c r="R63" i="3"/>
  <c r="AA63" i="3" s="1"/>
  <c r="X63" i="3"/>
  <c r="O66" i="3"/>
  <c r="S66" i="3"/>
  <c r="O62" i="3"/>
  <c r="S62" i="3"/>
  <c r="AE55" i="3"/>
  <c r="N55" i="3"/>
  <c r="X55" i="3"/>
  <c r="R55" i="3"/>
  <c r="AA55" i="3" s="1"/>
  <c r="W66" i="3"/>
  <c r="F66" i="3"/>
  <c r="T66" i="3" s="1"/>
  <c r="G66" i="3"/>
  <c r="Z62" i="3"/>
  <c r="AC62" i="3" s="1"/>
  <c r="R65" i="3"/>
  <c r="AA65" i="3" s="1"/>
  <c r="N65" i="3"/>
  <c r="X65" i="3"/>
  <c r="AE65" i="3"/>
  <c r="F61" i="3"/>
  <c r="G61" i="3"/>
  <c r="W61" i="3"/>
  <c r="Z54" i="3"/>
  <c r="AC54" i="3" s="1"/>
  <c r="Y54" i="3"/>
  <c r="AB54" i="3" s="1"/>
  <c r="R56" i="3"/>
  <c r="AA56" i="3" s="1"/>
  <c r="AE56" i="3"/>
  <c r="N56" i="3"/>
  <c r="X56" i="3"/>
  <c r="O54" i="3"/>
  <c r="S54" i="3"/>
  <c r="Z53" i="3"/>
  <c r="AC53" i="3" s="1"/>
  <c r="F62" i="3"/>
  <c r="W62" i="3"/>
  <c r="G62" i="3"/>
  <c r="V65" i="3"/>
  <c r="R61" i="3"/>
  <c r="AA61" i="3" s="1"/>
  <c r="AE61" i="3"/>
  <c r="N61" i="3"/>
  <c r="X61" i="3"/>
  <c r="R64" i="3"/>
  <c r="AA64" i="3" s="1"/>
  <c r="X64" i="3"/>
  <c r="AE64" i="3"/>
  <c r="N64" i="3"/>
  <c r="O53" i="3"/>
  <c r="S53" i="3"/>
  <c r="AE59" i="3"/>
  <c r="N59" i="3"/>
  <c r="R59" i="3"/>
  <c r="AA59" i="3" s="1"/>
  <c r="X59" i="3"/>
  <c r="V56" i="3"/>
  <c r="W53" i="3"/>
  <c r="F53" i="3"/>
  <c r="Y53" i="3" s="1"/>
  <c r="AB53" i="3" s="1"/>
  <c r="G53" i="3"/>
  <c r="W58" i="3"/>
  <c r="G58" i="3"/>
  <c r="F58" i="3"/>
  <c r="R57" i="3"/>
  <c r="AA57" i="3" s="1"/>
  <c r="N57" i="3"/>
  <c r="AE57" i="3"/>
  <c r="X57" i="3"/>
  <c r="O58" i="3"/>
  <c r="S58" i="3"/>
  <c r="X52" i="3"/>
  <c r="R52" i="3"/>
  <c r="AA52" i="3" s="1"/>
  <c r="AE52" i="3"/>
  <c r="N52" i="3"/>
  <c r="V55" i="3"/>
  <c r="V64" i="3"/>
  <c r="AE7" i="3"/>
  <c r="V127" i="3"/>
  <c r="X153" i="3"/>
  <c r="N127" i="3"/>
  <c r="O127" i="3" s="1"/>
  <c r="V88" i="3"/>
  <c r="X25" i="3"/>
  <c r="AE153" i="3"/>
  <c r="V41" i="3"/>
  <c r="W41" i="3" s="1"/>
  <c r="N101" i="3"/>
  <c r="AE29" i="3"/>
  <c r="AE101" i="3"/>
  <c r="N29" i="3"/>
  <c r="O29" i="3" s="1"/>
  <c r="R101" i="3"/>
  <c r="AA101" i="3" s="1"/>
  <c r="R29" i="3"/>
  <c r="AA29" i="3" s="1"/>
  <c r="AE97" i="3"/>
  <c r="R97" i="3"/>
  <c r="AA97" i="3" s="1"/>
  <c r="V141" i="3"/>
  <c r="F141" i="3" s="1"/>
  <c r="V84" i="3"/>
  <c r="AE141" i="3"/>
  <c r="R141" i="3"/>
  <c r="AA141" i="3" s="1"/>
  <c r="N72" i="3"/>
  <c r="S72" i="3" s="1"/>
  <c r="N7" i="3"/>
  <c r="O7" i="3" s="1"/>
  <c r="V101" i="3"/>
  <c r="W101" i="3" s="1"/>
  <c r="V29" i="3"/>
  <c r="V108" i="3"/>
  <c r="G108" i="3" s="1"/>
  <c r="N132" i="3"/>
  <c r="AE98" i="3"/>
  <c r="X132" i="3"/>
  <c r="AE5" i="3"/>
  <c r="X73" i="3"/>
  <c r="V132" i="3"/>
  <c r="F132" i="3" s="1"/>
  <c r="R98" i="3"/>
  <c r="AA98" i="3" s="1"/>
  <c r="R158" i="3"/>
  <c r="AA158" i="3" s="1"/>
  <c r="V98" i="3"/>
  <c r="N158" i="3"/>
  <c r="O158" i="3" s="1"/>
  <c r="X141" i="3"/>
  <c r="Y141" i="3" s="1"/>
  <c r="AB141" i="3" s="1"/>
  <c r="V81" i="3"/>
  <c r="W81" i="3" s="1"/>
  <c r="X107" i="3"/>
  <c r="N84" i="3"/>
  <c r="S84" i="3" s="1"/>
  <c r="AE84" i="3"/>
  <c r="R89" i="3"/>
  <c r="AA89" i="3" s="1"/>
  <c r="N81" i="3"/>
  <c r="O81" i="3" s="1"/>
  <c r="X84" i="3"/>
  <c r="AE73" i="3"/>
  <c r="X81" i="3"/>
  <c r="V89" i="3"/>
  <c r="G89" i="3" s="1"/>
  <c r="R132" i="3"/>
  <c r="AA132" i="3" s="1"/>
  <c r="N89" i="3"/>
  <c r="O89" i="3" s="1"/>
  <c r="V73" i="3"/>
  <c r="F73" i="3" s="1"/>
  <c r="X49" i="3"/>
  <c r="X147" i="3"/>
  <c r="V177" i="3"/>
  <c r="F177" i="3" s="1"/>
  <c r="AE89" i="3"/>
  <c r="AE81" i="3"/>
  <c r="R30" i="3"/>
  <c r="AA30" i="3" s="1"/>
  <c r="AE34" i="3"/>
  <c r="V124" i="3"/>
  <c r="G124" i="3" s="1"/>
  <c r="N24" i="3"/>
  <c r="O24" i="3" s="1"/>
  <c r="V31" i="3"/>
  <c r="W31" i="3" s="1"/>
  <c r="N123" i="3"/>
  <c r="O123" i="3" s="1"/>
  <c r="N5" i="3"/>
  <c r="O5" i="3" s="1"/>
  <c r="N96" i="3"/>
  <c r="O96" i="3" s="1"/>
  <c r="AE96" i="3"/>
  <c r="V34" i="3"/>
  <c r="N161" i="3"/>
  <c r="O161" i="3" s="1"/>
  <c r="R181" i="3"/>
  <c r="AA181" i="3" s="1"/>
  <c r="G161" i="3"/>
  <c r="V123" i="3"/>
  <c r="G123" i="3" s="1"/>
  <c r="AE123" i="3"/>
  <c r="R133" i="3"/>
  <c r="AA133" i="3" s="1"/>
  <c r="R123" i="3"/>
  <c r="AA123" i="3" s="1"/>
  <c r="V107" i="3"/>
  <c r="F107" i="3" s="1"/>
  <c r="AE93" i="3"/>
  <c r="N107" i="3"/>
  <c r="O107" i="3" s="1"/>
  <c r="AE107" i="3"/>
  <c r="R34" i="3"/>
  <c r="AA34" i="3" s="1"/>
  <c r="AE49" i="3"/>
  <c r="N34" i="3"/>
  <c r="O34" i="3" s="1"/>
  <c r="N20" i="3"/>
  <c r="O20" i="3" s="1"/>
  <c r="X170" i="3"/>
  <c r="V145" i="3"/>
  <c r="F145" i="3" s="1"/>
  <c r="N172" i="3"/>
  <c r="O172" i="3" s="1"/>
  <c r="R5" i="3"/>
  <c r="AA5" i="3" s="1"/>
  <c r="N48" i="3"/>
  <c r="O48" i="3" s="1"/>
  <c r="R100" i="3"/>
  <c r="AA100" i="3" s="1"/>
  <c r="R20" i="3"/>
  <c r="AA20" i="3" s="1"/>
  <c r="X20" i="3"/>
  <c r="AE145" i="3"/>
  <c r="N142" i="3"/>
  <c r="F154" i="3"/>
  <c r="X145" i="3"/>
  <c r="X117" i="3"/>
  <c r="R3" i="3"/>
  <c r="AA3" i="3" s="1"/>
  <c r="V5" i="3"/>
  <c r="R145" i="3"/>
  <c r="AA145" i="3" s="1"/>
  <c r="N154" i="3"/>
  <c r="O154" i="3" s="1"/>
  <c r="X103" i="3"/>
  <c r="R18" i="3"/>
  <c r="AA18" i="3" s="1"/>
  <c r="V45" i="3"/>
  <c r="V26" i="3"/>
  <c r="AE124" i="3"/>
  <c r="R37" i="3"/>
  <c r="AA37" i="3" s="1"/>
  <c r="N23" i="3"/>
  <c r="O23" i="3" s="1"/>
  <c r="V23" i="3"/>
  <c r="R170" i="3"/>
  <c r="AA170" i="3" s="1"/>
  <c r="R147" i="3"/>
  <c r="AA147" i="3" s="1"/>
  <c r="R177" i="3"/>
  <c r="AA177" i="3" s="1"/>
  <c r="AE147" i="3"/>
  <c r="R139" i="3"/>
  <c r="AA139" i="3" s="1"/>
  <c r="N113" i="3"/>
  <c r="O113" i="3" s="1"/>
  <c r="AE23" i="3"/>
  <c r="V8" i="3"/>
  <c r="V85" i="3"/>
  <c r="G85" i="3" s="1"/>
  <c r="V139" i="3"/>
  <c r="G139" i="3" s="1"/>
  <c r="N179" i="3"/>
  <c r="O179" i="3" s="1"/>
  <c r="N150" i="3"/>
  <c r="N139" i="3"/>
  <c r="S139" i="3" s="1"/>
  <c r="N124" i="3"/>
  <c r="O124" i="3" s="1"/>
  <c r="AE113" i="3"/>
  <c r="X161" i="3"/>
  <c r="Y161" i="3" s="1"/>
  <c r="AB161" i="3" s="1"/>
  <c r="X169" i="3"/>
  <c r="V150" i="3"/>
  <c r="AE139" i="3"/>
  <c r="X93" i="3"/>
  <c r="X7" i="3"/>
  <c r="AE177" i="3"/>
  <c r="N147" i="3"/>
  <c r="AE150" i="3"/>
  <c r="R23" i="3"/>
  <c r="AA23" i="3" s="1"/>
  <c r="X171" i="3"/>
  <c r="R150" i="3"/>
  <c r="AA150" i="3" s="1"/>
  <c r="AE161" i="3"/>
  <c r="X124" i="3"/>
  <c r="AE85" i="3"/>
  <c r="V76" i="3"/>
  <c r="F76" i="3" s="1"/>
  <c r="Y76" i="3" s="1"/>
  <c r="AB76" i="3" s="1"/>
  <c r="X177" i="3"/>
  <c r="AE173" i="3"/>
  <c r="V171" i="3"/>
  <c r="F171" i="3" s="1"/>
  <c r="Y171" i="3" s="1"/>
  <c r="AB171" i="3" s="1"/>
  <c r="N171" i="3"/>
  <c r="O171" i="3" s="1"/>
  <c r="N170" i="3"/>
  <c r="S170" i="3" s="1"/>
  <c r="R161" i="3"/>
  <c r="AA161" i="3" s="1"/>
  <c r="X157" i="3"/>
  <c r="V111" i="3"/>
  <c r="G111" i="3" s="1"/>
  <c r="V80" i="3"/>
  <c r="F80" i="3" s="1"/>
  <c r="Y80" i="3" s="1"/>
  <c r="AB80" i="3" s="1"/>
  <c r="V42" i="3"/>
  <c r="V7" i="3"/>
  <c r="W7" i="3" s="1"/>
  <c r="N98" i="3"/>
  <c r="O98" i="3" s="1"/>
  <c r="V109" i="3"/>
  <c r="F109" i="3" s="1"/>
  <c r="V3" i="3"/>
  <c r="R171" i="3"/>
  <c r="AA171" i="3" s="1"/>
  <c r="N103" i="3"/>
  <c r="S103" i="3" s="1"/>
  <c r="AE116" i="3"/>
  <c r="V20" i="3"/>
  <c r="AE39" i="3"/>
  <c r="X138" i="3"/>
  <c r="R93" i="3"/>
  <c r="AA93" i="3" s="1"/>
  <c r="V158" i="3"/>
  <c r="F158" i="3" s="1"/>
  <c r="V151" i="3"/>
  <c r="F151" i="3" s="1"/>
  <c r="R169" i="3"/>
  <c r="AA169" i="3" s="1"/>
  <c r="N116" i="3"/>
  <c r="O116" i="3" s="1"/>
  <c r="N73" i="3"/>
  <c r="O73" i="3" s="1"/>
  <c r="R42" i="3"/>
  <c r="AA42" i="3" s="1"/>
  <c r="V30" i="3"/>
  <c r="X39" i="3"/>
  <c r="V43" i="3"/>
  <c r="AE151" i="3"/>
  <c r="N169" i="3"/>
  <c r="S169" i="3" s="1"/>
  <c r="N32" i="3"/>
  <c r="O32" i="3" s="1"/>
  <c r="R33" i="3"/>
  <c r="AA33" i="3" s="1"/>
  <c r="R17" i="3"/>
  <c r="AA17" i="3" s="1"/>
  <c r="N151" i="3"/>
  <c r="O151" i="3" s="1"/>
  <c r="N138" i="3"/>
  <c r="O138" i="3" s="1"/>
  <c r="R138" i="3"/>
  <c r="AA138" i="3" s="1"/>
  <c r="X158" i="3"/>
  <c r="V117" i="3"/>
  <c r="G117" i="3" s="1"/>
  <c r="X100" i="3"/>
  <c r="V96" i="3"/>
  <c r="F96" i="3" s="1"/>
  <c r="Y96" i="3" s="1"/>
  <c r="AB96" i="3" s="1"/>
  <c r="AE26" i="3"/>
  <c r="R48" i="3"/>
  <c r="AA48" i="3" s="1"/>
  <c r="X28" i="3"/>
  <c r="X41" i="3"/>
  <c r="V49" i="3"/>
  <c r="X108" i="3"/>
  <c r="AE138" i="3"/>
  <c r="R96" i="3"/>
  <c r="AA96" i="3" s="1"/>
  <c r="AE108" i="3"/>
  <c r="X104" i="3"/>
  <c r="X85" i="3"/>
  <c r="N109" i="3"/>
  <c r="V113" i="3"/>
  <c r="F113" i="3" s="1"/>
  <c r="Y113" i="3" s="1"/>
  <c r="AB113" i="3" s="1"/>
  <c r="R108" i="3"/>
  <c r="AA108" i="3" s="1"/>
  <c r="N41" i="3"/>
  <c r="O41" i="3" s="1"/>
  <c r="X109" i="3"/>
  <c r="AE100" i="3"/>
  <c r="V112" i="3"/>
  <c r="F112" i="3" s="1"/>
  <c r="N85" i="3"/>
  <c r="N49" i="3"/>
  <c r="S49" i="3" s="1"/>
  <c r="N3" i="3"/>
  <c r="N28" i="3"/>
  <c r="V169" i="3"/>
  <c r="F169" i="3" s="1"/>
  <c r="R151" i="3"/>
  <c r="AA151" i="3" s="1"/>
  <c r="N181" i="3"/>
  <c r="O181" i="3" s="1"/>
  <c r="V142" i="3"/>
  <c r="G142" i="3" s="1"/>
  <c r="Z142" i="3" s="1"/>
  <c r="AC142" i="3" s="1"/>
  <c r="AE142" i="3"/>
  <c r="AE104" i="3"/>
  <c r="V100" i="3"/>
  <c r="G100" i="3" s="1"/>
  <c r="R43" i="3"/>
  <c r="AA43" i="3" s="1"/>
  <c r="R28" i="3"/>
  <c r="AA28" i="3" s="1"/>
  <c r="N26" i="3"/>
  <c r="O26" i="3" s="1"/>
  <c r="AE3" i="3"/>
  <c r="AE28" i="3"/>
  <c r="N69" i="3"/>
  <c r="O69" i="3" s="1"/>
  <c r="AE69" i="3"/>
  <c r="X72" i="3"/>
  <c r="N39" i="3"/>
  <c r="N15" i="3"/>
  <c r="O15" i="3" s="1"/>
  <c r="V15" i="3"/>
  <c r="R15" i="3"/>
  <c r="AA15" i="3" s="1"/>
  <c r="V46" i="3"/>
  <c r="W46" i="3" s="1"/>
  <c r="AE72" i="3"/>
  <c r="N16" i="3"/>
  <c r="O16" i="3" s="1"/>
  <c r="R44" i="3"/>
  <c r="AA44" i="3" s="1"/>
  <c r="AE15" i="3"/>
  <c r="R39" i="3"/>
  <c r="AA39" i="3" s="1"/>
  <c r="R69" i="3"/>
  <c r="AA69" i="3" s="1"/>
  <c r="R11" i="3"/>
  <c r="AA11" i="3" s="1"/>
  <c r="V22" i="3"/>
  <c r="V9" i="3"/>
  <c r="N12" i="3"/>
  <c r="N44" i="3"/>
  <c r="V40" i="3"/>
  <c r="X69" i="3"/>
  <c r="R26" i="3"/>
  <c r="AA26" i="3" s="1"/>
  <c r="R47" i="3"/>
  <c r="AA47" i="3" s="1"/>
  <c r="V12" i="3"/>
  <c r="W12" i="3" s="1"/>
  <c r="V44" i="3"/>
  <c r="V36" i="3"/>
  <c r="W36" i="3" s="1"/>
  <c r="N42" i="3"/>
  <c r="O42" i="3" s="1"/>
  <c r="V19" i="3"/>
  <c r="V17" i="3"/>
  <c r="X44" i="3"/>
  <c r="S50" i="3"/>
  <c r="AE42" i="3"/>
  <c r="O33" i="3"/>
  <c r="O9" i="3"/>
  <c r="AE27" i="3"/>
  <c r="X27" i="3"/>
  <c r="R27" i="3"/>
  <c r="AA27" i="3" s="1"/>
  <c r="O22" i="3"/>
  <c r="AE30" i="3"/>
  <c r="X30" i="3"/>
  <c r="W25" i="3"/>
  <c r="X36" i="3"/>
  <c r="AE36" i="3"/>
  <c r="N36" i="3"/>
  <c r="X17" i="3"/>
  <c r="AE17" i="3"/>
  <c r="N27" i="3"/>
  <c r="X14" i="3"/>
  <c r="AE14" i="3"/>
  <c r="AE32" i="3"/>
  <c r="X32" i="3"/>
  <c r="X13" i="3"/>
  <c r="AE13" i="3"/>
  <c r="N13" i="3"/>
  <c r="AE40" i="3"/>
  <c r="X40" i="3"/>
  <c r="R40" i="3"/>
  <c r="AA40" i="3" s="1"/>
  <c r="AE51" i="3"/>
  <c r="X51" i="3"/>
  <c r="R51" i="3"/>
  <c r="AA51" i="3" s="1"/>
  <c r="AE43" i="3"/>
  <c r="X43" i="3"/>
  <c r="W50" i="3"/>
  <c r="AE6" i="3"/>
  <c r="X6" i="3"/>
  <c r="R6" i="3"/>
  <c r="X18" i="3"/>
  <c r="AE18" i="3"/>
  <c r="N18" i="3"/>
  <c r="X10" i="3"/>
  <c r="R10" i="3"/>
  <c r="AA10" i="3" s="1"/>
  <c r="AE10" i="3"/>
  <c r="AE48" i="3"/>
  <c r="X48" i="3"/>
  <c r="AE8" i="3"/>
  <c r="N8" i="3"/>
  <c r="X8" i="3"/>
  <c r="V13" i="3"/>
  <c r="AE38" i="3"/>
  <c r="X38" i="3"/>
  <c r="R38" i="3"/>
  <c r="AA38" i="3" s="1"/>
  <c r="AE35" i="3"/>
  <c r="R35" i="3"/>
  <c r="AA35" i="3" s="1"/>
  <c r="X35" i="3"/>
  <c r="N35" i="3"/>
  <c r="R14" i="3"/>
  <c r="AA14" i="3" s="1"/>
  <c r="V27" i="3"/>
  <c r="O51" i="3"/>
  <c r="V51" i="3"/>
  <c r="AE19" i="3"/>
  <c r="X19" i="3"/>
  <c r="AE4" i="3"/>
  <c r="R4" i="3"/>
  <c r="AA4" i="3" s="1"/>
  <c r="X4" i="3"/>
  <c r="AE37" i="3"/>
  <c r="N37" i="3"/>
  <c r="X37" i="3"/>
  <c r="AE46" i="3"/>
  <c r="X46" i="3"/>
  <c r="V6" i="3"/>
  <c r="V10" i="3"/>
  <c r="N38" i="3"/>
  <c r="X47" i="3"/>
  <c r="AE47" i="3"/>
  <c r="N47" i="3"/>
  <c r="AE16" i="3"/>
  <c r="R16" i="3"/>
  <c r="AA16" i="3" s="1"/>
  <c r="X16" i="3"/>
  <c r="O25" i="3"/>
  <c r="S25" i="3"/>
  <c r="X45" i="3"/>
  <c r="N45" i="3"/>
  <c r="AE45" i="3"/>
  <c r="X33" i="3"/>
  <c r="AE33" i="3"/>
  <c r="AE9" i="3"/>
  <c r="X9" i="3"/>
  <c r="R9" i="3"/>
  <c r="AA9" i="3" s="1"/>
  <c r="V33" i="3"/>
  <c r="AE11" i="3"/>
  <c r="N11" i="3"/>
  <c r="X11" i="3"/>
  <c r="V35" i="3"/>
  <c r="AE21" i="3"/>
  <c r="N21" i="3"/>
  <c r="V21" i="3"/>
  <c r="X21" i="3"/>
  <c r="AE24" i="3"/>
  <c r="R24" i="3"/>
  <c r="W24" i="3" s="1"/>
  <c r="X24" i="3"/>
  <c r="AE22" i="3"/>
  <c r="X22" i="3"/>
  <c r="R22" i="3"/>
  <c r="AA22" i="3" s="1"/>
  <c r="X31" i="3"/>
  <c r="AE31" i="3"/>
  <c r="N31" i="3"/>
  <c r="N14" i="3"/>
  <c r="N19" i="3"/>
  <c r="N4" i="3"/>
  <c r="AE12" i="3"/>
  <c r="X12" i="3"/>
  <c r="V32" i="3"/>
  <c r="N46" i="3"/>
  <c r="V38" i="3"/>
  <c r="V14" i="3"/>
  <c r="N133" i="3"/>
  <c r="O133" i="3" s="1"/>
  <c r="X112" i="3"/>
  <c r="AE128" i="3"/>
  <c r="X173" i="3"/>
  <c r="R183" i="3"/>
  <c r="AA183" i="3" s="1"/>
  <c r="G141" i="3"/>
  <c r="V173" i="3"/>
  <c r="G173" i="3" s="1"/>
  <c r="AE117" i="3"/>
  <c r="AE112" i="3"/>
  <c r="R77" i="3"/>
  <c r="AA77" i="3" s="1"/>
  <c r="V128" i="3"/>
  <c r="F128" i="3" s="1"/>
  <c r="X133" i="3"/>
  <c r="R154" i="3"/>
  <c r="AA154" i="3" s="1"/>
  <c r="N157" i="3"/>
  <c r="O157" i="3" s="1"/>
  <c r="V183" i="3"/>
  <c r="F183" i="3" s="1"/>
  <c r="R113" i="3"/>
  <c r="AA113" i="3" s="1"/>
  <c r="X128" i="3"/>
  <c r="AE77" i="3"/>
  <c r="X116" i="3"/>
  <c r="AE103" i="3"/>
  <c r="V77" i="3"/>
  <c r="F77" i="3" s="1"/>
  <c r="N77" i="3"/>
  <c r="V93" i="3"/>
  <c r="G93" i="3" s="1"/>
  <c r="R104" i="3"/>
  <c r="AA104" i="3" s="1"/>
  <c r="V157" i="3"/>
  <c r="F157" i="3" s="1"/>
  <c r="AE154" i="3"/>
  <c r="AE157" i="3"/>
  <c r="X183" i="3"/>
  <c r="R173" i="3"/>
  <c r="AA173" i="3" s="1"/>
  <c r="R117" i="3"/>
  <c r="AA117" i="3" s="1"/>
  <c r="N112" i="3"/>
  <c r="S112" i="3" s="1"/>
  <c r="R128" i="3"/>
  <c r="AA128" i="3" s="1"/>
  <c r="V116" i="3"/>
  <c r="F116" i="3" s="1"/>
  <c r="AE111" i="3"/>
  <c r="AE133" i="3"/>
  <c r="N104" i="3"/>
  <c r="X154" i="3"/>
  <c r="AE183" i="3"/>
  <c r="V103" i="3"/>
  <c r="F103" i="3" s="1"/>
  <c r="Y103" i="3" s="1"/>
  <c r="AB103" i="3" s="1"/>
  <c r="G102" i="3"/>
  <c r="F102" i="3"/>
  <c r="G75" i="3"/>
  <c r="F75" i="3"/>
  <c r="G110" i="3"/>
  <c r="F110" i="3"/>
  <c r="G125" i="3"/>
  <c r="F125" i="3"/>
  <c r="G130" i="3"/>
  <c r="F130" i="3"/>
  <c r="F87" i="3"/>
  <c r="G87" i="3"/>
  <c r="F79" i="3"/>
  <c r="G79" i="3"/>
  <c r="S81" i="3"/>
  <c r="AA81" i="3"/>
  <c r="G84" i="3"/>
  <c r="F84" i="3"/>
  <c r="G104" i="3"/>
  <c r="F104" i="3"/>
  <c r="G95" i="3"/>
  <c r="F95" i="3"/>
  <c r="G73" i="3"/>
  <c r="G119" i="3"/>
  <c r="Z119" i="3" s="1"/>
  <c r="AC119" i="3" s="1"/>
  <c r="F119" i="3"/>
  <c r="Y119" i="3" s="1"/>
  <c r="AB119" i="3" s="1"/>
  <c r="F97" i="3"/>
  <c r="G97" i="3"/>
  <c r="G86" i="3"/>
  <c r="F86" i="3"/>
  <c r="G118" i="3"/>
  <c r="F118" i="3"/>
  <c r="G127" i="3"/>
  <c r="F127" i="3"/>
  <c r="R109" i="3"/>
  <c r="AA109" i="3" s="1"/>
  <c r="F88" i="3"/>
  <c r="G88" i="3"/>
  <c r="G91" i="3"/>
  <c r="F91" i="3"/>
  <c r="N111" i="3"/>
  <c r="S111" i="3" s="1"/>
  <c r="G90" i="3"/>
  <c r="F90" i="3"/>
  <c r="V72" i="3"/>
  <c r="W72" i="3" s="1"/>
  <c r="F98" i="3"/>
  <c r="G98" i="3"/>
  <c r="Z98" i="3" s="1"/>
  <c r="AC98" i="3" s="1"/>
  <c r="V92" i="3"/>
  <c r="W92" i="3" s="1"/>
  <c r="G71" i="3"/>
  <c r="F71" i="3"/>
  <c r="R87" i="3"/>
  <c r="AA87" i="3" s="1"/>
  <c r="N87" i="3"/>
  <c r="AE87" i="3"/>
  <c r="F133" i="3"/>
  <c r="G133" i="3"/>
  <c r="G131" i="3"/>
  <c r="F131" i="3"/>
  <c r="G99" i="3"/>
  <c r="F99" i="3"/>
  <c r="F114" i="3"/>
  <c r="G114" i="3"/>
  <c r="X87" i="3"/>
  <c r="X111" i="3"/>
  <c r="G74" i="3"/>
  <c r="F74" i="3"/>
  <c r="G106" i="3"/>
  <c r="F106" i="3"/>
  <c r="G120" i="3"/>
  <c r="F120" i="3"/>
  <c r="G83" i="3"/>
  <c r="F83" i="3"/>
  <c r="N92" i="3"/>
  <c r="O92" i="3" s="1"/>
  <c r="X92" i="3"/>
  <c r="AE92" i="3"/>
  <c r="G69" i="3"/>
  <c r="F69" i="3"/>
  <c r="AE94" i="3"/>
  <c r="N94" i="3"/>
  <c r="X94" i="3"/>
  <c r="R94" i="3"/>
  <c r="AA94" i="3" s="1"/>
  <c r="AE70" i="3"/>
  <c r="N70" i="3"/>
  <c r="X70" i="3"/>
  <c r="R70" i="3"/>
  <c r="AA70" i="3" s="1"/>
  <c r="AE114" i="3"/>
  <c r="X114" i="3"/>
  <c r="N114" i="3"/>
  <c r="R114" i="3"/>
  <c r="AA114" i="3" s="1"/>
  <c r="AE134" i="3"/>
  <c r="N134" i="3"/>
  <c r="X134" i="3"/>
  <c r="R134" i="3"/>
  <c r="AA134" i="3" s="1"/>
  <c r="S119" i="3"/>
  <c r="O119" i="3"/>
  <c r="X79" i="3"/>
  <c r="R79" i="3"/>
  <c r="AA79" i="3" s="1"/>
  <c r="N79" i="3"/>
  <c r="AE79" i="3"/>
  <c r="V134" i="3"/>
  <c r="W119" i="3"/>
  <c r="AE122" i="3"/>
  <c r="N122" i="3"/>
  <c r="X122" i="3"/>
  <c r="R122" i="3"/>
  <c r="AA122" i="3" s="1"/>
  <c r="X129" i="3"/>
  <c r="AE129" i="3"/>
  <c r="N129" i="3"/>
  <c r="R129" i="3"/>
  <c r="AA129" i="3" s="1"/>
  <c r="AE126" i="3"/>
  <c r="N126" i="3"/>
  <c r="X126" i="3"/>
  <c r="R126" i="3"/>
  <c r="AA126" i="3" s="1"/>
  <c r="O97" i="3"/>
  <c r="R105" i="3"/>
  <c r="AA105" i="3" s="1"/>
  <c r="X105" i="3"/>
  <c r="AE105" i="3"/>
  <c r="N105" i="3"/>
  <c r="AE91" i="3"/>
  <c r="R91" i="3"/>
  <c r="AA91" i="3" s="1"/>
  <c r="X91" i="3"/>
  <c r="N91" i="3"/>
  <c r="O108" i="3"/>
  <c r="R106" i="3"/>
  <c r="AA106" i="3" s="1"/>
  <c r="X106" i="3"/>
  <c r="N106" i="3"/>
  <c r="AE106" i="3"/>
  <c r="AE130" i="3"/>
  <c r="N130" i="3"/>
  <c r="X130" i="3"/>
  <c r="R130" i="3"/>
  <c r="AA130" i="3" s="1"/>
  <c r="W127" i="3"/>
  <c r="O101" i="3"/>
  <c r="S101" i="3"/>
  <c r="O128" i="3"/>
  <c r="V122" i="3"/>
  <c r="V129" i="3"/>
  <c r="W88" i="3"/>
  <c r="V70" i="3"/>
  <c r="AE110" i="3"/>
  <c r="R110" i="3"/>
  <c r="AA110" i="3" s="1"/>
  <c r="X110" i="3"/>
  <c r="N110" i="3"/>
  <c r="R90" i="3"/>
  <c r="AA90" i="3" s="1"/>
  <c r="X90" i="3"/>
  <c r="AE90" i="3"/>
  <c r="N90" i="3"/>
  <c r="AE78" i="3"/>
  <c r="N78" i="3"/>
  <c r="X78" i="3"/>
  <c r="R78" i="3"/>
  <c r="AA78" i="3" s="1"/>
  <c r="W84" i="3"/>
  <c r="V94" i="3"/>
  <c r="V126" i="3"/>
  <c r="R102" i="3"/>
  <c r="AA102" i="3" s="1"/>
  <c r="N102" i="3"/>
  <c r="X102" i="3"/>
  <c r="AE102" i="3"/>
  <c r="AE118" i="3"/>
  <c r="N118" i="3"/>
  <c r="X118" i="3"/>
  <c r="R118" i="3"/>
  <c r="AA118" i="3" s="1"/>
  <c r="X99" i="3"/>
  <c r="N99" i="3"/>
  <c r="AE99" i="3"/>
  <c r="R99" i="3"/>
  <c r="AA99" i="3" s="1"/>
  <c r="R95" i="3"/>
  <c r="AA95" i="3" s="1"/>
  <c r="AE95" i="3"/>
  <c r="N95" i="3"/>
  <c r="X95" i="3"/>
  <c r="AA124" i="3"/>
  <c r="W124" i="3"/>
  <c r="R131" i="3"/>
  <c r="AA131" i="3" s="1"/>
  <c r="AE131" i="3"/>
  <c r="N131" i="3"/>
  <c r="X131" i="3"/>
  <c r="S88" i="3"/>
  <c r="O88" i="3"/>
  <c r="AE82" i="3"/>
  <c r="N82" i="3"/>
  <c r="R82" i="3"/>
  <c r="AA82" i="3" s="1"/>
  <c r="X82" i="3"/>
  <c r="S76" i="3"/>
  <c r="O76" i="3"/>
  <c r="R115" i="3"/>
  <c r="AA115" i="3" s="1"/>
  <c r="AE115" i="3"/>
  <c r="N115" i="3"/>
  <c r="X115" i="3"/>
  <c r="AE71" i="3"/>
  <c r="R71" i="3"/>
  <c r="AA71" i="3" s="1"/>
  <c r="N71" i="3"/>
  <c r="X71" i="3"/>
  <c r="V78" i="3"/>
  <c r="S80" i="3"/>
  <c r="O80" i="3"/>
  <c r="AA112" i="3"/>
  <c r="X121" i="3"/>
  <c r="AE121" i="3"/>
  <c r="N121" i="3"/>
  <c r="R121" i="3"/>
  <c r="AA121" i="3" s="1"/>
  <c r="N83" i="3"/>
  <c r="X83" i="3"/>
  <c r="R83" i="3"/>
  <c r="AA83" i="3" s="1"/>
  <c r="AE83" i="3"/>
  <c r="R120" i="3"/>
  <c r="AA120" i="3" s="1"/>
  <c r="X120" i="3"/>
  <c r="AE120" i="3"/>
  <c r="N120" i="3"/>
  <c r="V121" i="3"/>
  <c r="AE74" i="3"/>
  <c r="N74" i="3"/>
  <c r="X74" i="3"/>
  <c r="R74" i="3"/>
  <c r="AA74" i="3" s="1"/>
  <c r="O132" i="3"/>
  <c r="O117" i="3"/>
  <c r="V82" i="3"/>
  <c r="X125" i="3"/>
  <c r="AE125" i="3"/>
  <c r="N125" i="3"/>
  <c r="R125" i="3"/>
  <c r="AA125" i="3" s="1"/>
  <c r="V105" i="3"/>
  <c r="V115" i="3"/>
  <c r="R86" i="3"/>
  <c r="AA86" i="3" s="1"/>
  <c r="X86" i="3"/>
  <c r="AE86" i="3"/>
  <c r="N86" i="3"/>
  <c r="W73" i="3"/>
  <c r="AE75" i="3"/>
  <c r="R75" i="3"/>
  <c r="AA75" i="3" s="1"/>
  <c r="X75" i="3"/>
  <c r="N75" i="3"/>
  <c r="W182" i="3"/>
  <c r="F182" i="3"/>
  <c r="Y182" i="3" s="1"/>
  <c r="AB182" i="3" s="1"/>
  <c r="G138" i="3"/>
  <c r="F138" i="3"/>
  <c r="V184" i="3"/>
  <c r="G184" i="3" s="1"/>
  <c r="Z184" i="3" s="1"/>
  <c r="AC184" i="3" s="1"/>
  <c r="X172" i="3"/>
  <c r="AE172" i="3"/>
  <c r="AE181" i="3"/>
  <c r="X179" i="3"/>
  <c r="V172" i="3"/>
  <c r="W172" i="3" s="1"/>
  <c r="N184" i="3"/>
  <c r="O184" i="3" s="1"/>
  <c r="V179" i="3"/>
  <c r="R184" i="3"/>
  <c r="AA184" i="3" s="1"/>
  <c r="AE170" i="3"/>
  <c r="AE179" i="3"/>
  <c r="AE184" i="3"/>
  <c r="G181" i="3"/>
  <c r="R142" i="3"/>
  <c r="AA142" i="3" s="1"/>
  <c r="X181" i="3"/>
  <c r="F170" i="3"/>
  <c r="G170" i="3"/>
  <c r="R180" i="3"/>
  <c r="AA180" i="3" s="1"/>
  <c r="AE180" i="3"/>
  <c r="X180" i="3"/>
  <c r="V180" i="3"/>
  <c r="X162" i="3"/>
  <c r="AE162" i="3"/>
  <c r="F136" i="3"/>
  <c r="G136" i="3"/>
  <c r="AA172" i="3"/>
  <c r="R162" i="3"/>
  <c r="AA162" i="3" s="1"/>
  <c r="F153" i="3"/>
  <c r="Y153" i="3" s="1"/>
  <c r="AB153" i="3" s="1"/>
  <c r="W153" i="3"/>
  <c r="G153" i="3"/>
  <c r="Z153" i="3" s="1"/>
  <c r="AC153" i="3" s="1"/>
  <c r="N162" i="3"/>
  <c r="O162" i="3" s="1"/>
  <c r="V162" i="3"/>
  <c r="F162" i="3" s="1"/>
  <c r="G178" i="3"/>
  <c r="Z178" i="3" s="1"/>
  <c r="AC178" i="3" s="1"/>
  <c r="F178" i="3"/>
  <c r="Y178" i="3" s="1"/>
  <c r="AB178" i="3" s="1"/>
  <c r="F137" i="3"/>
  <c r="G137" i="3"/>
  <c r="G164" i="3"/>
  <c r="F164" i="3"/>
  <c r="F149" i="3"/>
  <c r="G149" i="3"/>
  <c r="G143" i="3"/>
  <c r="F143" i="3"/>
  <c r="F159" i="3"/>
  <c r="G159" i="3"/>
  <c r="F165" i="3"/>
  <c r="G165" i="3"/>
  <c r="X146" i="3"/>
  <c r="R146" i="3"/>
  <c r="AA146" i="3" s="1"/>
  <c r="N146" i="3"/>
  <c r="AE146" i="3"/>
  <c r="G155" i="3"/>
  <c r="F155" i="3"/>
  <c r="F140" i="3"/>
  <c r="G140" i="3"/>
  <c r="X165" i="3"/>
  <c r="N165" i="3"/>
  <c r="R165" i="3"/>
  <c r="AA165" i="3" s="1"/>
  <c r="AE165" i="3"/>
  <c r="O142" i="3"/>
  <c r="N160" i="3"/>
  <c r="X160" i="3"/>
  <c r="R160" i="3"/>
  <c r="AA160" i="3" s="1"/>
  <c r="AE160" i="3"/>
  <c r="W147" i="3"/>
  <c r="G147" i="3"/>
  <c r="F147" i="3"/>
  <c r="R175" i="3"/>
  <c r="AA175" i="3" s="1"/>
  <c r="X175" i="3"/>
  <c r="N175" i="3"/>
  <c r="AE175" i="3"/>
  <c r="W141" i="3"/>
  <c r="F150" i="3"/>
  <c r="Y150" i="3" s="1"/>
  <c r="AB150" i="3" s="1"/>
  <c r="X166" i="3"/>
  <c r="N166" i="3"/>
  <c r="AE166" i="3"/>
  <c r="R166" i="3"/>
  <c r="AA166" i="3" s="1"/>
  <c r="F156" i="3"/>
  <c r="G156" i="3"/>
  <c r="G152" i="3"/>
  <c r="F152" i="3"/>
  <c r="AE144" i="3"/>
  <c r="R144" i="3"/>
  <c r="AA144" i="3" s="1"/>
  <c r="N144" i="3"/>
  <c r="X144" i="3"/>
  <c r="S182" i="3"/>
  <c r="O182" i="3"/>
  <c r="X167" i="3"/>
  <c r="N167" i="3"/>
  <c r="AE167" i="3"/>
  <c r="R167" i="3"/>
  <c r="AA167" i="3" s="1"/>
  <c r="X164" i="3"/>
  <c r="N164" i="3"/>
  <c r="AE164" i="3"/>
  <c r="R164" i="3"/>
  <c r="AA164" i="3" s="1"/>
  <c r="F148" i="3"/>
  <c r="G148" i="3"/>
  <c r="V167" i="3"/>
  <c r="O174" i="3"/>
  <c r="S174" i="3"/>
  <c r="AE143" i="3"/>
  <c r="N143" i="3"/>
  <c r="R143" i="3"/>
  <c r="AA143" i="3" s="1"/>
  <c r="X143" i="3"/>
  <c r="S153" i="3"/>
  <c r="O153" i="3"/>
  <c r="F160" i="3"/>
  <c r="G160" i="3"/>
  <c r="F168" i="3"/>
  <c r="G168" i="3"/>
  <c r="X163" i="3"/>
  <c r="N163" i="3"/>
  <c r="AE163" i="3"/>
  <c r="R163" i="3"/>
  <c r="AA163" i="3" s="1"/>
  <c r="F176" i="3"/>
  <c r="G176" i="3"/>
  <c r="W181" i="3"/>
  <c r="V166" i="3"/>
  <c r="X156" i="3"/>
  <c r="R156" i="3"/>
  <c r="AA156" i="3" s="1"/>
  <c r="N156" i="3"/>
  <c r="AE156" i="3"/>
  <c r="R152" i="3"/>
  <c r="AA152" i="3" s="1"/>
  <c r="N152" i="3"/>
  <c r="AE152" i="3"/>
  <c r="X152" i="3"/>
  <c r="V144" i="3"/>
  <c r="AA178" i="3"/>
  <c r="W178" i="3"/>
  <c r="W174" i="3"/>
  <c r="G174" i="3"/>
  <c r="Z174" i="3" s="1"/>
  <c r="AC174" i="3" s="1"/>
  <c r="F174" i="3"/>
  <c r="Y174" i="3" s="1"/>
  <c r="AB174" i="3" s="1"/>
  <c r="F146" i="3"/>
  <c r="G146" i="3"/>
  <c r="R149" i="3"/>
  <c r="AA149" i="3" s="1"/>
  <c r="X149" i="3"/>
  <c r="N149" i="3"/>
  <c r="AE149" i="3"/>
  <c r="X148" i="3"/>
  <c r="R148" i="3"/>
  <c r="AA148" i="3" s="1"/>
  <c r="AE148" i="3"/>
  <c r="N148" i="3"/>
  <c r="R137" i="3"/>
  <c r="AA137" i="3" s="1"/>
  <c r="AE137" i="3"/>
  <c r="X137" i="3"/>
  <c r="N137" i="3"/>
  <c r="AE159" i="3"/>
  <c r="N159" i="3"/>
  <c r="R159" i="3"/>
  <c r="AA159" i="3" s="1"/>
  <c r="X159" i="3"/>
  <c r="O173" i="3"/>
  <c r="Z182" i="3"/>
  <c r="AC182" i="3" s="1"/>
  <c r="O180" i="3"/>
  <c r="X168" i="3"/>
  <c r="N168" i="3"/>
  <c r="AE168" i="3"/>
  <c r="R168" i="3"/>
  <c r="AA168" i="3" s="1"/>
  <c r="V163" i="3"/>
  <c r="S178" i="3"/>
  <c r="O178" i="3"/>
  <c r="AE155" i="3"/>
  <c r="N155" i="3"/>
  <c r="X155" i="3"/>
  <c r="R155" i="3"/>
  <c r="AA155" i="3" s="1"/>
  <c r="R176" i="3"/>
  <c r="AA176" i="3" s="1"/>
  <c r="X176" i="3"/>
  <c r="AE176" i="3"/>
  <c r="N176" i="3"/>
  <c r="V175" i="3"/>
  <c r="AE140" i="3"/>
  <c r="R140" i="3"/>
  <c r="AA140" i="3" s="1"/>
  <c r="N140" i="3"/>
  <c r="X140" i="3"/>
  <c r="AE136" i="3"/>
  <c r="N136" i="3"/>
  <c r="R136" i="3"/>
  <c r="AA136" i="3" s="1"/>
  <c r="X136" i="3"/>
  <c r="U66" i="3" l="1"/>
  <c r="F139" i="3"/>
  <c r="Y139" i="3" s="1"/>
  <c r="AB139" i="3" s="1"/>
  <c r="G171" i="3"/>
  <c r="Z171" i="3" s="1"/>
  <c r="AC171" i="3" s="1"/>
  <c r="S177" i="3"/>
  <c r="T177" i="3" s="1"/>
  <c r="O139" i="3"/>
  <c r="S127" i="3"/>
  <c r="T127" i="3" s="1"/>
  <c r="S107" i="3"/>
  <c r="T107" i="3" s="1"/>
  <c r="T62" i="3"/>
  <c r="S181" i="3"/>
  <c r="T181" i="3" s="1"/>
  <c r="S147" i="3"/>
  <c r="U147" i="3" s="1"/>
  <c r="Y62" i="3"/>
  <c r="AB62" i="3" s="1"/>
  <c r="Z66" i="3"/>
  <c r="AC66" i="3" s="1"/>
  <c r="O61" i="3"/>
  <c r="S61" i="3"/>
  <c r="U61" i="3" s="1"/>
  <c r="T58" i="3"/>
  <c r="O65" i="3"/>
  <c r="S65" i="3"/>
  <c r="G67" i="3"/>
  <c r="F67" i="3"/>
  <c r="W67" i="3"/>
  <c r="Y52" i="3"/>
  <c r="AB52" i="3" s="1"/>
  <c r="Z52" i="3"/>
  <c r="AC52" i="3" s="1"/>
  <c r="U58" i="3"/>
  <c r="S59" i="3"/>
  <c r="T59" i="3" s="1"/>
  <c r="O59" i="3"/>
  <c r="Z61" i="3"/>
  <c r="AC61" i="3" s="1"/>
  <c r="Y61" i="3"/>
  <c r="AB61" i="3" s="1"/>
  <c r="Z63" i="3"/>
  <c r="AC63" i="3" s="1"/>
  <c r="Y63" i="3"/>
  <c r="AB63" i="3" s="1"/>
  <c r="Z67" i="3"/>
  <c r="AC67" i="3" s="1"/>
  <c r="Y67" i="3"/>
  <c r="AB67" i="3" s="1"/>
  <c r="W52" i="3"/>
  <c r="T54" i="3"/>
  <c r="U53" i="3"/>
  <c r="O60" i="3"/>
  <c r="S60" i="3"/>
  <c r="G55" i="3"/>
  <c r="Z55" i="3" s="1"/>
  <c r="AC55" i="3" s="1"/>
  <c r="W55" i="3"/>
  <c r="F55" i="3"/>
  <c r="S64" i="3"/>
  <c r="O64" i="3"/>
  <c r="W65" i="3"/>
  <c r="G65" i="3"/>
  <c r="Z65" i="3" s="1"/>
  <c r="AC65" i="3" s="1"/>
  <c r="F65" i="3"/>
  <c r="Y65" i="3" s="1"/>
  <c r="AB65" i="3" s="1"/>
  <c r="Y56" i="3"/>
  <c r="AB56" i="3" s="1"/>
  <c r="Y58" i="3"/>
  <c r="AB58" i="3" s="1"/>
  <c r="W59" i="3"/>
  <c r="S55" i="3"/>
  <c r="O55" i="3"/>
  <c r="S67" i="3"/>
  <c r="O67" i="3"/>
  <c r="Z57" i="3"/>
  <c r="AC57" i="3" s="1"/>
  <c r="Y57" i="3"/>
  <c r="AB57" i="3" s="1"/>
  <c r="T53" i="3"/>
  <c r="S52" i="3"/>
  <c r="U52" i="3" s="1"/>
  <c r="O52" i="3"/>
  <c r="O57" i="3"/>
  <c r="S57" i="3"/>
  <c r="T57" i="3" s="1"/>
  <c r="G56" i="3"/>
  <c r="Z56" i="3" s="1"/>
  <c r="AC56" i="3" s="1"/>
  <c r="F56" i="3"/>
  <c r="W56" i="3"/>
  <c r="U62" i="3"/>
  <c r="S56" i="3"/>
  <c r="O56" i="3"/>
  <c r="Z58" i="3"/>
  <c r="AC58" i="3" s="1"/>
  <c r="U57" i="3"/>
  <c r="S63" i="3"/>
  <c r="T63" i="3" s="1"/>
  <c r="O63" i="3"/>
  <c r="W63" i="3"/>
  <c r="W64" i="3"/>
  <c r="G64" i="3"/>
  <c r="F64" i="3"/>
  <c r="T64" i="3" s="1"/>
  <c r="Z59" i="3"/>
  <c r="AC59" i="3" s="1"/>
  <c r="Y59" i="3"/>
  <c r="AB59" i="3" s="1"/>
  <c r="Y64" i="3"/>
  <c r="AB64" i="3" s="1"/>
  <c r="Y66" i="3"/>
  <c r="AB66" i="3" s="1"/>
  <c r="W60" i="3"/>
  <c r="F60" i="3"/>
  <c r="Y60" i="3" s="1"/>
  <c r="AB60" i="3" s="1"/>
  <c r="G60" i="3"/>
  <c r="Z60" i="3" s="1"/>
  <c r="AC60" i="3" s="1"/>
  <c r="U54" i="3"/>
  <c r="W57" i="3"/>
  <c r="O169" i="3"/>
  <c r="Z170" i="3"/>
  <c r="AC170" i="3" s="1"/>
  <c r="S108" i="3"/>
  <c r="U108" i="3" s="1"/>
  <c r="W97" i="3"/>
  <c r="W29" i="3"/>
  <c r="G107" i="3"/>
  <c r="O147" i="3"/>
  <c r="O84" i="3"/>
  <c r="S97" i="3"/>
  <c r="T97" i="3" s="1"/>
  <c r="W107" i="3"/>
  <c r="F101" i="3"/>
  <c r="Y101" i="3" s="1"/>
  <c r="AB101" i="3" s="1"/>
  <c r="G169" i="3"/>
  <c r="Z169" i="3" s="1"/>
  <c r="AC169" i="3" s="1"/>
  <c r="S116" i="3"/>
  <c r="T116" i="3" s="1"/>
  <c r="F111" i="3"/>
  <c r="Y111" i="3" s="1"/>
  <c r="AB111" i="3" s="1"/>
  <c r="S29" i="3"/>
  <c r="Z161" i="3"/>
  <c r="AC161" i="3" s="1"/>
  <c r="S158" i="3"/>
  <c r="T158" i="3" s="1"/>
  <c r="S150" i="3"/>
  <c r="F142" i="3"/>
  <c r="Y169" i="3"/>
  <c r="AB169" i="3" s="1"/>
  <c r="Y177" i="3"/>
  <c r="AB177" i="3" s="1"/>
  <c r="S179" i="3"/>
  <c r="Y138" i="3"/>
  <c r="AB138" i="3" s="1"/>
  <c r="G81" i="3"/>
  <c r="Z81" i="3" s="1"/>
  <c r="AC81" i="3" s="1"/>
  <c r="O150" i="3"/>
  <c r="S100" i="3"/>
  <c r="F81" i="3"/>
  <c r="T81" i="3" s="1"/>
  <c r="O72" i="3"/>
  <c r="S7" i="3"/>
  <c r="W150" i="3"/>
  <c r="G158" i="3"/>
  <c r="W138" i="3"/>
  <c r="S141" i="3"/>
  <c r="U141" i="3" s="1"/>
  <c r="Y170" i="3"/>
  <c r="AB170" i="3" s="1"/>
  <c r="W133" i="3"/>
  <c r="W45" i="3"/>
  <c r="G101" i="3"/>
  <c r="Z101" i="3" s="1"/>
  <c r="AC101" i="3" s="1"/>
  <c r="S123" i="3"/>
  <c r="U123" i="3" s="1"/>
  <c r="O103" i="3"/>
  <c r="Y73" i="3"/>
  <c r="AB73" i="3" s="1"/>
  <c r="S89" i="3"/>
  <c r="U89" i="3" s="1"/>
  <c r="S128" i="3"/>
  <c r="T128" i="3" s="1"/>
  <c r="Y154" i="3"/>
  <c r="AB154" i="3" s="1"/>
  <c r="Z141" i="3"/>
  <c r="AC141" i="3" s="1"/>
  <c r="S17" i="3"/>
  <c r="Y132" i="3"/>
  <c r="AB132" i="3" s="1"/>
  <c r="G177" i="3"/>
  <c r="Z177" i="3" s="1"/>
  <c r="AC177" i="3" s="1"/>
  <c r="O170" i="3"/>
  <c r="W139" i="3"/>
  <c r="W169" i="3"/>
  <c r="S172" i="3"/>
  <c r="F108" i="3"/>
  <c r="Y108" i="3" s="1"/>
  <c r="AB108" i="3" s="1"/>
  <c r="W18" i="3"/>
  <c r="S109" i="3"/>
  <c r="T109" i="3" s="1"/>
  <c r="W112" i="3"/>
  <c r="G150" i="3"/>
  <c r="W177" i="3"/>
  <c r="G145" i="3"/>
  <c r="Z145" i="3" s="1"/>
  <c r="AC145" i="3" s="1"/>
  <c r="S73" i="3"/>
  <c r="T73" i="3" s="1"/>
  <c r="Z124" i="3"/>
  <c r="AC124" i="3" s="1"/>
  <c r="S5" i="3"/>
  <c r="Z100" i="3"/>
  <c r="AC100" i="3" s="1"/>
  <c r="F123" i="3"/>
  <c r="S124" i="3"/>
  <c r="G109" i="3"/>
  <c r="Z109" i="3" s="1"/>
  <c r="AC109" i="3" s="1"/>
  <c r="Z93" i="3"/>
  <c r="AC93" i="3" s="1"/>
  <c r="Z108" i="3"/>
  <c r="AC108" i="3" s="1"/>
  <c r="W151" i="3"/>
  <c r="W111" i="3"/>
  <c r="G132" i="3"/>
  <c r="Z132" i="3" s="1"/>
  <c r="AC132" i="3" s="1"/>
  <c r="W34" i="3"/>
  <c r="W48" i="3"/>
  <c r="S151" i="3"/>
  <c r="T151" i="3" s="1"/>
  <c r="W98" i="3"/>
  <c r="Y157" i="3"/>
  <c r="AB157" i="3" s="1"/>
  <c r="S30" i="3"/>
  <c r="Z154" i="3"/>
  <c r="AC154" i="3" s="1"/>
  <c r="S157" i="3"/>
  <c r="T157" i="3" s="1"/>
  <c r="S93" i="3"/>
  <c r="U93" i="3" s="1"/>
  <c r="F124" i="3"/>
  <c r="Y124" i="3" s="1"/>
  <c r="AB124" i="3" s="1"/>
  <c r="G151" i="3"/>
  <c r="W171" i="3"/>
  <c r="S132" i="3"/>
  <c r="T132" i="3" s="1"/>
  <c r="O109" i="3"/>
  <c r="F89" i="3"/>
  <c r="Y89" i="3" s="1"/>
  <c r="AB89" i="3" s="1"/>
  <c r="W30" i="3"/>
  <c r="S145" i="3"/>
  <c r="T145" i="3" s="1"/>
  <c r="S96" i="3"/>
  <c r="T96" i="3" s="1"/>
  <c r="G112" i="3"/>
  <c r="Z112" i="3" s="1"/>
  <c r="AC112" i="3" s="1"/>
  <c r="W123" i="3"/>
  <c r="W132" i="3"/>
  <c r="W3" i="3"/>
  <c r="W145" i="3"/>
  <c r="S171" i="3"/>
  <c r="U171" i="3" s="1"/>
  <c r="S138" i="3"/>
  <c r="T138" i="3" s="1"/>
  <c r="W89" i="3"/>
  <c r="Y104" i="3"/>
  <c r="AB104" i="3" s="1"/>
  <c r="S28" i="3"/>
  <c r="W158" i="3"/>
  <c r="S69" i="3"/>
  <c r="U69" i="3" s="1"/>
  <c r="O112" i="3"/>
  <c r="S34" i="3"/>
  <c r="W8" i="3"/>
  <c r="S20" i="3"/>
  <c r="S161" i="3"/>
  <c r="U161" i="3" s="1"/>
  <c r="W161" i="3"/>
  <c r="Z85" i="3"/>
  <c r="AC85" i="3" s="1"/>
  <c r="Y145" i="3"/>
  <c r="AB145" i="3" s="1"/>
  <c r="Z138" i="3"/>
  <c r="AC138" i="3" s="1"/>
  <c r="W96" i="3"/>
  <c r="W93" i="3"/>
  <c r="W5" i="3"/>
  <c r="S113" i="3"/>
  <c r="T113" i="3" s="1"/>
  <c r="W20" i="3"/>
  <c r="W80" i="3"/>
  <c r="S133" i="3"/>
  <c r="T133" i="3" s="1"/>
  <c r="W114" i="3"/>
  <c r="Y109" i="3"/>
  <c r="AB109" i="3" s="1"/>
  <c r="W170" i="3"/>
  <c r="W100" i="3"/>
  <c r="S26" i="3"/>
  <c r="Z104" i="3"/>
  <c r="AC104" i="3" s="1"/>
  <c r="S48" i="3"/>
  <c r="W117" i="3"/>
  <c r="O28" i="3"/>
  <c r="S41" i="3"/>
  <c r="W37" i="3"/>
  <c r="W103" i="3"/>
  <c r="S104" i="3"/>
  <c r="U104" i="3" s="1"/>
  <c r="W113" i="3"/>
  <c r="W104" i="3"/>
  <c r="Z117" i="3"/>
  <c r="AC117" i="3" s="1"/>
  <c r="G183" i="3"/>
  <c r="Z183" i="3" s="1"/>
  <c r="AC183" i="3" s="1"/>
  <c r="W108" i="3"/>
  <c r="G103" i="3"/>
  <c r="Z103" i="3" s="1"/>
  <c r="AC103" i="3" s="1"/>
  <c r="G96" i="3"/>
  <c r="Z96" i="3" s="1"/>
  <c r="AC96" i="3" s="1"/>
  <c r="S43" i="3"/>
  <c r="S98" i="3"/>
  <c r="T98" i="3" s="1"/>
  <c r="W157" i="3"/>
  <c r="G116" i="3"/>
  <c r="Z116" i="3" s="1"/>
  <c r="AC116" i="3" s="1"/>
  <c r="Z173" i="3"/>
  <c r="AC173" i="3" s="1"/>
  <c r="W23" i="3"/>
  <c r="S33" i="3"/>
  <c r="W76" i="3"/>
  <c r="G128" i="3"/>
  <c r="W85" i="3"/>
  <c r="F85" i="3"/>
  <c r="Y85" i="3" s="1"/>
  <c r="AB85" i="3" s="1"/>
  <c r="F100" i="3"/>
  <c r="Y100" i="3" s="1"/>
  <c r="AB100" i="3" s="1"/>
  <c r="F117" i="3"/>
  <c r="Y117" i="3" s="1"/>
  <c r="AB117" i="3" s="1"/>
  <c r="W43" i="3"/>
  <c r="W109" i="3"/>
  <c r="W42" i="3"/>
  <c r="S32" i="3"/>
  <c r="G80" i="3"/>
  <c r="Z80" i="3" s="1"/>
  <c r="AC80" i="3" s="1"/>
  <c r="G113" i="3"/>
  <c r="Z113" i="3" s="1"/>
  <c r="AC113" i="3" s="1"/>
  <c r="S23" i="3"/>
  <c r="O49" i="3"/>
  <c r="G76" i="3"/>
  <c r="Z76" i="3" s="1"/>
  <c r="AC76" i="3" s="1"/>
  <c r="U177" i="3"/>
  <c r="W91" i="3"/>
  <c r="W44" i="3"/>
  <c r="W15" i="3"/>
  <c r="G157" i="3"/>
  <c r="Z157" i="3" s="1"/>
  <c r="AC157" i="3" s="1"/>
  <c r="W116" i="3"/>
  <c r="W28" i="3"/>
  <c r="F93" i="3"/>
  <c r="Y93" i="3" s="1"/>
  <c r="AB93" i="3" s="1"/>
  <c r="W17" i="3"/>
  <c r="O3" i="3"/>
  <c r="S3" i="3"/>
  <c r="W49" i="3"/>
  <c r="S85" i="3"/>
  <c r="O85" i="3"/>
  <c r="W173" i="3"/>
  <c r="S92" i="3"/>
  <c r="Y112" i="3"/>
  <c r="AB112" i="3" s="1"/>
  <c r="T84" i="3"/>
  <c r="S117" i="3"/>
  <c r="U117" i="3" s="1"/>
  <c r="W90" i="3"/>
  <c r="Y128" i="3"/>
  <c r="AB128" i="3" s="1"/>
  <c r="U84" i="3"/>
  <c r="Y87" i="3"/>
  <c r="AB87" i="3" s="1"/>
  <c r="W47" i="3"/>
  <c r="Y116" i="3"/>
  <c r="AB116" i="3" s="1"/>
  <c r="W128" i="3"/>
  <c r="S39" i="3"/>
  <c r="S44" i="3"/>
  <c r="S15" i="3"/>
  <c r="O39" i="3"/>
  <c r="W9" i="3"/>
  <c r="W39" i="3"/>
  <c r="O44" i="3"/>
  <c r="S51" i="3"/>
  <c r="W19" i="3"/>
  <c r="O12" i="3"/>
  <c r="S12" i="3"/>
  <c r="W79" i="3"/>
  <c r="S42" i="3"/>
  <c r="W69" i="3"/>
  <c r="W26" i="3"/>
  <c r="W11" i="3"/>
  <c r="O11" i="3"/>
  <c r="S11" i="3"/>
  <c r="O38" i="3"/>
  <c r="S38" i="3"/>
  <c r="O4" i="3"/>
  <c r="S4" i="3"/>
  <c r="S40" i="3"/>
  <c r="W13" i="3"/>
  <c r="S13" i="3"/>
  <c r="O13" i="3"/>
  <c r="S9" i="3"/>
  <c r="W10" i="3"/>
  <c r="O35" i="3"/>
  <c r="S35" i="3"/>
  <c r="W6" i="3"/>
  <c r="S8" i="3"/>
  <c r="O8" i="3"/>
  <c r="S22" i="3"/>
  <c r="W16" i="3"/>
  <c r="W27" i="3"/>
  <c r="O27" i="3"/>
  <c r="S27" i="3"/>
  <c r="W40" i="3"/>
  <c r="O36" i="3"/>
  <c r="S36" i="3"/>
  <c r="S16" i="3"/>
  <c r="O45" i="3"/>
  <c r="S45" i="3"/>
  <c r="S47" i="3"/>
  <c r="O47" i="3"/>
  <c r="O18" i="3"/>
  <c r="S18" i="3"/>
  <c r="O46" i="3"/>
  <c r="S46" i="3"/>
  <c r="O19" i="3"/>
  <c r="S19" i="3"/>
  <c r="O21" i="3"/>
  <c r="S21" i="3"/>
  <c r="W32" i="3"/>
  <c r="W14" i="3"/>
  <c r="O14" i="3"/>
  <c r="S14" i="3"/>
  <c r="W33" i="3"/>
  <c r="W51" i="3"/>
  <c r="AA6" i="3"/>
  <c r="S6" i="3"/>
  <c r="W38" i="3"/>
  <c r="W21" i="3"/>
  <c r="O37" i="3"/>
  <c r="S37" i="3"/>
  <c r="S31" i="3"/>
  <c r="O31" i="3"/>
  <c r="AA24" i="3"/>
  <c r="S24" i="3"/>
  <c r="W35" i="3"/>
  <c r="W22" i="3"/>
  <c r="S10" i="3"/>
  <c r="W4" i="3"/>
  <c r="F173" i="3"/>
  <c r="Y173" i="3" s="1"/>
  <c r="AB173" i="3" s="1"/>
  <c r="W130" i="3"/>
  <c r="S154" i="3"/>
  <c r="T154" i="3" s="1"/>
  <c r="W142" i="3"/>
  <c r="W77" i="3"/>
  <c r="S77" i="3"/>
  <c r="T77" i="3" s="1"/>
  <c r="O77" i="3"/>
  <c r="O104" i="3"/>
  <c r="W71" i="3"/>
  <c r="G77" i="3"/>
  <c r="W154" i="3"/>
  <c r="Z111" i="3"/>
  <c r="AC111" i="3" s="1"/>
  <c r="S183" i="3"/>
  <c r="T183" i="3" s="1"/>
  <c r="S173" i="3"/>
  <c r="W183" i="3"/>
  <c r="W99" i="3"/>
  <c r="W86" i="3"/>
  <c r="Z73" i="3"/>
  <c r="AC73" i="3" s="1"/>
  <c r="T170" i="3"/>
  <c r="T112" i="3"/>
  <c r="Z181" i="3"/>
  <c r="AC181" i="3" s="1"/>
  <c r="T111" i="3"/>
  <c r="U111" i="3"/>
  <c r="G82" i="3"/>
  <c r="F82" i="3"/>
  <c r="W120" i="3"/>
  <c r="S87" i="3"/>
  <c r="O87" i="3"/>
  <c r="G115" i="3"/>
  <c r="F115" i="3"/>
  <c r="O111" i="3"/>
  <c r="W102" i="3"/>
  <c r="G78" i="3"/>
  <c r="F78" i="3"/>
  <c r="G72" i="3"/>
  <c r="U72" i="3" s="1"/>
  <c r="F72" i="3"/>
  <c r="T72" i="3" s="1"/>
  <c r="G134" i="3"/>
  <c r="F134" i="3"/>
  <c r="G70" i="3"/>
  <c r="F70" i="3"/>
  <c r="W75" i="3"/>
  <c r="W95" i="3"/>
  <c r="G126" i="3"/>
  <c r="Z126" i="3" s="1"/>
  <c r="AC126" i="3" s="1"/>
  <c r="F126" i="3"/>
  <c r="Y126" i="3" s="1"/>
  <c r="AB126" i="3" s="1"/>
  <c r="F129" i="3"/>
  <c r="Y129" i="3" s="1"/>
  <c r="AB129" i="3" s="1"/>
  <c r="G129" i="3"/>
  <c r="Z129" i="3" s="1"/>
  <c r="AC129" i="3" s="1"/>
  <c r="G92" i="3"/>
  <c r="Z92" i="3" s="1"/>
  <c r="AC92" i="3" s="1"/>
  <c r="F92" i="3"/>
  <c r="Y92" i="3" s="1"/>
  <c r="AB92" i="3" s="1"/>
  <c r="F105" i="3"/>
  <c r="G105" i="3"/>
  <c r="W106" i="3"/>
  <c r="W87" i="3"/>
  <c r="W131" i="3"/>
  <c r="Y98" i="3"/>
  <c r="AB98" i="3" s="1"/>
  <c r="F121" i="3"/>
  <c r="G121" i="3"/>
  <c r="G94" i="3"/>
  <c r="Z94" i="3" s="1"/>
  <c r="AC94" i="3" s="1"/>
  <c r="F94" i="3"/>
  <c r="G122" i="3"/>
  <c r="F122" i="3"/>
  <c r="S115" i="3"/>
  <c r="O115" i="3"/>
  <c r="Z120" i="3"/>
  <c r="AC120" i="3" s="1"/>
  <c r="Y120" i="3"/>
  <c r="AB120" i="3" s="1"/>
  <c r="Y77" i="3"/>
  <c r="AB77" i="3" s="1"/>
  <c r="S75" i="3"/>
  <c r="T75" i="3" s="1"/>
  <c r="O75" i="3"/>
  <c r="Y69" i="3"/>
  <c r="AB69" i="3" s="1"/>
  <c r="O120" i="3"/>
  <c r="S120" i="3"/>
  <c r="U120" i="3" s="1"/>
  <c r="W83" i="3"/>
  <c r="W125" i="3"/>
  <c r="Z131" i="3"/>
  <c r="AC131" i="3" s="1"/>
  <c r="Y131" i="3"/>
  <c r="AB131" i="3" s="1"/>
  <c r="S99" i="3"/>
  <c r="T99" i="3" s="1"/>
  <c r="O99" i="3"/>
  <c r="S110" i="3"/>
  <c r="U110" i="3" s="1"/>
  <c r="O110" i="3"/>
  <c r="W70" i="3"/>
  <c r="O105" i="3"/>
  <c r="S105" i="3"/>
  <c r="S126" i="3"/>
  <c r="O126" i="3"/>
  <c r="W134" i="3"/>
  <c r="Z89" i="3"/>
  <c r="AC89" i="3" s="1"/>
  <c r="W74" i="3"/>
  <c r="Z95" i="3"/>
  <c r="AC95" i="3" s="1"/>
  <c r="Y95" i="3"/>
  <c r="AB95" i="3" s="1"/>
  <c r="W115" i="3"/>
  <c r="T80" i="3"/>
  <c r="Y123" i="3"/>
  <c r="AB123" i="3" s="1"/>
  <c r="U124" i="3"/>
  <c r="O86" i="3"/>
  <c r="S86" i="3"/>
  <c r="U86" i="3" s="1"/>
  <c r="T76" i="3"/>
  <c r="Z123" i="3"/>
  <c r="AC123" i="3" s="1"/>
  <c r="O90" i="3"/>
  <c r="S90" i="3"/>
  <c r="U90" i="3" s="1"/>
  <c r="S106" i="3"/>
  <c r="U106" i="3" s="1"/>
  <c r="O106" i="3"/>
  <c r="W110" i="3"/>
  <c r="W82" i="3"/>
  <c r="O74" i="3"/>
  <c r="S74" i="3"/>
  <c r="T74" i="3" s="1"/>
  <c r="S71" i="3"/>
  <c r="T71" i="3" s="1"/>
  <c r="O71" i="3"/>
  <c r="U100" i="3"/>
  <c r="Z127" i="3"/>
  <c r="AC127" i="3" s="1"/>
  <c r="Z102" i="3"/>
  <c r="AC102" i="3" s="1"/>
  <c r="Y102" i="3"/>
  <c r="AB102" i="3" s="1"/>
  <c r="W126" i="3"/>
  <c r="W122" i="3"/>
  <c r="Z106" i="3"/>
  <c r="AC106" i="3" s="1"/>
  <c r="Y106" i="3"/>
  <c r="AB106" i="3" s="1"/>
  <c r="Y91" i="3"/>
  <c r="AB91" i="3" s="1"/>
  <c r="Z91" i="3"/>
  <c r="AC91" i="3" s="1"/>
  <c r="Z97" i="3"/>
  <c r="AC97" i="3" s="1"/>
  <c r="U119" i="3"/>
  <c r="S79" i="3"/>
  <c r="U79" i="3" s="1"/>
  <c r="O79" i="3"/>
  <c r="S114" i="3"/>
  <c r="U114" i="3" s="1"/>
  <c r="O114" i="3"/>
  <c r="Y133" i="3"/>
  <c r="AB133" i="3" s="1"/>
  <c r="Y107" i="3"/>
  <c r="AB107" i="3" s="1"/>
  <c r="O125" i="3"/>
  <c r="S125" i="3"/>
  <c r="U125" i="3" s="1"/>
  <c r="O121" i="3"/>
  <c r="S121" i="3"/>
  <c r="S131" i="3"/>
  <c r="U131" i="3" s="1"/>
  <c r="O131" i="3"/>
  <c r="Y110" i="3"/>
  <c r="AB110" i="3" s="1"/>
  <c r="Z110" i="3"/>
  <c r="AC110" i="3" s="1"/>
  <c r="U88" i="3"/>
  <c r="Z88" i="3"/>
  <c r="AC88" i="3" s="1"/>
  <c r="Z125" i="3"/>
  <c r="AC125" i="3" s="1"/>
  <c r="Y125" i="3"/>
  <c r="AB125" i="3" s="1"/>
  <c r="Y83" i="3"/>
  <c r="AB83" i="3" s="1"/>
  <c r="Z83" i="3"/>
  <c r="AC83" i="3" s="1"/>
  <c r="U81" i="3"/>
  <c r="Z75" i="3"/>
  <c r="AC75" i="3" s="1"/>
  <c r="Y75" i="3"/>
  <c r="AB75" i="3" s="1"/>
  <c r="Z74" i="3"/>
  <c r="AC74" i="3" s="1"/>
  <c r="Y74" i="3"/>
  <c r="AB74" i="3" s="1"/>
  <c r="Z87" i="3"/>
  <c r="AC87" i="3" s="1"/>
  <c r="W129" i="3"/>
  <c r="Z86" i="3"/>
  <c r="AC86" i="3" s="1"/>
  <c r="Y86" i="3"/>
  <c r="AB86" i="3" s="1"/>
  <c r="Z69" i="3"/>
  <c r="AC69" i="3" s="1"/>
  <c r="W78" i="3"/>
  <c r="Y84" i="3"/>
  <c r="AB84" i="3" s="1"/>
  <c r="S102" i="3"/>
  <c r="U102" i="3" s="1"/>
  <c r="O102" i="3"/>
  <c r="W94" i="3"/>
  <c r="Z90" i="3"/>
  <c r="AC90" i="3" s="1"/>
  <c r="Y90" i="3"/>
  <c r="AB90" i="3" s="1"/>
  <c r="Z130" i="3"/>
  <c r="AC130" i="3" s="1"/>
  <c r="Y130" i="3"/>
  <c r="AB130" i="3" s="1"/>
  <c r="S122" i="3"/>
  <c r="O122" i="3"/>
  <c r="Y97" i="3"/>
  <c r="AB97" i="3" s="1"/>
  <c r="T119" i="3"/>
  <c r="O134" i="3"/>
  <c r="S134" i="3"/>
  <c r="Z114" i="3"/>
  <c r="AC114" i="3" s="1"/>
  <c r="Y114" i="3"/>
  <c r="AB114" i="3" s="1"/>
  <c r="Z133" i="3"/>
  <c r="AC133" i="3" s="1"/>
  <c r="O94" i="3"/>
  <c r="S94" i="3"/>
  <c r="Z107" i="3"/>
  <c r="AC107" i="3" s="1"/>
  <c r="Z99" i="3"/>
  <c r="AC99" i="3" s="1"/>
  <c r="Y99" i="3"/>
  <c r="AB99" i="3" s="1"/>
  <c r="O70" i="3"/>
  <c r="S70" i="3"/>
  <c r="S95" i="3"/>
  <c r="U95" i="3" s="1"/>
  <c r="O95" i="3"/>
  <c r="O78" i="3"/>
  <c r="S78" i="3"/>
  <c r="W105" i="3"/>
  <c r="Y118" i="3"/>
  <c r="AB118" i="3" s="1"/>
  <c r="Z118" i="3"/>
  <c r="AC118" i="3" s="1"/>
  <c r="T88" i="3"/>
  <c r="Y88" i="3"/>
  <c r="AB88" i="3" s="1"/>
  <c r="S83" i="3"/>
  <c r="T83" i="3" s="1"/>
  <c r="O83" i="3"/>
  <c r="Y71" i="3"/>
  <c r="AB71" i="3" s="1"/>
  <c r="Z71" i="3"/>
  <c r="AC71" i="3" s="1"/>
  <c r="Y127" i="3"/>
  <c r="AB127" i="3" s="1"/>
  <c r="S118" i="3"/>
  <c r="T118" i="3" s="1"/>
  <c r="O118" i="3"/>
  <c r="S91" i="3"/>
  <c r="T91" i="3" s="1"/>
  <c r="O91" i="3"/>
  <c r="T103" i="3"/>
  <c r="W121" i="3"/>
  <c r="Z84" i="3"/>
  <c r="AC84" i="3" s="1"/>
  <c r="O82" i="3"/>
  <c r="S82" i="3"/>
  <c r="S130" i="3"/>
  <c r="T130" i="3" s="1"/>
  <c r="O130" i="3"/>
  <c r="O129" i="3"/>
  <c r="S129" i="3"/>
  <c r="Y79" i="3"/>
  <c r="AB79" i="3" s="1"/>
  <c r="Z79" i="3"/>
  <c r="AC79" i="3" s="1"/>
  <c r="W118" i="3"/>
  <c r="W184" i="3"/>
  <c r="S142" i="3"/>
  <c r="T142" i="3" s="1"/>
  <c r="W160" i="3"/>
  <c r="G162" i="3"/>
  <c r="Z162" i="3" s="1"/>
  <c r="AC162" i="3" s="1"/>
  <c r="F184" i="3"/>
  <c r="Y184" i="3" s="1"/>
  <c r="AB184" i="3" s="1"/>
  <c r="Y181" i="3"/>
  <c r="AB181" i="3" s="1"/>
  <c r="F179" i="3"/>
  <c r="W179" i="3"/>
  <c r="G179" i="3"/>
  <c r="W162" i="3"/>
  <c r="S162" i="3"/>
  <c r="W152" i="3"/>
  <c r="S184" i="3"/>
  <c r="U184" i="3" s="1"/>
  <c r="W146" i="3"/>
  <c r="U181" i="3"/>
  <c r="G172" i="3"/>
  <c r="F172" i="3"/>
  <c r="Y172" i="3" s="1"/>
  <c r="AB172" i="3" s="1"/>
  <c r="S180" i="3"/>
  <c r="U139" i="3"/>
  <c r="W156" i="3"/>
  <c r="T150" i="3"/>
  <c r="W180" i="3"/>
  <c r="G180" i="3"/>
  <c r="Z180" i="3" s="1"/>
  <c r="AC180" i="3" s="1"/>
  <c r="F180" i="3"/>
  <c r="T147" i="3"/>
  <c r="S137" i="3"/>
  <c r="U137" i="3" s="1"/>
  <c r="O137" i="3"/>
  <c r="S165" i="3"/>
  <c r="U165" i="3" s="1"/>
  <c r="O165" i="3"/>
  <c r="S140" i="3"/>
  <c r="U140" i="3" s="1"/>
  <c r="O140" i="3"/>
  <c r="Z137" i="3"/>
  <c r="AC137" i="3" s="1"/>
  <c r="Y137" i="3"/>
  <c r="AB137" i="3" s="1"/>
  <c r="S152" i="3"/>
  <c r="T152" i="3" s="1"/>
  <c r="O152" i="3"/>
  <c r="S143" i="3"/>
  <c r="T143" i="3" s="1"/>
  <c r="O143" i="3"/>
  <c r="O164" i="3"/>
  <c r="S164" i="3"/>
  <c r="T164" i="3" s="1"/>
  <c r="S160" i="3"/>
  <c r="T160" i="3" s="1"/>
  <c r="O160" i="3"/>
  <c r="Z165" i="3"/>
  <c r="AC165" i="3" s="1"/>
  <c r="Y165" i="3"/>
  <c r="AB165" i="3" s="1"/>
  <c r="U178" i="3"/>
  <c r="T178" i="3"/>
  <c r="Z159" i="3"/>
  <c r="AC159" i="3" s="1"/>
  <c r="Y159" i="3"/>
  <c r="AB159" i="3" s="1"/>
  <c r="Z164" i="3"/>
  <c r="AC164" i="3" s="1"/>
  <c r="Y164" i="3"/>
  <c r="AB164" i="3" s="1"/>
  <c r="S144" i="3"/>
  <c r="O144" i="3"/>
  <c r="Z176" i="3"/>
  <c r="AC176" i="3" s="1"/>
  <c r="Y176" i="3"/>
  <c r="AB176" i="3" s="1"/>
  <c r="T169" i="3"/>
  <c r="Z139" i="3"/>
  <c r="AC139" i="3" s="1"/>
  <c r="W140" i="3"/>
  <c r="W164" i="3"/>
  <c r="U182" i="3"/>
  <c r="T182" i="3"/>
  <c r="Y162" i="3"/>
  <c r="AB162" i="3" s="1"/>
  <c r="O163" i="3"/>
  <c r="S163" i="3"/>
  <c r="S146" i="3"/>
  <c r="T146" i="3" s="1"/>
  <c r="O146" i="3"/>
  <c r="T174" i="3"/>
  <c r="G144" i="3"/>
  <c r="W144" i="3"/>
  <c r="F144" i="3"/>
  <c r="O167" i="3"/>
  <c r="S167" i="3"/>
  <c r="Z147" i="3"/>
  <c r="AC147" i="3" s="1"/>
  <c r="Y151" i="3"/>
  <c r="AB151" i="3" s="1"/>
  <c r="Z146" i="3"/>
  <c r="AC146" i="3" s="1"/>
  <c r="Y146" i="3"/>
  <c r="AB146" i="3" s="1"/>
  <c r="W159" i="3"/>
  <c r="Y160" i="3"/>
  <c r="AB160" i="3" s="1"/>
  <c r="Z160" i="3"/>
  <c r="AC160" i="3" s="1"/>
  <c r="O176" i="3"/>
  <c r="S176" i="3"/>
  <c r="T176" i="3" s="1"/>
  <c r="W163" i="3"/>
  <c r="G163" i="3"/>
  <c r="F163" i="3"/>
  <c r="Y158" i="3"/>
  <c r="AB158" i="3" s="1"/>
  <c r="W143" i="3"/>
  <c r="W175" i="3"/>
  <c r="G175" i="3"/>
  <c r="Z175" i="3" s="1"/>
  <c r="AC175" i="3" s="1"/>
  <c r="F175" i="3"/>
  <c r="Y175" i="3" s="1"/>
  <c r="AB175" i="3" s="1"/>
  <c r="Z155" i="3"/>
  <c r="AC155" i="3" s="1"/>
  <c r="Y155" i="3"/>
  <c r="AB155" i="3" s="1"/>
  <c r="O168" i="3"/>
  <c r="S168" i="3"/>
  <c r="U168" i="3" s="1"/>
  <c r="Y148" i="3"/>
  <c r="AB148" i="3" s="1"/>
  <c r="Z148" i="3"/>
  <c r="AC148" i="3" s="1"/>
  <c r="U174" i="3"/>
  <c r="Y156" i="3"/>
  <c r="AB156" i="3" s="1"/>
  <c r="Z156" i="3"/>
  <c r="AC156" i="3" s="1"/>
  <c r="W176" i="3"/>
  <c r="W148" i="3"/>
  <c r="Y147" i="3"/>
  <c r="AB147" i="3" s="1"/>
  <c r="W155" i="3"/>
  <c r="W149" i="3"/>
  <c r="Y140" i="3"/>
  <c r="AB140" i="3" s="1"/>
  <c r="Z140" i="3"/>
  <c r="AC140" i="3" s="1"/>
  <c r="Z149" i="3"/>
  <c r="AC149" i="3" s="1"/>
  <c r="Y149" i="3"/>
  <c r="AB149" i="3" s="1"/>
  <c r="S148" i="3"/>
  <c r="T148" i="3" s="1"/>
  <c r="O148" i="3"/>
  <c r="U153" i="3"/>
  <c r="T153" i="3"/>
  <c r="O166" i="3"/>
  <c r="S166" i="3"/>
  <c r="O159" i="3"/>
  <c r="S159" i="3"/>
  <c r="U159" i="3" s="1"/>
  <c r="S156" i="3"/>
  <c r="T156" i="3" s="1"/>
  <c r="O156" i="3"/>
  <c r="O155" i="3"/>
  <c r="S155" i="3"/>
  <c r="T155" i="3" s="1"/>
  <c r="Y168" i="3"/>
  <c r="AB168" i="3" s="1"/>
  <c r="Z168" i="3"/>
  <c r="AC168" i="3" s="1"/>
  <c r="S149" i="3"/>
  <c r="U149" i="3" s="1"/>
  <c r="O149" i="3"/>
  <c r="Z152" i="3"/>
  <c r="AC152" i="3" s="1"/>
  <c r="Y152" i="3"/>
  <c r="AB152" i="3" s="1"/>
  <c r="Y142" i="3"/>
  <c r="AB142" i="3" s="1"/>
  <c r="W166" i="3"/>
  <c r="F166" i="3"/>
  <c r="Y166" i="3" s="1"/>
  <c r="AB166" i="3" s="1"/>
  <c r="G166" i="3"/>
  <c r="Z166" i="3" s="1"/>
  <c r="AC166" i="3" s="1"/>
  <c r="Y183" i="3"/>
  <c r="AB183" i="3" s="1"/>
  <c r="W168" i="3"/>
  <c r="U170" i="3"/>
  <c r="Y143" i="3"/>
  <c r="AB143" i="3" s="1"/>
  <c r="Z143" i="3"/>
  <c r="AC143" i="3" s="1"/>
  <c r="W167" i="3"/>
  <c r="F167" i="3"/>
  <c r="G167" i="3"/>
  <c r="Z167" i="3" s="1"/>
  <c r="AC167" i="3" s="1"/>
  <c r="T139" i="3"/>
  <c r="O175" i="3"/>
  <c r="S175" i="3"/>
  <c r="W165" i="3"/>
  <c r="W137" i="3"/>
  <c r="W136" i="3"/>
  <c r="Z136" i="3"/>
  <c r="AC136" i="3" s="1"/>
  <c r="Y136" i="3"/>
  <c r="AB136" i="3" s="1"/>
  <c r="S136" i="3"/>
  <c r="O136" i="3"/>
  <c r="T171" i="3" l="1"/>
  <c r="U127" i="3"/>
  <c r="U107" i="3"/>
  <c r="T69" i="3"/>
  <c r="T141" i="3"/>
  <c r="U150" i="3"/>
  <c r="U172" i="3"/>
  <c r="U97" i="3"/>
  <c r="U64" i="3"/>
  <c r="U151" i="3"/>
  <c r="U73" i="3"/>
  <c r="U179" i="3"/>
  <c r="T61" i="3"/>
  <c r="U158" i="3"/>
  <c r="T161" i="3"/>
  <c r="U63" i="3"/>
  <c r="U157" i="3"/>
  <c r="Z150" i="3"/>
  <c r="AC150" i="3" s="1"/>
  <c r="U138" i="3"/>
  <c r="T55" i="3"/>
  <c r="Y55" i="3"/>
  <c r="AB55" i="3" s="1"/>
  <c r="U60" i="3"/>
  <c r="T56" i="3"/>
  <c r="Z64" i="3"/>
  <c r="AC64" i="3" s="1"/>
  <c r="T60" i="3"/>
  <c r="U56" i="3"/>
  <c r="T67" i="3"/>
  <c r="U55" i="3"/>
  <c r="T65" i="3"/>
  <c r="T52" i="3"/>
  <c r="U59" i="3"/>
  <c r="U65" i="3"/>
  <c r="U67" i="3"/>
  <c r="Y81" i="3"/>
  <c r="AB81" i="3" s="1"/>
  <c r="T101" i="3"/>
  <c r="Z158" i="3"/>
  <c r="AC158" i="3" s="1"/>
  <c r="U169" i="3"/>
  <c r="U162" i="3"/>
  <c r="T124" i="3"/>
  <c r="T179" i="3"/>
  <c r="U101" i="3"/>
  <c r="T100" i="3"/>
  <c r="U109" i="3"/>
  <c r="U132" i="3"/>
  <c r="U128" i="3"/>
  <c r="T123" i="3"/>
  <c r="U103" i="3"/>
  <c r="T108" i="3"/>
  <c r="Z151" i="3"/>
  <c r="AC151" i="3" s="1"/>
  <c r="T89" i="3"/>
  <c r="U112" i="3"/>
  <c r="T104" i="3"/>
  <c r="U96" i="3"/>
  <c r="U116" i="3"/>
  <c r="U98" i="3"/>
  <c r="U145" i="3"/>
  <c r="T85" i="3"/>
  <c r="U133" i="3"/>
  <c r="T120" i="3"/>
  <c r="Z128" i="3"/>
  <c r="AC128" i="3" s="1"/>
  <c r="U113" i="3"/>
  <c r="T117" i="3"/>
  <c r="T93" i="3"/>
  <c r="U164" i="3"/>
  <c r="U85" i="3"/>
  <c r="U80" i="3"/>
  <c r="U99" i="3"/>
  <c r="T173" i="3"/>
  <c r="U76" i="3"/>
  <c r="U154" i="3"/>
  <c r="U183" i="3"/>
  <c r="U142" i="3"/>
  <c r="U173" i="3"/>
  <c r="U74" i="3"/>
  <c r="U77" i="3"/>
  <c r="U75" i="3"/>
  <c r="T115" i="3"/>
  <c r="T86" i="3"/>
  <c r="U134" i="3"/>
  <c r="U115" i="3"/>
  <c r="U122" i="3"/>
  <c r="T79" i="3"/>
  <c r="Z77" i="3"/>
  <c r="AC77" i="3" s="1"/>
  <c r="U105" i="3"/>
  <c r="T165" i="3"/>
  <c r="U121" i="3"/>
  <c r="T90" i="3"/>
  <c r="T102" i="3"/>
  <c r="U92" i="3"/>
  <c r="T122" i="3"/>
  <c r="T134" i="3"/>
  <c r="Z115" i="3"/>
  <c r="AC115" i="3" s="1"/>
  <c r="U82" i="3"/>
  <c r="Y72" i="3"/>
  <c r="AB72" i="3" s="1"/>
  <c r="T92" i="3"/>
  <c r="U78" i="3"/>
  <c r="Z122" i="3"/>
  <c r="AC122" i="3" s="1"/>
  <c r="T131" i="3"/>
  <c r="T106" i="3"/>
  <c r="U83" i="3"/>
  <c r="T78" i="3"/>
  <c r="Z72" i="3"/>
  <c r="AC72" i="3" s="1"/>
  <c r="U130" i="3"/>
  <c r="T95" i="3"/>
  <c r="U87" i="3"/>
  <c r="T87" i="3"/>
  <c r="Z105" i="3"/>
  <c r="AC105" i="3" s="1"/>
  <c r="T110" i="3"/>
  <c r="T121" i="3"/>
  <c r="T105" i="3"/>
  <c r="U71" i="3"/>
  <c r="U91" i="3"/>
  <c r="Y105" i="3"/>
  <c r="AB105" i="3" s="1"/>
  <c r="T82" i="3"/>
  <c r="Y115" i="3"/>
  <c r="AB115" i="3" s="1"/>
  <c r="U94" i="3"/>
  <c r="Y122" i="3"/>
  <c r="AB122" i="3" s="1"/>
  <c r="T94" i="3"/>
  <c r="Y134" i="3"/>
  <c r="AB134" i="3" s="1"/>
  <c r="T125" i="3"/>
  <c r="U129" i="3"/>
  <c r="U118" i="3"/>
  <c r="Z134" i="3"/>
  <c r="AC134" i="3" s="1"/>
  <c r="Y82" i="3"/>
  <c r="AB82" i="3" s="1"/>
  <c r="Z121" i="3"/>
  <c r="AC121" i="3" s="1"/>
  <c r="Y78" i="3"/>
  <c r="AB78" i="3" s="1"/>
  <c r="T70" i="3"/>
  <c r="T114" i="3"/>
  <c r="Z78" i="3"/>
  <c r="AC78" i="3" s="1"/>
  <c r="T129" i="3"/>
  <c r="U126" i="3"/>
  <c r="Z82" i="3"/>
  <c r="AC82" i="3" s="1"/>
  <c r="Y70" i="3"/>
  <c r="AB70" i="3" s="1"/>
  <c r="U70" i="3"/>
  <c r="Y121" i="3"/>
  <c r="AB121" i="3" s="1"/>
  <c r="Y94" i="3"/>
  <c r="AB94" i="3" s="1"/>
  <c r="T126" i="3"/>
  <c r="Z70" i="3"/>
  <c r="AC70" i="3" s="1"/>
  <c r="T184" i="3"/>
  <c r="U146" i="3"/>
  <c r="T162" i="3"/>
  <c r="U156" i="3"/>
  <c r="Y179" i="3"/>
  <c r="AB179" i="3" s="1"/>
  <c r="Z172" i="3"/>
  <c r="AC172" i="3" s="1"/>
  <c r="T180" i="3"/>
  <c r="T172" i="3"/>
  <c r="Z179" i="3"/>
  <c r="AC179" i="3" s="1"/>
  <c r="T167" i="3"/>
  <c r="T137" i="3"/>
  <c r="Y167" i="3"/>
  <c r="AB167" i="3" s="1"/>
  <c r="U167" i="3"/>
  <c r="T149" i="3"/>
  <c r="U180" i="3"/>
  <c r="U143" i="3"/>
  <c r="U160" i="3"/>
  <c r="T140" i="3"/>
  <c r="Y180" i="3"/>
  <c r="AB180" i="3" s="1"/>
  <c r="U148" i="3"/>
  <c r="T163" i="3"/>
  <c r="U155" i="3"/>
  <c r="T168" i="3"/>
  <c r="U175" i="3"/>
  <c r="U152" i="3"/>
  <c r="T159" i="3"/>
  <c r="U176" i="3"/>
  <c r="U163" i="3"/>
  <c r="Y163" i="3"/>
  <c r="AB163" i="3" s="1"/>
  <c r="T144" i="3"/>
  <c r="Z163" i="3"/>
  <c r="AC163" i="3" s="1"/>
  <c r="Y144" i="3"/>
  <c r="AB144" i="3" s="1"/>
  <c r="U166" i="3"/>
  <c r="T166" i="3"/>
  <c r="T175" i="3"/>
  <c r="U144" i="3"/>
  <c r="Z144" i="3"/>
  <c r="AC144" i="3" s="1"/>
  <c r="U136" i="3"/>
  <c r="T136" i="3"/>
  <c r="F12" i="3" l="1"/>
  <c r="T12" i="3" s="1"/>
  <c r="F5" i="3"/>
  <c r="T5" i="3" s="1"/>
  <c r="F7" i="3"/>
  <c r="T7" i="3" s="1"/>
  <c r="F14" i="3"/>
  <c r="Y14" i="3" s="1"/>
  <c r="AB14" i="3" s="1"/>
  <c r="F51" i="3"/>
  <c r="Y51" i="3" s="1"/>
  <c r="AB51" i="3" s="1"/>
  <c r="T51" i="3"/>
  <c r="F17" i="3"/>
  <c r="T17" i="3" s="1"/>
  <c r="F38" i="3"/>
  <c r="T38" i="3" s="1"/>
  <c r="F15" i="3"/>
  <c r="T15" i="3" s="1"/>
  <c r="F9" i="3"/>
  <c r="T9" i="3" s="1"/>
  <c r="Y9" i="3"/>
  <c r="AB9" i="3" s="1"/>
  <c r="F35" i="3"/>
  <c r="T35" i="3" s="1"/>
  <c r="Y35" i="3"/>
  <c r="AB35" i="3" s="1"/>
  <c r="F10" i="3"/>
  <c r="T10" i="3" s="1"/>
  <c r="F36" i="3"/>
  <c r="T36" i="3" s="1"/>
  <c r="F46" i="3"/>
  <c r="T46" i="3" s="1"/>
  <c r="F32" i="3"/>
  <c r="Y32" i="3" s="1"/>
  <c r="AB32" i="3" s="1"/>
  <c r="F42" i="3"/>
  <c r="T42" i="3" s="1"/>
  <c r="Y42" i="3"/>
  <c r="AB42" i="3" s="1"/>
  <c r="F43" i="3"/>
  <c r="T43" i="3" s="1"/>
  <c r="F19" i="3"/>
  <c r="T19" i="3" s="1"/>
  <c r="F20" i="3"/>
  <c r="T20" i="3" s="1"/>
  <c r="F30" i="3"/>
  <c r="T30" i="3" s="1"/>
  <c r="Y30" i="3"/>
  <c r="AB30" i="3" s="1"/>
  <c r="F13" i="3"/>
  <c r="T13" i="3" s="1"/>
  <c r="Y13" i="3"/>
  <c r="AB13" i="3" s="1"/>
  <c r="F33" i="3"/>
  <c r="T33" i="3" s="1"/>
  <c r="F22" i="3"/>
  <c r="T22" i="3" s="1"/>
  <c r="F27" i="3"/>
  <c r="T27" i="3" s="1"/>
  <c r="F21" i="3"/>
  <c r="Y21" i="3" s="1"/>
  <c r="AB21" i="3" s="1"/>
  <c r="F6" i="3"/>
  <c r="T6" i="3" s="1"/>
  <c r="Y6" i="3"/>
  <c r="AB6" i="3" s="1"/>
  <c r="F49" i="3"/>
  <c r="T49" i="3" s="1"/>
  <c r="F47" i="3"/>
  <c r="T47" i="3" s="1"/>
  <c r="F3" i="3"/>
  <c r="T3" i="3" s="1"/>
  <c r="F26" i="3"/>
  <c r="T26" i="3" s="1"/>
  <c r="F48" i="3"/>
  <c r="T48" i="3" s="1"/>
  <c r="F44" i="3"/>
  <c r="T44" i="3" s="1"/>
  <c r="F50" i="3"/>
  <c r="Y50" i="3" s="1"/>
  <c r="AB50" i="3" s="1"/>
  <c r="F31" i="3"/>
  <c r="T31" i="3" s="1"/>
  <c r="Y31" i="3"/>
  <c r="AB31" i="3" s="1"/>
  <c r="F39" i="3"/>
  <c r="Y39" i="3" s="1"/>
  <c r="AB39" i="3" s="1"/>
  <c r="F41" i="3"/>
  <c r="T41" i="3" s="1"/>
  <c r="F23" i="3"/>
  <c r="T23" i="3" s="1"/>
  <c r="F40" i="3"/>
  <c r="T40" i="3" s="1"/>
  <c r="Y40" i="3"/>
  <c r="AB40" i="3" s="1"/>
  <c r="F8" i="3"/>
  <c r="T8" i="3" s="1"/>
  <c r="Y8" i="3"/>
  <c r="AB8" i="3" s="1"/>
  <c r="F16" i="3"/>
  <c r="T16" i="3" s="1"/>
  <c r="T24" i="3"/>
  <c r="F24" i="3"/>
  <c r="Y24" i="3" s="1"/>
  <c r="AB24" i="3" s="1"/>
  <c r="F18" i="3"/>
  <c r="T18" i="3" s="1"/>
  <c r="Y18" i="3"/>
  <c r="AB18" i="3" s="1"/>
  <c r="F37" i="3"/>
  <c r="T37" i="3" s="1"/>
  <c r="Y37" i="3"/>
  <c r="AB37" i="3" s="1"/>
  <c r="F25" i="3"/>
  <c r="T25" i="3" s="1"/>
  <c r="F45" i="3"/>
  <c r="T45" i="3" s="1"/>
  <c r="Y45" i="3"/>
  <c r="AB45" i="3" s="1"/>
  <c r="F11" i="3"/>
  <c r="T11" i="3" s="1"/>
  <c r="F4" i="3"/>
  <c r="T4" i="3" s="1"/>
  <c r="Y4" i="3"/>
  <c r="AB4" i="3" s="1"/>
  <c r="F29" i="3"/>
  <c r="Y29" i="3" s="1"/>
  <c r="AB29" i="3" s="1"/>
  <c r="F34" i="3"/>
  <c r="Y34" i="3" s="1"/>
  <c r="AB34" i="3" s="1"/>
  <c r="T34" i="3"/>
  <c r="F28" i="3"/>
  <c r="T28" i="3" s="1"/>
  <c r="G25" i="3"/>
  <c r="Z25" i="3" s="1"/>
  <c r="AC25" i="3" s="1"/>
  <c r="G41" i="3"/>
  <c r="U41" i="3" s="1"/>
  <c r="G12" i="3"/>
  <c r="Z12" i="3" s="1"/>
  <c r="AC12" i="3" s="1"/>
  <c r="G28" i="3"/>
  <c r="U28" i="3" s="1"/>
  <c r="G17" i="3"/>
  <c r="U17" i="3" s="1"/>
  <c r="Z17" i="3"/>
  <c r="AC17" i="3" s="1"/>
  <c r="G33" i="3"/>
  <c r="Z33" i="3" s="1"/>
  <c r="AC33" i="3" s="1"/>
  <c r="G49" i="3"/>
  <c r="Z49" i="3" s="1"/>
  <c r="AC49" i="3" s="1"/>
  <c r="G9" i="3"/>
  <c r="U9" i="3" s="1"/>
  <c r="G6" i="3"/>
  <c r="U6" i="3" s="1"/>
  <c r="Z6" i="3"/>
  <c r="AC6" i="3" s="1"/>
  <c r="G10" i="3"/>
  <c r="Z10" i="3" s="1"/>
  <c r="AC10" i="3" s="1"/>
  <c r="U10" i="3"/>
  <c r="G14" i="3"/>
  <c r="U14" i="3" s="1"/>
  <c r="G18" i="3"/>
  <c r="U18" i="3" s="1"/>
  <c r="G22" i="3"/>
  <c r="U22" i="3" s="1"/>
  <c r="G26" i="3"/>
  <c r="Z26" i="3" s="1"/>
  <c r="AC26" i="3" s="1"/>
  <c r="G30" i="3"/>
  <c r="U30" i="3" s="1"/>
  <c r="Z30" i="3"/>
  <c r="AC30" i="3" s="1"/>
  <c r="G34" i="3"/>
  <c r="U34" i="3" s="1"/>
  <c r="G38" i="3"/>
  <c r="Z38" i="3" s="1"/>
  <c r="AC38" i="3" s="1"/>
  <c r="G42" i="3"/>
  <c r="U42" i="3" s="1"/>
  <c r="Z42" i="3"/>
  <c r="AC42" i="3" s="1"/>
  <c r="G46" i="3"/>
  <c r="U46" i="3" s="1"/>
  <c r="G50" i="3"/>
  <c r="Z50" i="3" s="1"/>
  <c r="AC50" i="3" s="1"/>
  <c r="G4" i="3"/>
  <c r="U4" i="3" s="1"/>
  <c r="G44" i="3"/>
  <c r="U44" i="3" s="1"/>
  <c r="Z44" i="3"/>
  <c r="AC44" i="3" s="1"/>
  <c r="G8" i="3"/>
  <c r="Z8" i="3" s="1"/>
  <c r="AC8" i="3" s="1"/>
  <c r="G20" i="3"/>
  <c r="U20" i="3" s="1"/>
  <c r="Z20" i="3"/>
  <c r="AC20" i="3" s="1"/>
  <c r="G36" i="3"/>
  <c r="Z36" i="3" s="1"/>
  <c r="AC36" i="3" s="1"/>
  <c r="G29" i="3"/>
  <c r="U29" i="3" s="1"/>
  <c r="Z29" i="3"/>
  <c r="AC29" i="3" s="1"/>
  <c r="G45" i="3"/>
  <c r="U45" i="3" s="1"/>
  <c r="Z45" i="3"/>
  <c r="AC45" i="3" s="1"/>
  <c r="G24" i="3"/>
  <c r="U24" i="3" s="1"/>
  <c r="U40" i="3"/>
  <c r="G40" i="3"/>
  <c r="Z40" i="3"/>
  <c r="AC40" i="3" s="1"/>
  <c r="G16" i="3"/>
  <c r="U16" i="3" s="1"/>
  <c r="G32" i="3"/>
  <c r="Z32" i="3" s="1"/>
  <c r="AC32" i="3" s="1"/>
  <c r="U32" i="3"/>
  <c r="G48" i="3"/>
  <c r="U48" i="3" s="1"/>
  <c r="G5" i="3"/>
  <c r="Z5" i="3" s="1"/>
  <c r="AC5" i="3" s="1"/>
  <c r="G21" i="3"/>
  <c r="U21" i="3" s="1"/>
  <c r="Z21" i="3"/>
  <c r="AC21" i="3" s="1"/>
  <c r="G37" i="3"/>
  <c r="U37" i="3" s="1"/>
  <c r="Z37" i="3"/>
  <c r="AC37" i="3" s="1"/>
  <c r="G13" i="3"/>
  <c r="U13" i="3" s="1"/>
  <c r="G3" i="3"/>
  <c r="U3" i="3" s="1"/>
  <c r="G7" i="3"/>
  <c r="U7" i="3" s="1"/>
  <c r="G11" i="3"/>
  <c r="U11" i="3" s="1"/>
  <c r="G15" i="3"/>
  <c r="U15" i="3" s="1"/>
  <c r="Z15" i="3"/>
  <c r="AC15" i="3" s="1"/>
  <c r="G19" i="3"/>
  <c r="U19" i="3" s="1"/>
  <c r="G23" i="3"/>
  <c r="U23" i="3" s="1"/>
  <c r="G27" i="3"/>
  <c r="U27" i="3" s="1"/>
  <c r="G31" i="3"/>
  <c r="U31" i="3" s="1"/>
  <c r="G35" i="3"/>
  <c r="Z35" i="3" s="1"/>
  <c r="AC35" i="3" s="1"/>
  <c r="G39" i="3"/>
  <c r="U39" i="3" s="1"/>
  <c r="G43" i="3"/>
  <c r="U43" i="3" s="1"/>
  <c r="Z43" i="3"/>
  <c r="AC43" i="3" s="1"/>
  <c r="G47" i="3"/>
  <c r="U47" i="3" s="1"/>
  <c r="Z47" i="3"/>
  <c r="AC47" i="3" s="1"/>
  <c r="G51" i="3"/>
  <c r="U51" i="3" s="1"/>
  <c r="Z22" i="3" l="1"/>
  <c r="AC22" i="3" s="1"/>
  <c r="Y15" i="3"/>
  <c r="AB15" i="3" s="1"/>
  <c r="Y7" i="3"/>
  <c r="AB7" i="3" s="1"/>
  <c r="Y36" i="3"/>
  <c r="AB36" i="3" s="1"/>
  <c r="Z48" i="3"/>
  <c r="AC48" i="3" s="1"/>
  <c r="Z24" i="3"/>
  <c r="AC24" i="3" s="1"/>
  <c r="U25" i="3"/>
  <c r="Y11" i="3"/>
  <c r="AB11" i="3" s="1"/>
  <c r="Y26" i="3"/>
  <c r="AB26" i="3" s="1"/>
  <c r="Y38" i="3"/>
  <c r="AB38" i="3" s="1"/>
  <c r="Z27" i="3"/>
  <c r="AC27" i="3" s="1"/>
  <c r="Z14" i="3"/>
  <c r="AC14" i="3" s="1"/>
  <c r="Y43" i="3"/>
  <c r="AB43" i="3" s="1"/>
  <c r="Z51" i="3"/>
  <c r="AC51" i="3" s="1"/>
  <c r="U35" i="3"/>
  <c r="Z19" i="3"/>
  <c r="AC19" i="3" s="1"/>
  <c r="Z13" i="3"/>
  <c r="AC13" i="3" s="1"/>
  <c r="U36" i="3"/>
  <c r="U33" i="3"/>
  <c r="Y25" i="3"/>
  <c r="AB25" i="3" s="1"/>
  <c r="Y16" i="3"/>
  <c r="AB16" i="3" s="1"/>
  <c r="Y41" i="3"/>
  <c r="AB41" i="3" s="1"/>
  <c r="Y48" i="3"/>
  <c r="AB48" i="3" s="1"/>
  <c r="Y49" i="3"/>
  <c r="AB49" i="3" s="1"/>
  <c r="Y19" i="3"/>
  <c r="AB19" i="3" s="1"/>
  <c r="Y5" i="3"/>
  <c r="AB5" i="3" s="1"/>
  <c r="Z7" i="3"/>
  <c r="AC7" i="3" s="1"/>
  <c r="U38" i="3"/>
  <c r="Z18" i="3"/>
  <c r="AC18" i="3" s="1"/>
  <c r="Z9" i="3"/>
  <c r="AC9" i="3" s="1"/>
  <c r="T29" i="3"/>
  <c r="T50" i="3"/>
  <c r="Y17" i="3"/>
  <c r="AB17" i="3" s="1"/>
  <c r="Z39" i="3"/>
  <c r="AC39" i="3" s="1"/>
  <c r="Z23" i="3"/>
  <c r="AC23" i="3" s="1"/>
  <c r="Z4" i="3"/>
  <c r="AC4" i="3" s="1"/>
  <c r="Z41" i="3"/>
  <c r="AC41" i="3" s="1"/>
  <c r="Y23" i="3"/>
  <c r="AB23" i="3" s="1"/>
  <c r="Y47" i="3"/>
  <c r="AB47" i="3" s="1"/>
  <c r="Y22" i="3"/>
  <c r="AB22" i="3" s="1"/>
  <c r="Y20" i="3"/>
  <c r="AB20" i="3" s="1"/>
  <c r="T32" i="3"/>
  <c r="Z3" i="3"/>
  <c r="AC3" i="3" s="1"/>
  <c r="Y3" i="3"/>
  <c r="AB3" i="3" s="1"/>
  <c r="U12" i="3"/>
  <c r="Z11" i="3"/>
  <c r="AC11" i="3" s="1"/>
  <c r="U5" i="3"/>
  <c r="U8" i="3"/>
  <c r="Z46" i="3"/>
  <c r="AC46" i="3" s="1"/>
  <c r="Z34" i="3"/>
  <c r="AC34" i="3" s="1"/>
  <c r="U49" i="3"/>
  <c r="Y28" i="3"/>
  <c r="AB28" i="3" s="1"/>
  <c r="T39" i="3"/>
  <c r="Y27" i="3"/>
  <c r="AB27" i="3" s="1"/>
  <c r="Y46" i="3"/>
  <c r="AB46" i="3" s="1"/>
  <c r="T14" i="3"/>
  <c r="Z31" i="3"/>
  <c r="AC31" i="3" s="1"/>
  <c r="Z16" i="3"/>
  <c r="AC16" i="3" s="1"/>
  <c r="U26" i="3"/>
  <c r="Y44" i="3"/>
  <c r="AB44" i="3" s="1"/>
  <c r="Y33" i="3"/>
  <c r="AB33" i="3" s="1"/>
  <c r="Y10" i="3"/>
  <c r="AB10" i="3" s="1"/>
  <c r="U50" i="3"/>
  <c r="Z28" i="3"/>
  <c r="AC28" i="3" s="1"/>
  <c r="T21" i="3"/>
  <c r="Y12" i="3"/>
  <c r="AB12" i="3" s="1"/>
</calcChain>
</file>

<file path=xl/sharedStrings.xml><?xml version="1.0" encoding="utf-8"?>
<sst xmlns="http://schemas.openxmlformats.org/spreadsheetml/2006/main" count="76" uniqueCount="31">
  <si>
    <t>error</t>
  </si>
  <si>
    <t>E0</t>
  </si>
  <si>
    <t>theta</t>
  </si>
  <si>
    <t>nu</t>
  </si>
  <si>
    <t>cross</t>
  </si>
  <si>
    <t>Z</t>
  </si>
  <si>
    <t>A</t>
  </si>
  <si>
    <t>Data set</t>
  </si>
  <si>
    <t>Q2center</t>
  </si>
  <si>
    <t>Q2</t>
  </si>
  <si>
    <t>W2</t>
  </si>
  <si>
    <t>W</t>
  </si>
  <si>
    <t>theta rad</t>
  </si>
  <si>
    <t>sin2(T/2)</t>
  </si>
  <si>
    <t>epsilon</t>
  </si>
  <si>
    <t>GAMMA</t>
  </si>
  <si>
    <t>D_sig_R</t>
  </si>
  <si>
    <t>Sigmottt</t>
  </si>
  <si>
    <t>H</t>
  </si>
  <si>
    <t>H* SIG (nb)</t>
  </si>
  <si>
    <t>H* Sig error (nb)</t>
  </si>
  <si>
    <t>H* SIG (GeV)</t>
  </si>
  <si>
    <t>H* Sig error (GeV)</t>
  </si>
  <si>
    <t>Total Corr</t>
  </si>
  <si>
    <t>Q3</t>
  </si>
  <si>
    <t>w (MeV)</t>
  </si>
  <si>
    <t xml:space="preserve"> R (10^-3 MeV^-1)</t>
  </si>
  <si>
    <t>Error bars</t>
  </si>
  <si>
    <t>MOUFAC</t>
  </si>
  <si>
    <t>Cross</t>
  </si>
  <si>
    <t>theta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</si>
</sst>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00E+00"/>
  </numFmts>
  <fonts count="11" x14ac:knownFonts="1">
    <font>
      <sz val="10"/>
      <color rgb="FF000000"/>
      <name val="Times New Roman"/>
      <charset val="204"/>
    </font>
    <font>
      <sz val="10"/>
      <color rgb="FF000000"/>
      <name val="Cambria"/>
      <family val="1"/>
      <scheme val="major"/>
    </font>
    <font>
      <sz val="12"/>
      <color rgb="FF000000"/>
      <name val="Cambria"/>
      <family val="1"/>
      <scheme val="major"/>
    </font>
    <font>
      <b/>
      <sz val="10"/>
      <color rgb="FF000000"/>
      <name val="Cambria"/>
      <family val="1"/>
      <scheme val="major"/>
    </font>
    <font>
      <sz val="10"/>
      <color rgb="FF000000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color rgb="FF000000"/>
      <name val="Cambria"/>
      <family val="1"/>
    </font>
    <font>
      <b/>
      <sz val="12"/>
      <color rgb="FF00B050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top"/>
    </xf>
    <xf numFmtId="2" fontId="2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0" borderId="0" xfId="0"/>
    <xf numFmtId="165" fontId="6" fillId="3" borderId="0" xfId="0" applyNumberFormat="1" applyFont="1" applyFill="1" applyAlignment="1">
      <alignment horizontal="center"/>
    </xf>
    <xf numFmtId="164" fontId="0" fillId="3" borderId="1" xfId="0" applyNumberFormat="1" applyFill="1" applyBorder="1"/>
    <xf numFmtId="164" fontId="0" fillId="0" borderId="0" xfId="0" applyNumberFormat="1"/>
    <xf numFmtId="165" fontId="6" fillId="0" borderId="0" xfId="0" applyNumberFormat="1" applyFont="1"/>
    <xf numFmtId="166" fontId="6" fillId="0" borderId="0" xfId="0" applyNumberFormat="1" applyFont="1"/>
    <xf numFmtId="11" fontId="5" fillId="0" borderId="0" xfId="0" applyNumberFormat="1" applyFont="1"/>
    <xf numFmtId="164" fontId="0" fillId="0" borderId="0" xfId="0" applyNumberFormat="1" applyAlignment="1">
      <alignment horizontal="left" vertical="top"/>
    </xf>
    <xf numFmtId="164" fontId="0" fillId="2" borderId="0" xfId="0" applyNumberFormat="1" applyFill="1" applyAlignment="1"/>
    <xf numFmtId="164" fontId="0" fillId="0" borderId="0" xfId="0" applyNumberFormat="1" applyAlignment="1"/>
    <xf numFmtId="164" fontId="0" fillId="0" borderId="0" xfId="0" applyNumberFormat="1" applyAlignment="1">
      <alignment vertical="top"/>
    </xf>
    <xf numFmtId="164" fontId="0" fillId="2" borderId="0" xfId="0" applyNumberFormat="1" applyFill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left" vertical="top"/>
    </xf>
    <xf numFmtId="2" fontId="4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0" fillId="0" borderId="2" xfId="0" applyBorder="1"/>
    <xf numFmtId="0" fontId="8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0" fillId="0" borderId="2" xfId="0" applyFont="1" applyBorder="1"/>
    <xf numFmtId="0" fontId="0" fillId="0" borderId="3" xfId="0" applyBorder="1"/>
    <xf numFmtId="2" fontId="0" fillId="2" borderId="0" xfId="0" applyNumberForma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2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164" fontId="0" fillId="2" borderId="0" xfId="0" applyNumberFormat="1" applyFill="1" applyAlignment="1">
      <alignment horizontal="left" vertical="top"/>
    </xf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0.44 GC 60 deg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'Barreeau-corrected for errors'!$E$509:$E$563</c:f>
              <c:numCache>
                <c:formatCode>0.0000</c:formatCode>
                <c:ptCount val="55"/>
                <c:pt idx="0">
                  <c:v>5.7500000000000002E-2</c:v>
                </c:pt>
                <c:pt idx="1">
                  <c:v>6.25E-2</c:v>
                </c:pt>
                <c:pt idx="2">
                  <c:v>6.7500000000000004E-2</c:v>
                </c:pt>
                <c:pt idx="3">
                  <c:v>7.2499999999999995E-2</c:v>
                </c:pt>
                <c:pt idx="4">
                  <c:v>7.7499999999999999E-2</c:v>
                </c:pt>
                <c:pt idx="5">
                  <c:v>8.2500000000000004E-2</c:v>
                </c:pt>
                <c:pt idx="6">
                  <c:v>8.7499999999999994E-2</c:v>
                </c:pt>
                <c:pt idx="7">
                  <c:v>9.2499999999999999E-2</c:v>
                </c:pt>
                <c:pt idx="8">
                  <c:v>9.7500000000000003E-2</c:v>
                </c:pt>
                <c:pt idx="9">
                  <c:v>0.10249999999999999</c:v>
                </c:pt>
                <c:pt idx="10">
                  <c:v>0.1075</c:v>
                </c:pt>
                <c:pt idx="11">
                  <c:v>0.1125</c:v>
                </c:pt>
                <c:pt idx="12">
                  <c:v>0.11749999999999999</c:v>
                </c:pt>
                <c:pt idx="13">
                  <c:v>0.1225</c:v>
                </c:pt>
                <c:pt idx="14">
                  <c:v>0.1275</c:v>
                </c:pt>
                <c:pt idx="15">
                  <c:v>0.13250000000000001</c:v>
                </c:pt>
                <c:pt idx="16">
                  <c:v>0.13750000000000001</c:v>
                </c:pt>
                <c:pt idx="17">
                  <c:v>0.14249999999999999</c:v>
                </c:pt>
                <c:pt idx="18">
                  <c:v>0.14749999999999999</c:v>
                </c:pt>
                <c:pt idx="19">
                  <c:v>0.1525</c:v>
                </c:pt>
                <c:pt idx="20">
                  <c:v>0.1575</c:v>
                </c:pt>
                <c:pt idx="21">
                  <c:v>0.16250000000000001</c:v>
                </c:pt>
                <c:pt idx="22">
                  <c:v>0.16750000000000001</c:v>
                </c:pt>
                <c:pt idx="23">
                  <c:v>0.17249999999999999</c:v>
                </c:pt>
                <c:pt idx="24">
                  <c:v>0.17749999999999999</c:v>
                </c:pt>
                <c:pt idx="25">
                  <c:v>0.1825</c:v>
                </c:pt>
                <c:pt idx="26">
                  <c:v>0.1875</c:v>
                </c:pt>
                <c:pt idx="27">
                  <c:v>0.1925</c:v>
                </c:pt>
                <c:pt idx="28">
                  <c:v>0.19750000000000001</c:v>
                </c:pt>
                <c:pt idx="29">
                  <c:v>0.20250000000000001</c:v>
                </c:pt>
                <c:pt idx="30">
                  <c:v>0.20749999999999999</c:v>
                </c:pt>
                <c:pt idx="31">
                  <c:v>0.21249999999999999</c:v>
                </c:pt>
                <c:pt idx="32">
                  <c:v>0.2175</c:v>
                </c:pt>
                <c:pt idx="33">
                  <c:v>0.2225</c:v>
                </c:pt>
                <c:pt idx="34">
                  <c:v>0.22750000000000001</c:v>
                </c:pt>
                <c:pt idx="35">
                  <c:v>0.23250000000000001</c:v>
                </c:pt>
                <c:pt idx="36">
                  <c:v>0.23749999999999999</c:v>
                </c:pt>
                <c:pt idx="37">
                  <c:v>0.24249999999999999</c:v>
                </c:pt>
                <c:pt idx="38">
                  <c:v>0.2475</c:v>
                </c:pt>
                <c:pt idx="39">
                  <c:v>0.2525</c:v>
                </c:pt>
                <c:pt idx="40">
                  <c:v>0.25750000000000001</c:v>
                </c:pt>
                <c:pt idx="41">
                  <c:v>0.26250000000000001</c:v>
                </c:pt>
                <c:pt idx="42">
                  <c:v>0.26750000000000002</c:v>
                </c:pt>
                <c:pt idx="43">
                  <c:v>0.27250000000000002</c:v>
                </c:pt>
                <c:pt idx="44">
                  <c:v>0.27750000000000002</c:v>
                </c:pt>
                <c:pt idx="45">
                  <c:v>8.5000000000000006E-3</c:v>
                </c:pt>
                <c:pt idx="46">
                  <c:v>1.35E-2</c:v>
                </c:pt>
                <c:pt idx="47">
                  <c:v>1.8499999999999999E-2</c:v>
                </c:pt>
                <c:pt idx="48">
                  <c:v>2.35E-2</c:v>
                </c:pt>
                <c:pt idx="49">
                  <c:v>2.8500000000000001E-2</c:v>
                </c:pt>
                <c:pt idx="50">
                  <c:v>3.3500000000000002E-2</c:v>
                </c:pt>
                <c:pt idx="51">
                  <c:v>3.85E-2</c:v>
                </c:pt>
                <c:pt idx="52">
                  <c:v>4.3499999999999997E-2</c:v>
                </c:pt>
                <c:pt idx="53">
                  <c:v>4.8500000000000001E-2</c:v>
                </c:pt>
                <c:pt idx="54">
                  <c:v>5.3499999999999999E-2</c:v>
                </c:pt>
              </c:numCache>
            </c:numRef>
          </c:xVal>
          <c:yVal>
            <c:numRef>
              <c:f>'Barreeau-corrected for errors'!$F$509:$F$563</c:f>
              <c:numCache>
                <c:formatCode>0.00</c:formatCode>
                <c:ptCount val="55"/>
                <c:pt idx="0">
                  <c:v>6530</c:v>
                </c:pt>
                <c:pt idx="1">
                  <c:v>7440</c:v>
                </c:pt>
                <c:pt idx="2">
                  <c:v>8090</c:v>
                </c:pt>
                <c:pt idx="3">
                  <c:v>8920</c:v>
                </c:pt>
                <c:pt idx="4">
                  <c:v>9470</c:v>
                </c:pt>
                <c:pt idx="5">
                  <c:v>9950</c:v>
                </c:pt>
                <c:pt idx="6">
                  <c:v>10260</c:v>
                </c:pt>
                <c:pt idx="7">
                  <c:v>10760</c:v>
                </c:pt>
                <c:pt idx="8">
                  <c:v>10920</c:v>
                </c:pt>
                <c:pt idx="9">
                  <c:v>11230</c:v>
                </c:pt>
                <c:pt idx="10">
                  <c:v>11070</c:v>
                </c:pt>
                <c:pt idx="11">
                  <c:v>10810</c:v>
                </c:pt>
                <c:pt idx="12">
                  <c:v>10590</c:v>
                </c:pt>
                <c:pt idx="13">
                  <c:v>10170</c:v>
                </c:pt>
                <c:pt idx="14">
                  <c:v>9640</c:v>
                </c:pt>
                <c:pt idx="15">
                  <c:v>8810</c:v>
                </c:pt>
                <c:pt idx="16">
                  <c:v>8380</c:v>
                </c:pt>
                <c:pt idx="17">
                  <c:v>7560</c:v>
                </c:pt>
                <c:pt idx="18">
                  <c:v>7010</c:v>
                </c:pt>
                <c:pt idx="19">
                  <c:v>6290</c:v>
                </c:pt>
                <c:pt idx="20">
                  <c:v>5290</c:v>
                </c:pt>
                <c:pt idx="21">
                  <c:v>5360</c:v>
                </c:pt>
                <c:pt idx="22">
                  <c:v>4730</c:v>
                </c:pt>
                <c:pt idx="23">
                  <c:v>4410</c:v>
                </c:pt>
                <c:pt idx="24">
                  <c:v>3900</c:v>
                </c:pt>
                <c:pt idx="25">
                  <c:v>3550</c:v>
                </c:pt>
                <c:pt idx="26">
                  <c:v>3550</c:v>
                </c:pt>
                <c:pt idx="27">
                  <c:v>3250</c:v>
                </c:pt>
                <c:pt idx="28">
                  <c:v>3380</c:v>
                </c:pt>
                <c:pt idx="29">
                  <c:v>3280</c:v>
                </c:pt>
                <c:pt idx="30">
                  <c:v>3160</c:v>
                </c:pt>
                <c:pt idx="31">
                  <c:v>3200</c:v>
                </c:pt>
                <c:pt idx="32">
                  <c:v>3230</c:v>
                </c:pt>
                <c:pt idx="33">
                  <c:v>3250</c:v>
                </c:pt>
                <c:pt idx="34">
                  <c:v>3280</c:v>
                </c:pt>
                <c:pt idx="35">
                  <c:v>3380</c:v>
                </c:pt>
                <c:pt idx="36">
                  <c:v>3490</c:v>
                </c:pt>
                <c:pt idx="37">
                  <c:v>3680</c:v>
                </c:pt>
                <c:pt idx="38">
                  <c:v>3760</c:v>
                </c:pt>
                <c:pt idx="39">
                  <c:v>3900</c:v>
                </c:pt>
                <c:pt idx="40">
                  <c:v>3990</c:v>
                </c:pt>
                <c:pt idx="41">
                  <c:v>4100</c:v>
                </c:pt>
                <c:pt idx="42">
                  <c:v>4260</c:v>
                </c:pt>
                <c:pt idx="43">
                  <c:v>4380</c:v>
                </c:pt>
                <c:pt idx="44">
                  <c:v>4540</c:v>
                </c:pt>
                <c:pt idx="45">
                  <c:v>1050</c:v>
                </c:pt>
                <c:pt idx="46">
                  <c:v>4440</c:v>
                </c:pt>
                <c:pt idx="47">
                  <c:v>4710</c:v>
                </c:pt>
                <c:pt idx="48">
                  <c:v>4200</c:v>
                </c:pt>
                <c:pt idx="49">
                  <c:v>6150</c:v>
                </c:pt>
                <c:pt idx="50">
                  <c:v>5830</c:v>
                </c:pt>
                <c:pt idx="51">
                  <c:v>6940</c:v>
                </c:pt>
                <c:pt idx="52">
                  <c:v>7880</c:v>
                </c:pt>
                <c:pt idx="53">
                  <c:v>8910</c:v>
                </c:pt>
                <c:pt idx="54">
                  <c:v>10170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1E-E945-B925-4E2A4F14D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718928"/>
        <c:axId val="1439329775"/>
      </c:scatterChart>
      <c:valAx>
        <c:axId val="4147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29775"/>
        <c:crosses val="autoZero"/>
        <c:crossBetween val="midCat"/>
      </c:valAx>
      <c:valAx>
        <c:axId val="143932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18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Barreau 0.4798 GeV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'Barreeau-corrected for errors'!$E$442:$E$508</c:f>
              <c:numCache>
                <c:formatCode>0.0000</c:formatCode>
                <c:ptCount val="67"/>
                <c:pt idx="0">
                  <c:v>6.2299999999999994E-2</c:v>
                </c:pt>
                <c:pt idx="1">
                  <c:v>6.7299999999999999E-2</c:v>
                </c:pt>
                <c:pt idx="2">
                  <c:v>7.2300000000000003E-2</c:v>
                </c:pt>
                <c:pt idx="3">
                  <c:v>7.7299999999999994E-2</c:v>
                </c:pt>
                <c:pt idx="4">
                  <c:v>8.2299999999999998E-2</c:v>
                </c:pt>
                <c:pt idx="5">
                  <c:v>8.7300000000000003E-2</c:v>
                </c:pt>
                <c:pt idx="6">
                  <c:v>9.2299999999999993E-2</c:v>
                </c:pt>
                <c:pt idx="7">
                  <c:v>9.7299999999999998E-2</c:v>
                </c:pt>
                <c:pt idx="8">
                  <c:v>0.1023</c:v>
                </c:pt>
                <c:pt idx="9">
                  <c:v>0.10729999999999999</c:v>
                </c:pt>
                <c:pt idx="10">
                  <c:v>0.1123</c:v>
                </c:pt>
                <c:pt idx="11">
                  <c:v>0.1173</c:v>
                </c:pt>
                <c:pt idx="12">
                  <c:v>0.12229999999999999</c:v>
                </c:pt>
                <c:pt idx="13">
                  <c:v>0.1273</c:v>
                </c:pt>
                <c:pt idx="14">
                  <c:v>0.1323</c:v>
                </c:pt>
                <c:pt idx="15">
                  <c:v>0.13730000000000001</c:v>
                </c:pt>
                <c:pt idx="16">
                  <c:v>0.14230000000000001</c:v>
                </c:pt>
                <c:pt idx="17">
                  <c:v>0.14730000000000001</c:v>
                </c:pt>
                <c:pt idx="18">
                  <c:v>0.15230000000000002</c:v>
                </c:pt>
                <c:pt idx="19">
                  <c:v>0.15730000000000002</c:v>
                </c:pt>
                <c:pt idx="20">
                  <c:v>0.1623</c:v>
                </c:pt>
                <c:pt idx="21">
                  <c:v>0.1673</c:v>
                </c:pt>
                <c:pt idx="22">
                  <c:v>0.17230000000000001</c:v>
                </c:pt>
                <c:pt idx="23">
                  <c:v>0.17730000000000001</c:v>
                </c:pt>
                <c:pt idx="24">
                  <c:v>0.18230000000000002</c:v>
                </c:pt>
                <c:pt idx="25">
                  <c:v>0.18730000000000002</c:v>
                </c:pt>
                <c:pt idx="26">
                  <c:v>0.1923</c:v>
                </c:pt>
                <c:pt idx="27">
                  <c:v>0.1973</c:v>
                </c:pt>
                <c:pt idx="28">
                  <c:v>0.20230000000000001</c:v>
                </c:pt>
                <c:pt idx="29">
                  <c:v>0.20730000000000001</c:v>
                </c:pt>
                <c:pt idx="30">
                  <c:v>0.21230000000000002</c:v>
                </c:pt>
                <c:pt idx="31">
                  <c:v>0.21730000000000002</c:v>
                </c:pt>
                <c:pt idx="32">
                  <c:v>0.2223</c:v>
                </c:pt>
                <c:pt idx="33">
                  <c:v>0.2273</c:v>
                </c:pt>
                <c:pt idx="34">
                  <c:v>0.23230000000000001</c:v>
                </c:pt>
                <c:pt idx="35">
                  <c:v>0.23730000000000001</c:v>
                </c:pt>
                <c:pt idx="36">
                  <c:v>0.24230000000000002</c:v>
                </c:pt>
                <c:pt idx="37">
                  <c:v>0.24730000000000002</c:v>
                </c:pt>
                <c:pt idx="38">
                  <c:v>0.25230000000000002</c:v>
                </c:pt>
                <c:pt idx="39">
                  <c:v>0.25730000000000003</c:v>
                </c:pt>
                <c:pt idx="40">
                  <c:v>0.26230000000000003</c:v>
                </c:pt>
                <c:pt idx="41">
                  <c:v>0.26730000000000004</c:v>
                </c:pt>
                <c:pt idx="42">
                  <c:v>0.27229999999999999</c:v>
                </c:pt>
                <c:pt idx="43">
                  <c:v>0.27729999999999999</c:v>
                </c:pt>
                <c:pt idx="44">
                  <c:v>0.2823</c:v>
                </c:pt>
                <c:pt idx="45">
                  <c:v>0.2873</c:v>
                </c:pt>
                <c:pt idx="46">
                  <c:v>0.2923</c:v>
                </c:pt>
                <c:pt idx="47">
                  <c:v>0.29730000000000001</c:v>
                </c:pt>
                <c:pt idx="48">
                  <c:v>0.30230000000000001</c:v>
                </c:pt>
                <c:pt idx="49">
                  <c:v>0.30730000000000002</c:v>
                </c:pt>
                <c:pt idx="50">
                  <c:v>0.31230000000000002</c:v>
                </c:pt>
                <c:pt idx="51">
                  <c:v>0.31730000000000003</c:v>
                </c:pt>
                <c:pt idx="52">
                  <c:v>0.32230000000000003</c:v>
                </c:pt>
                <c:pt idx="53">
                  <c:v>0.32730000000000004</c:v>
                </c:pt>
                <c:pt idx="54">
                  <c:v>0.33229999999999998</c:v>
                </c:pt>
                <c:pt idx="55">
                  <c:v>0.33729999999999999</c:v>
                </c:pt>
                <c:pt idx="56">
                  <c:v>0.34229999999999999</c:v>
                </c:pt>
                <c:pt idx="57">
                  <c:v>7.4999999999999997E-3</c:v>
                </c:pt>
                <c:pt idx="58">
                  <c:v>1.2500000000000001E-2</c:v>
                </c:pt>
                <c:pt idx="59">
                  <c:v>1.7500000000000002E-2</c:v>
                </c:pt>
                <c:pt idx="60">
                  <c:v>2.2499999999999999E-2</c:v>
                </c:pt>
                <c:pt idx="61">
                  <c:v>2.75E-2</c:v>
                </c:pt>
                <c:pt idx="62">
                  <c:v>3.2500000000000001E-2</c:v>
                </c:pt>
                <c:pt idx="63">
                  <c:v>3.7499999999999999E-2</c:v>
                </c:pt>
                <c:pt idx="64">
                  <c:v>4.2500000000000003E-2</c:v>
                </c:pt>
                <c:pt idx="65">
                  <c:v>4.7500000000000001E-2</c:v>
                </c:pt>
                <c:pt idx="66">
                  <c:v>5.2499999999999998E-2</c:v>
                </c:pt>
              </c:numCache>
            </c:numRef>
          </c:xVal>
          <c:yVal>
            <c:numRef>
              <c:f>'Barreeau-corrected for errors'!$F$442:$F$508</c:f>
              <c:numCache>
                <c:formatCode>0.00</c:formatCode>
                <c:ptCount val="67"/>
                <c:pt idx="0">
                  <c:v>4150</c:v>
                </c:pt>
                <c:pt idx="1">
                  <c:v>4780</c:v>
                </c:pt>
                <c:pt idx="2">
                  <c:v>5270</c:v>
                </c:pt>
                <c:pt idx="3">
                  <c:v>5740</c:v>
                </c:pt>
                <c:pt idx="4">
                  <c:v>6260</c:v>
                </c:pt>
                <c:pt idx="5">
                  <c:v>6660</c:v>
                </c:pt>
                <c:pt idx="6">
                  <c:v>6990</c:v>
                </c:pt>
                <c:pt idx="7">
                  <c:v>7510</c:v>
                </c:pt>
                <c:pt idx="8">
                  <c:v>7690</c:v>
                </c:pt>
                <c:pt idx="9">
                  <c:v>7890</c:v>
                </c:pt>
                <c:pt idx="10">
                  <c:v>8189.9999999999991</c:v>
                </c:pt>
                <c:pt idx="11">
                  <c:v>8010</c:v>
                </c:pt>
                <c:pt idx="12">
                  <c:v>8119.9999999999991</c:v>
                </c:pt>
                <c:pt idx="13">
                  <c:v>8150</c:v>
                </c:pt>
                <c:pt idx="14">
                  <c:v>7930</c:v>
                </c:pt>
                <c:pt idx="15">
                  <c:v>7650</c:v>
                </c:pt>
                <c:pt idx="16">
                  <c:v>7140</c:v>
                </c:pt>
                <c:pt idx="17">
                  <c:v>6640</c:v>
                </c:pt>
                <c:pt idx="18">
                  <c:v>6290</c:v>
                </c:pt>
                <c:pt idx="19">
                  <c:v>5860</c:v>
                </c:pt>
                <c:pt idx="20">
                  <c:v>5500</c:v>
                </c:pt>
                <c:pt idx="21">
                  <c:v>5170</c:v>
                </c:pt>
                <c:pt idx="22">
                  <c:v>4680</c:v>
                </c:pt>
                <c:pt idx="23">
                  <c:v>4330</c:v>
                </c:pt>
                <c:pt idx="24">
                  <c:v>3990</c:v>
                </c:pt>
                <c:pt idx="25">
                  <c:v>3680</c:v>
                </c:pt>
                <c:pt idx="26">
                  <c:v>3410</c:v>
                </c:pt>
                <c:pt idx="27">
                  <c:v>3260</c:v>
                </c:pt>
                <c:pt idx="28">
                  <c:v>3100</c:v>
                </c:pt>
                <c:pt idx="29">
                  <c:v>2960</c:v>
                </c:pt>
                <c:pt idx="30">
                  <c:v>2850</c:v>
                </c:pt>
                <c:pt idx="31">
                  <c:v>2760</c:v>
                </c:pt>
                <c:pt idx="32">
                  <c:v>2690</c:v>
                </c:pt>
                <c:pt idx="33">
                  <c:v>2710</c:v>
                </c:pt>
                <c:pt idx="34">
                  <c:v>2700</c:v>
                </c:pt>
                <c:pt idx="35">
                  <c:v>2790</c:v>
                </c:pt>
                <c:pt idx="36">
                  <c:v>2770</c:v>
                </c:pt>
                <c:pt idx="37">
                  <c:v>2940</c:v>
                </c:pt>
                <c:pt idx="38">
                  <c:v>3070</c:v>
                </c:pt>
                <c:pt idx="39">
                  <c:v>3180</c:v>
                </c:pt>
                <c:pt idx="40">
                  <c:v>3210</c:v>
                </c:pt>
                <c:pt idx="41">
                  <c:v>3300</c:v>
                </c:pt>
                <c:pt idx="42">
                  <c:v>3330</c:v>
                </c:pt>
                <c:pt idx="43">
                  <c:v>3470</c:v>
                </c:pt>
                <c:pt idx="44">
                  <c:v>3650</c:v>
                </c:pt>
                <c:pt idx="45">
                  <c:v>3700</c:v>
                </c:pt>
                <c:pt idx="46">
                  <c:v>3820</c:v>
                </c:pt>
                <c:pt idx="47">
                  <c:v>4040</c:v>
                </c:pt>
                <c:pt idx="48">
                  <c:v>4000</c:v>
                </c:pt>
                <c:pt idx="49">
                  <c:v>4110</c:v>
                </c:pt>
                <c:pt idx="50">
                  <c:v>4340</c:v>
                </c:pt>
                <c:pt idx="51">
                  <c:v>4380</c:v>
                </c:pt>
                <c:pt idx="52">
                  <c:v>4260</c:v>
                </c:pt>
                <c:pt idx="53">
                  <c:v>4450</c:v>
                </c:pt>
                <c:pt idx="54">
                  <c:v>4550</c:v>
                </c:pt>
                <c:pt idx="55">
                  <c:v>4530</c:v>
                </c:pt>
                <c:pt idx="56">
                  <c:v>4620</c:v>
                </c:pt>
                <c:pt idx="57">
                  <c:v>830</c:v>
                </c:pt>
                <c:pt idx="58">
                  <c:v>1210</c:v>
                </c:pt>
                <c:pt idx="59">
                  <c:v>1320</c:v>
                </c:pt>
                <c:pt idx="60">
                  <c:v>1770</c:v>
                </c:pt>
                <c:pt idx="61">
                  <c:v>2960</c:v>
                </c:pt>
                <c:pt idx="62">
                  <c:v>3140</c:v>
                </c:pt>
                <c:pt idx="63">
                  <c:v>3640</c:v>
                </c:pt>
                <c:pt idx="64">
                  <c:v>4360</c:v>
                </c:pt>
                <c:pt idx="65">
                  <c:v>4940</c:v>
                </c:pt>
                <c:pt idx="66">
                  <c:v>5800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F0-FE41-BBC9-427EE7BBF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213423"/>
        <c:axId val="1372120351"/>
      </c:scatterChart>
      <c:valAx>
        <c:axId val="137221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20351"/>
        <c:crosses val="autoZero"/>
        <c:crossBetween val="midCat"/>
      </c:valAx>
      <c:valAx>
        <c:axId val="137212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1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0.440 GeV 60 deg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53632914529753"/>
          <c:y val="0.19952961570102246"/>
          <c:w val="0.79308478389353876"/>
          <c:h val="0.53376660007051357"/>
        </c:manualLayout>
      </c:layout>
      <c:scatterChart>
        <c:scatterStyle val="lineMarker"/>
        <c:varyColors val="0"/>
        <c:ser>
          <c:idx val="0"/>
          <c:order val="0"/>
          <c:tx>
            <c:v>Barraeau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'Barreeau-corrected for errors'!$E$509:$E$563</c:f>
              <c:numCache>
                <c:formatCode>0.0000</c:formatCode>
                <c:ptCount val="55"/>
                <c:pt idx="0">
                  <c:v>5.7500000000000002E-2</c:v>
                </c:pt>
                <c:pt idx="1">
                  <c:v>6.25E-2</c:v>
                </c:pt>
                <c:pt idx="2">
                  <c:v>6.7500000000000004E-2</c:v>
                </c:pt>
                <c:pt idx="3">
                  <c:v>7.2499999999999995E-2</c:v>
                </c:pt>
                <c:pt idx="4">
                  <c:v>7.7499999999999999E-2</c:v>
                </c:pt>
                <c:pt idx="5">
                  <c:v>8.2500000000000004E-2</c:v>
                </c:pt>
                <c:pt idx="6">
                  <c:v>8.7499999999999994E-2</c:v>
                </c:pt>
                <c:pt idx="7">
                  <c:v>9.2499999999999999E-2</c:v>
                </c:pt>
                <c:pt idx="8">
                  <c:v>9.7500000000000003E-2</c:v>
                </c:pt>
                <c:pt idx="9">
                  <c:v>0.10249999999999999</c:v>
                </c:pt>
                <c:pt idx="10">
                  <c:v>0.1075</c:v>
                </c:pt>
                <c:pt idx="11">
                  <c:v>0.1125</c:v>
                </c:pt>
                <c:pt idx="12">
                  <c:v>0.11749999999999999</c:v>
                </c:pt>
                <c:pt idx="13">
                  <c:v>0.1225</c:v>
                </c:pt>
                <c:pt idx="14">
                  <c:v>0.1275</c:v>
                </c:pt>
                <c:pt idx="15">
                  <c:v>0.13250000000000001</c:v>
                </c:pt>
                <c:pt idx="16">
                  <c:v>0.13750000000000001</c:v>
                </c:pt>
                <c:pt idx="17">
                  <c:v>0.14249999999999999</c:v>
                </c:pt>
                <c:pt idx="18">
                  <c:v>0.14749999999999999</c:v>
                </c:pt>
                <c:pt idx="19">
                  <c:v>0.1525</c:v>
                </c:pt>
                <c:pt idx="20">
                  <c:v>0.1575</c:v>
                </c:pt>
                <c:pt idx="21">
                  <c:v>0.16250000000000001</c:v>
                </c:pt>
                <c:pt idx="22">
                  <c:v>0.16750000000000001</c:v>
                </c:pt>
                <c:pt idx="23">
                  <c:v>0.17249999999999999</c:v>
                </c:pt>
                <c:pt idx="24">
                  <c:v>0.17749999999999999</c:v>
                </c:pt>
                <c:pt idx="25">
                  <c:v>0.1825</c:v>
                </c:pt>
                <c:pt idx="26">
                  <c:v>0.1875</c:v>
                </c:pt>
                <c:pt idx="27">
                  <c:v>0.1925</c:v>
                </c:pt>
                <c:pt idx="28">
                  <c:v>0.19750000000000001</c:v>
                </c:pt>
                <c:pt idx="29">
                  <c:v>0.20250000000000001</c:v>
                </c:pt>
                <c:pt idx="30">
                  <c:v>0.20749999999999999</c:v>
                </c:pt>
                <c:pt idx="31">
                  <c:v>0.21249999999999999</c:v>
                </c:pt>
                <c:pt idx="32">
                  <c:v>0.2175</c:v>
                </c:pt>
                <c:pt idx="33">
                  <c:v>0.2225</c:v>
                </c:pt>
                <c:pt idx="34">
                  <c:v>0.22750000000000001</c:v>
                </c:pt>
                <c:pt idx="35">
                  <c:v>0.23250000000000001</c:v>
                </c:pt>
                <c:pt idx="36">
                  <c:v>0.23749999999999999</c:v>
                </c:pt>
                <c:pt idx="37">
                  <c:v>0.24249999999999999</c:v>
                </c:pt>
                <c:pt idx="38">
                  <c:v>0.2475</c:v>
                </c:pt>
                <c:pt idx="39">
                  <c:v>0.2525</c:v>
                </c:pt>
                <c:pt idx="40">
                  <c:v>0.25750000000000001</c:v>
                </c:pt>
                <c:pt idx="41">
                  <c:v>0.26250000000000001</c:v>
                </c:pt>
                <c:pt idx="42">
                  <c:v>0.26750000000000002</c:v>
                </c:pt>
                <c:pt idx="43">
                  <c:v>0.27250000000000002</c:v>
                </c:pt>
                <c:pt idx="44">
                  <c:v>0.27750000000000002</c:v>
                </c:pt>
                <c:pt idx="45">
                  <c:v>8.5000000000000006E-3</c:v>
                </c:pt>
                <c:pt idx="46">
                  <c:v>1.35E-2</c:v>
                </c:pt>
                <c:pt idx="47">
                  <c:v>1.8499999999999999E-2</c:v>
                </c:pt>
                <c:pt idx="48">
                  <c:v>2.35E-2</c:v>
                </c:pt>
                <c:pt idx="49">
                  <c:v>2.8500000000000001E-2</c:v>
                </c:pt>
                <c:pt idx="50">
                  <c:v>3.3500000000000002E-2</c:v>
                </c:pt>
                <c:pt idx="51">
                  <c:v>3.85E-2</c:v>
                </c:pt>
                <c:pt idx="52">
                  <c:v>4.3499999999999997E-2</c:v>
                </c:pt>
                <c:pt idx="53">
                  <c:v>4.8500000000000001E-2</c:v>
                </c:pt>
                <c:pt idx="54">
                  <c:v>5.3499999999999999E-2</c:v>
                </c:pt>
              </c:numCache>
            </c:numRef>
          </c:xVal>
          <c:yVal>
            <c:numRef>
              <c:f>'Barreeau-corrected for errors'!$F$509:$F$563</c:f>
              <c:numCache>
                <c:formatCode>0.00</c:formatCode>
                <c:ptCount val="55"/>
                <c:pt idx="0">
                  <c:v>6530</c:v>
                </c:pt>
                <c:pt idx="1">
                  <c:v>7440</c:v>
                </c:pt>
                <c:pt idx="2">
                  <c:v>8090</c:v>
                </c:pt>
                <c:pt idx="3">
                  <c:v>8920</c:v>
                </c:pt>
                <c:pt idx="4">
                  <c:v>9470</c:v>
                </c:pt>
                <c:pt idx="5">
                  <c:v>9950</c:v>
                </c:pt>
                <c:pt idx="6">
                  <c:v>10260</c:v>
                </c:pt>
                <c:pt idx="7">
                  <c:v>10760</c:v>
                </c:pt>
                <c:pt idx="8">
                  <c:v>10920</c:v>
                </c:pt>
                <c:pt idx="9">
                  <c:v>11230</c:v>
                </c:pt>
                <c:pt idx="10">
                  <c:v>11070</c:v>
                </c:pt>
                <c:pt idx="11">
                  <c:v>10810</c:v>
                </c:pt>
                <c:pt idx="12">
                  <c:v>10590</c:v>
                </c:pt>
                <c:pt idx="13">
                  <c:v>10170</c:v>
                </c:pt>
                <c:pt idx="14">
                  <c:v>9640</c:v>
                </c:pt>
                <c:pt idx="15">
                  <c:v>8810</c:v>
                </c:pt>
                <c:pt idx="16">
                  <c:v>8380</c:v>
                </c:pt>
                <c:pt idx="17">
                  <c:v>7560</c:v>
                </c:pt>
                <c:pt idx="18">
                  <c:v>7010</c:v>
                </c:pt>
                <c:pt idx="19">
                  <c:v>6290</c:v>
                </c:pt>
                <c:pt idx="20">
                  <c:v>5290</c:v>
                </c:pt>
                <c:pt idx="21">
                  <c:v>5360</c:v>
                </c:pt>
                <c:pt idx="22">
                  <c:v>4730</c:v>
                </c:pt>
                <c:pt idx="23">
                  <c:v>4410</c:v>
                </c:pt>
                <c:pt idx="24">
                  <c:v>3900</c:v>
                </c:pt>
                <c:pt idx="25">
                  <c:v>3550</c:v>
                </c:pt>
                <c:pt idx="26">
                  <c:v>3550</c:v>
                </c:pt>
                <c:pt idx="27">
                  <c:v>3250</c:v>
                </c:pt>
                <c:pt idx="28">
                  <c:v>3380</c:v>
                </c:pt>
                <c:pt idx="29">
                  <c:v>3280</c:v>
                </c:pt>
                <c:pt idx="30">
                  <c:v>3160</c:v>
                </c:pt>
                <c:pt idx="31">
                  <c:v>3200</c:v>
                </c:pt>
                <c:pt idx="32">
                  <c:v>3230</c:v>
                </c:pt>
                <c:pt idx="33">
                  <c:v>3250</c:v>
                </c:pt>
                <c:pt idx="34">
                  <c:v>3280</c:v>
                </c:pt>
                <c:pt idx="35">
                  <c:v>3380</c:v>
                </c:pt>
                <c:pt idx="36">
                  <c:v>3490</c:v>
                </c:pt>
                <c:pt idx="37">
                  <c:v>3680</c:v>
                </c:pt>
                <c:pt idx="38">
                  <c:v>3760</c:v>
                </c:pt>
                <c:pt idx="39">
                  <c:v>3900</c:v>
                </c:pt>
                <c:pt idx="40">
                  <c:v>3990</c:v>
                </c:pt>
                <c:pt idx="41">
                  <c:v>4100</c:v>
                </c:pt>
                <c:pt idx="42">
                  <c:v>4260</c:v>
                </c:pt>
                <c:pt idx="43">
                  <c:v>4380</c:v>
                </c:pt>
                <c:pt idx="44">
                  <c:v>4540</c:v>
                </c:pt>
                <c:pt idx="45">
                  <c:v>1050</c:v>
                </c:pt>
                <c:pt idx="46">
                  <c:v>4440</c:v>
                </c:pt>
                <c:pt idx="47">
                  <c:v>4710</c:v>
                </c:pt>
                <c:pt idx="48">
                  <c:v>4200</c:v>
                </c:pt>
                <c:pt idx="49">
                  <c:v>6150</c:v>
                </c:pt>
                <c:pt idx="50">
                  <c:v>5830</c:v>
                </c:pt>
                <c:pt idx="51">
                  <c:v>6940</c:v>
                </c:pt>
                <c:pt idx="52">
                  <c:v>7880</c:v>
                </c:pt>
                <c:pt idx="53">
                  <c:v>8910</c:v>
                </c:pt>
                <c:pt idx="54">
                  <c:v>10170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C2-FD46-9479-01B9DE482CA9}"/>
            </c:ext>
          </c:extLst>
        </c:ser>
        <c:ser>
          <c:idx val="1"/>
          <c:order val="1"/>
          <c:tx>
            <c:v>Mougey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Mougey!$E$136:$E$184</c:f>
              <c:numCache>
                <c:formatCode>0.0000</c:formatCode>
                <c:ptCount val="49"/>
                <c:pt idx="0">
                  <c:v>2.6778642349234702E-2</c:v>
                </c:pt>
                <c:pt idx="1">
                  <c:v>3.1619088867595901E-2</c:v>
                </c:pt>
                <c:pt idx="2">
                  <c:v>3.6891161891087695E-2</c:v>
                </c:pt>
                <c:pt idx="3">
                  <c:v>4.1275063260723104E-2</c:v>
                </c:pt>
                <c:pt idx="4">
                  <c:v>4.6543576477987E-2</c:v>
                </c:pt>
                <c:pt idx="5">
                  <c:v>5.1363554110537897E-2</c:v>
                </c:pt>
                <c:pt idx="6">
                  <c:v>5.6628507521573904E-2</c:v>
                </c:pt>
                <c:pt idx="7">
                  <c:v>6.14467052510108E-2</c:v>
                </c:pt>
                <c:pt idx="8">
                  <c:v>6.6713438565160696E-2</c:v>
                </c:pt>
                <c:pt idx="9">
                  <c:v>7.1534306149268603E-2</c:v>
                </c:pt>
                <c:pt idx="10">
                  <c:v>7.68037093180894E-2</c:v>
                </c:pt>
                <c:pt idx="11">
                  <c:v>8.1193840348623689E-2</c:v>
                </c:pt>
                <c:pt idx="12">
                  <c:v>8.6911779102157499E-2</c:v>
                </c:pt>
                <c:pt idx="13">
                  <c:v>9.1302800084248709E-2</c:v>
                </c:pt>
                <c:pt idx="14">
                  <c:v>9.7023408692453503E-2</c:v>
                </c:pt>
                <c:pt idx="15">
                  <c:v>0.10141887943232901</c:v>
                </c:pt>
                <c:pt idx="16">
                  <c:v>0.10671231129318799</c:v>
                </c:pt>
                <c:pt idx="17">
                  <c:v>0.111124691112647</c:v>
                </c:pt>
                <c:pt idx="18">
                  <c:v>0.116858648994206</c:v>
                </c:pt>
                <c:pt idx="19">
                  <c:v>0.121276368523006</c:v>
                </c:pt>
                <c:pt idx="20">
                  <c:v>0.12657869989943499</c:v>
                </c:pt>
                <c:pt idx="21">
                  <c:v>0.13144851481917602</c:v>
                </c:pt>
                <c:pt idx="22">
                  <c:v>0.13630943022334799</c:v>
                </c:pt>
                <c:pt idx="23">
                  <c:v>0.141180135094646</c:v>
                </c:pt>
                <c:pt idx="24">
                  <c:v>0.14648424637418903</c:v>
                </c:pt>
                <c:pt idx="25">
                  <c:v>0.150911755370116</c:v>
                </c:pt>
                <c:pt idx="26">
                  <c:v>0.15578779995075601</c:v>
                </c:pt>
                <c:pt idx="27">
                  <c:v>0.16063358617845902</c:v>
                </c:pt>
                <c:pt idx="28">
                  <c:v>0.16637733352714501</c:v>
                </c:pt>
                <c:pt idx="29">
                  <c:v>0.17079238320127399</c:v>
                </c:pt>
                <c:pt idx="30">
                  <c:v>0.17565418855700199</c:v>
                </c:pt>
                <c:pt idx="31">
                  <c:v>0.18095296012720299</c:v>
                </c:pt>
                <c:pt idx="32">
                  <c:v>0.18579785640334898</c:v>
                </c:pt>
                <c:pt idx="33">
                  <c:v>0.19065432204973601</c:v>
                </c:pt>
                <c:pt idx="34">
                  <c:v>0.195495658519654</c:v>
                </c:pt>
                <c:pt idx="35">
                  <c:v>0.200785530574285</c:v>
                </c:pt>
                <c:pt idx="36">
                  <c:v>0.206076292580473</c:v>
                </c:pt>
                <c:pt idx="37">
                  <c:v>0.210925638614404</c:v>
                </c:pt>
                <c:pt idx="38">
                  <c:v>0.21577320474522099</c:v>
                </c:pt>
                <c:pt idx="39">
                  <c:v>0.22017757500066698</c:v>
                </c:pt>
                <c:pt idx="40">
                  <c:v>0.22590708312444099</c:v>
                </c:pt>
                <c:pt idx="41">
                  <c:v>0.23074841959435999</c:v>
                </c:pt>
                <c:pt idx="42">
                  <c:v>0.23559242591894899</c:v>
                </c:pt>
                <c:pt idx="43">
                  <c:v>0.239995016271281</c:v>
                </c:pt>
                <c:pt idx="44">
                  <c:v>0.24527509885878498</c:v>
                </c:pt>
                <c:pt idx="45">
                  <c:v>0.25011910518337399</c:v>
                </c:pt>
                <c:pt idx="46">
                  <c:v>0.25495866175017801</c:v>
                </c:pt>
                <c:pt idx="47">
                  <c:v>0.25980177812320998</c:v>
                </c:pt>
                <c:pt idx="48">
                  <c:v>0.26508008080760098</c:v>
                </c:pt>
              </c:numCache>
            </c:numRef>
          </c:xVal>
          <c:yVal>
            <c:numRef>
              <c:f>Mougey!$F$136:$F$184</c:f>
              <c:numCache>
                <c:formatCode>0.000</c:formatCode>
                <c:ptCount val="49"/>
                <c:pt idx="0">
                  <c:v>2.7962201953582908</c:v>
                </c:pt>
                <c:pt idx="1">
                  <c:v>2.9680251381961571</c:v>
                </c:pt>
                <c:pt idx="2">
                  <c:v>3.4247216001099985</c:v>
                </c:pt>
                <c:pt idx="3">
                  <c:v>4.0948567427360487</c:v>
                </c:pt>
                <c:pt idx="4">
                  <c:v>4.6797167859260069</c:v>
                </c:pt>
                <c:pt idx="5">
                  <c:v>5.4923395517883664</c:v>
                </c:pt>
                <c:pt idx="6">
                  <c:v>6.1626419824957033</c:v>
                </c:pt>
                <c:pt idx="7">
                  <c:v>7.0464667379559156</c:v>
                </c:pt>
                <c:pt idx="8">
                  <c:v>7.6740479749045694</c:v>
                </c:pt>
                <c:pt idx="9">
                  <c:v>8.4297509711089678</c:v>
                </c:pt>
                <c:pt idx="10">
                  <c:v>8.9718479985198982</c:v>
                </c:pt>
                <c:pt idx="11">
                  <c:v>9.4426175702720307</c:v>
                </c:pt>
                <c:pt idx="12">
                  <c:v>9.6715094874931449</c:v>
                </c:pt>
                <c:pt idx="13">
                  <c:v>10.213564692883752</c:v>
                </c:pt>
                <c:pt idx="14">
                  <c:v>10.371212798486706</c:v>
                </c:pt>
                <c:pt idx="15">
                  <c:v>10.671139417224358</c:v>
                </c:pt>
                <c:pt idx="16">
                  <c:v>10.472777574838148</c:v>
                </c:pt>
                <c:pt idx="17">
                  <c:v>10.245767648531526</c:v>
                </c:pt>
                <c:pt idx="18">
                  <c:v>9.9904860364873684</c:v>
                </c:pt>
                <c:pt idx="19">
                  <c:v>9.5926331571662686</c:v>
                </c:pt>
                <c:pt idx="20">
                  <c:v>9.1094215343683995</c:v>
                </c:pt>
                <c:pt idx="21">
                  <c:v>8.3129211573400994</c:v>
                </c:pt>
                <c:pt idx="22">
                  <c:v>7.8581485083610367</c:v>
                </c:pt>
                <c:pt idx="23">
                  <c:v>7.0758467072319631</c:v>
                </c:pt>
                <c:pt idx="24">
                  <c:v>6.5641961106153</c:v>
                </c:pt>
                <c:pt idx="25">
                  <c:v>5.8245318592042752</c:v>
                </c:pt>
                <c:pt idx="26">
                  <c:v>4.8571048851208314</c:v>
                </c:pt>
                <c:pt idx="27">
                  <c:v>4.8010633778896405</c:v>
                </c:pt>
                <c:pt idx="28">
                  <c:v>4.3179772211527387</c:v>
                </c:pt>
                <c:pt idx="29">
                  <c:v>4.005524907328736</c:v>
                </c:pt>
                <c:pt idx="30">
                  <c:v>3.4937906666714205</c:v>
                </c:pt>
                <c:pt idx="31">
                  <c:v>3.1103036513308586</c:v>
                </c:pt>
                <c:pt idx="32">
                  <c:v>3.1254641336975015</c:v>
                </c:pt>
                <c:pt idx="33">
                  <c:v>2.8415762597532526</c:v>
                </c:pt>
                <c:pt idx="34">
                  <c:v>2.9564195275568617</c:v>
                </c:pt>
                <c:pt idx="35">
                  <c:v>2.8577404706076224</c:v>
                </c:pt>
                <c:pt idx="36">
                  <c:v>2.7163402198996796</c:v>
                </c:pt>
                <c:pt idx="37">
                  <c:v>2.6033371209902256</c:v>
                </c:pt>
                <c:pt idx="38">
                  <c:v>2.5615360116786041</c:v>
                </c:pt>
                <c:pt idx="39">
                  <c:v>2.5766128500046106</c:v>
                </c:pt>
                <c:pt idx="40">
                  <c:v>2.4780174370960073</c:v>
                </c:pt>
                <c:pt idx="41">
                  <c:v>2.6355818986583186</c:v>
                </c:pt>
                <c:pt idx="42">
                  <c:v>2.6792231768640966</c:v>
                </c:pt>
                <c:pt idx="43">
                  <c:v>2.7797424027074991</c:v>
                </c:pt>
                <c:pt idx="44">
                  <c:v>2.9658713041495854</c:v>
                </c:pt>
                <c:pt idx="45">
                  <c:v>3.0095125823553635</c:v>
                </c:pt>
                <c:pt idx="46">
                  <c:v>3.2525194314350729</c:v>
                </c:pt>
                <c:pt idx="47">
                  <c:v>3.3104011075604189</c:v>
                </c:pt>
                <c:pt idx="48">
                  <c:v>3.5819723965198977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C2-FD46-9479-01B9DE482C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718928"/>
        <c:axId val="1439329775"/>
      </c:scatterChart>
      <c:valAx>
        <c:axId val="4147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29775"/>
        <c:crosses val="autoZero"/>
        <c:crossBetween val="midCat"/>
      </c:valAx>
      <c:valAx>
        <c:axId val="143932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1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Barreau 0.4798 GeV</a:t>
            </a:r>
          </a:p>
        </c:rich>
      </c:tx>
      <c:layout>
        <c:manualLayout>
          <c:xMode val="edge"/>
          <c:yMode val="edge"/>
          <c:x val="0.4444444444444444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'Barreeau-corrected for errors'!$E$442:$E$508</c:f>
              <c:numCache>
                <c:formatCode>0.0000</c:formatCode>
                <c:ptCount val="67"/>
                <c:pt idx="0">
                  <c:v>6.2299999999999994E-2</c:v>
                </c:pt>
                <c:pt idx="1">
                  <c:v>6.7299999999999999E-2</c:v>
                </c:pt>
                <c:pt idx="2">
                  <c:v>7.2300000000000003E-2</c:v>
                </c:pt>
                <c:pt idx="3">
                  <c:v>7.7299999999999994E-2</c:v>
                </c:pt>
                <c:pt idx="4">
                  <c:v>8.2299999999999998E-2</c:v>
                </c:pt>
                <c:pt idx="5">
                  <c:v>8.7300000000000003E-2</c:v>
                </c:pt>
                <c:pt idx="6">
                  <c:v>9.2299999999999993E-2</c:v>
                </c:pt>
                <c:pt idx="7">
                  <c:v>9.7299999999999998E-2</c:v>
                </c:pt>
                <c:pt idx="8">
                  <c:v>0.1023</c:v>
                </c:pt>
                <c:pt idx="9">
                  <c:v>0.10729999999999999</c:v>
                </c:pt>
                <c:pt idx="10">
                  <c:v>0.1123</c:v>
                </c:pt>
                <c:pt idx="11">
                  <c:v>0.1173</c:v>
                </c:pt>
                <c:pt idx="12">
                  <c:v>0.12229999999999999</c:v>
                </c:pt>
                <c:pt idx="13">
                  <c:v>0.1273</c:v>
                </c:pt>
                <c:pt idx="14">
                  <c:v>0.1323</c:v>
                </c:pt>
                <c:pt idx="15">
                  <c:v>0.13730000000000001</c:v>
                </c:pt>
                <c:pt idx="16">
                  <c:v>0.14230000000000001</c:v>
                </c:pt>
                <c:pt idx="17">
                  <c:v>0.14730000000000001</c:v>
                </c:pt>
                <c:pt idx="18">
                  <c:v>0.15230000000000002</c:v>
                </c:pt>
                <c:pt idx="19">
                  <c:v>0.15730000000000002</c:v>
                </c:pt>
                <c:pt idx="20">
                  <c:v>0.1623</c:v>
                </c:pt>
                <c:pt idx="21">
                  <c:v>0.1673</c:v>
                </c:pt>
                <c:pt idx="22">
                  <c:v>0.17230000000000001</c:v>
                </c:pt>
                <c:pt idx="23">
                  <c:v>0.17730000000000001</c:v>
                </c:pt>
                <c:pt idx="24">
                  <c:v>0.18230000000000002</c:v>
                </c:pt>
                <c:pt idx="25">
                  <c:v>0.18730000000000002</c:v>
                </c:pt>
                <c:pt idx="26">
                  <c:v>0.1923</c:v>
                </c:pt>
                <c:pt idx="27">
                  <c:v>0.1973</c:v>
                </c:pt>
                <c:pt idx="28">
                  <c:v>0.20230000000000001</c:v>
                </c:pt>
                <c:pt idx="29">
                  <c:v>0.20730000000000001</c:v>
                </c:pt>
                <c:pt idx="30">
                  <c:v>0.21230000000000002</c:v>
                </c:pt>
                <c:pt idx="31">
                  <c:v>0.21730000000000002</c:v>
                </c:pt>
                <c:pt idx="32">
                  <c:v>0.2223</c:v>
                </c:pt>
                <c:pt idx="33">
                  <c:v>0.2273</c:v>
                </c:pt>
                <c:pt idx="34">
                  <c:v>0.23230000000000001</c:v>
                </c:pt>
                <c:pt idx="35">
                  <c:v>0.23730000000000001</c:v>
                </c:pt>
                <c:pt idx="36">
                  <c:v>0.24230000000000002</c:v>
                </c:pt>
                <c:pt idx="37">
                  <c:v>0.24730000000000002</c:v>
                </c:pt>
                <c:pt idx="38">
                  <c:v>0.25230000000000002</c:v>
                </c:pt>
                <c:pt idx="39">
                  <c:v>0.25730000000000003</c:v>
                </c:pt>
                <c:pt idx="40">
                  <c:v>0.26230000000000003</c:v>
                </c:pt>
                <c:pt idx="41">
                  <c:v>0.26730000000000004</c:v>
                </c:pt>
                <c:pt idx="42">
                  <c:v>0.27229999999999999</c:v>
                </c:pt>
                <c:pt idx="43">
                  <c:v>0.27729999999999999</c:v>
                </c:pt>
                <c:pt idx="44">
                  <c:v>0.2823</c:v>
                </c:pt>
                <c:pt idx="45">
                  <c:v>0.2873</c:v>
                </c:pt>
                <c:pt idx="46">
                  <c:v>0.2923</c:v>
                </c:pt>
                <c:pt idx="47">
                  <c:v>0.29730000000000001</c:v>
                </c:pt>
                <c:pt idx="48">
                  <c:v>0.30230000000000001</c:v>
                </c:pt>
                <c:pt idx="49">
                  <c:v>0.30730000000000002</c:v>
                </c:pt>
                <c:pt idx="50">
                  <c:v>0.31230000000000002</c:v>
                </c:pt>
                <c:pt idx="51">
                  <c:v>0.31730000000000003</c:v>
                </c:pt>
                <c:pt idx="52">
                  <c:v>0.32230000000000003</c:v>
                </c:pt>
                <c:pt idx="53">
                  <c:v>0.32730000000000004</c:v>
                </c:pt>
                <c:pt idx="54">
                  <c:v>0.33229999999999998</c:v>
                </c:pt>
                <c:pt idx="55">
                  <c:v>0.33729999999999999</c:v>
                </c:pt>
                <c:pt idx="56">
                  <c:v>0.34229999999999999</c:v>
                </c:pt>
                <c:pt idx="57">
                  <c:v>7.4999999999999997E-3</c:v>
                </c:pt>
                <c:pt idx="58">
                  <c:v>1.2500000000000001E-2</c:v>
                </c:pt>
                <c:pt idx="59">
                  <c:v>1.7500000000000002E-2</c:v>
                </c:pt>
                <c:pt idx="60">
                  <c:v>2.2499999999999999E-2</c:v>
                </c:pt>
                <c:pt idx="61">
                  <c:v>2.75E-2</c:v>
                </c:pt>
                <c:pt idx="62">
                  <c:v>3.2500000000000001E-2</c:v>
                </c:pt>
                <c:pt idx="63">
                  <c:v>3.7499999999999999E-2</c:v>
                </c:pt>
                <c:pt idx="64">
                  <c:v>4.2500000000000003E-2</c:v>
                </c:pt>
                <c:pt idx="65">
                  <c:v>4.7500000000000001E-2</c:v>
                </c:pt>
                <c:pt idx="66">
                  <c:v>5.2499999999999998E-2</c:v>
                </c:pt>
              </c:numCache>
            </c:numRef>
          </c:xVal>
          <c:yVal>
            <c:numRef>
              <c:f>'Barreeau-corrected for errors'!$F$442:$F$508</c:f>
              <c:numCache>
                <c:formatCode>0.00</c:formatCode>
                <c:ptCount val="67"/>
                <c:pt idx="0">
                  <c:v>4150</c:v>
                </c:pt>
                <c:pt idx="1">
                  <c:v>4780</c:v>
                </c:pt>
                <c:pt idx="2">
                  <c:v>5270</c:v>
                </c:pt>
                <c:pt idx="3">
                  <c:v>5740</c:v>
                </c:pt>
                <c:pt idx="4">
                  <c:v>6260</c:v>
                </c:pt>
                <c:pt idx="5">
                  <c:v>6660</c:v>
                </c:pt>
                <c:pt idx="6">
                  <c:v>6990</c:v>
                </c:pt>
                <c:pt idx="7">
                  <c:v>7510</c:v>
                </c:pt>
                <c:pt idx="8">
                  <c:v>7690</c:v>
                </c:pt>
                <c:pt idx="9">
                  <c:v>7890</c:v>
                </c:pt>
                <c:pt idx="10">
                  <c:v>8189.9999999999991</c:v>
                </c:pt>
                <c:pt idx="11">
                  <c:v>8010</c:v>
                </c:pt>
                <c:pt idx="12">
                  <c:v>8119.9999999999991</c:v>
                </c:pt>
                <c:pt idx="13">
                  <c:v>8150</c:v>
                </c:pt>
                <c:pt idx="14">
                  <c:v>7930</c:v>
                </c:pt>
                <c:pt idx="15">
                  <c:v>7650</c:v>
                </c:pt>
                <c:pt idx="16">
                  <c:v>7140</c:v>
                </c:pt>
                <c:pt idx="17">
                  <c:v>6640</c:v>
                </c:pt>
                <c:pt idx="18">
                  <c:v>6290</c:v>
                </c:pt>
                <c:pt idx="19">
                  <c:v>5860</c:v>
                </c:pt>
                <c:pt idx="20">
                  <c:v>5500</c:v>
                </c:pt>
                <c:pt idx="21">
                  <c:v>5170</c:v>
                </c:pt>
                <c:pt idx="22">
                  <c:v>4680</c:v>
                </c:pt>
                <c:pt idx="23">
                  <c:v>4330</c:v>
                </c:pt>
                <c:pt idx="24">
                  <c:v>3990</c:v>
                </c:pt>
                <c:pt idx="25">
                  <c:v>3680</c:v>
                </c:pt>
                <c:pt idx="26">
                  <c:v>3410</c:v>
                </c:pt>
                <c:pt idx="27">
                  <c:v>3260</c:v>
                </c:pt>
                <c:pt idx="28">
                  <c:v>3100</c:v>
                </c:pt>
                <c:pt idx="29">
                  <c:v>2960</c:v>
                </c:pt>
                <c:pt idx="30">
                  <c:v>2850</c:v>
                </c:pt>
                <c:pt idx="31">
                  <c:v>2760</c:v>
                </c:pt>
                <c:pt idx="32">
                  <c:v>2690</c:v>
                </c:pt>
                <c:pt idx="33">
                  <c:v>2710</c:v>
                </c:pt>
                <c:pt idx="34">
                  <c:v>2700</c:v>
                </c:pt>
                <c:pt idx="35">
                  <c:v>2790</c:v>
                </c:pt>
                <c:pt idx="36">
                  <c:v>2770</c:v>
                </c:pt>
                <c:pt idx="37">
                  <c:v>2940</c:v>
                </c:pt>
                <c:pt idx="38">
                  <c:v>3070</c:v>
                </c:pt>
                <c:pt idx="39">
                  <c:v>3180</c:v>
                </c:pt>
                <c:pt idx="40">
                  <c:v>3210</c:v>
                </c:pt>
                <c:pt idx="41">
                  <c:v>3300</c:v>
                </c:pt>
                <c:pt idx="42">
                  <c:v>3330</c:v>
                </c:pt>
                <c:pt idx="43">
                  <c:v>3470</c:v>
                </c:pt>
                <c:pt idx="44">
                  <c:v>3650</c:v>
                </c:pt>
                <c:pt idx="45">
                  <c:v>3700</c:v>
                </c:pt>
                <c:pt idx="46">
                  <c:v>3820</c:v>
                </c:pt>
                <c:pt idx="47">
                  <c:v>4040</c:v>
                </c:pt>
                <c:pt idx="48">
                  <c:v>4000</c:v>
                </c:pt>
                <c:pt idx="49">
                  <c:v>4110</c:v>
                </c:pt>
                <c:pt idx="50">
                  <c:v>4340</c:v>
                </c:pt>
                <c:pt idx="51">
                  <c:v>4380</c:v>
                </c:pt>
                <c:pt idx="52">
                  <c:v>4260</c:v>
                </c:pt>
                <c:pt idx="53">
                  <c:v>4450</c:v>
                </c:pt>
                <c:pt idx="54">
                  <c:v>4550</c:v>
                </c:pt>
                <c:pt idx="55">
                  <c:v>4530</c:v>
                </c:pt>
                <c:pt idx="56">
                  <c:v>4620</c:v>
                </c:pt>
                <c:pt idx="57">
                  <c:v>830</c:v>
                </c:pt>
                <c:pt idx="58">
                  <c:v>1210</c:v>
                </c:pt>
                <c:pt idx="59">
                  <c:v>1320</c:v>
                </c:pt>
                <c:pt idx="60">
                  <c:v>1770</c:v>
                </c:pt>
                <c:pt idx="61">
                  <c:v>2960</c:v>
                </c:pt>
                <c:pt idx="62">
                  <c:v>3140</c:v>
                </c:pt>
                <c:pt idx="63">
                  <c:v>3640</c:v>
                </c:pt>
                <c:pt idx="64">
                  <c:v>4360</c:v>
                </c:pt>
                <c:pt idx="65">
                  <c:v>4940</c:v>
                </c:pt>
                <c:pt idx="66">
                  <c:v>5800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26-1248-B816-8B2253992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213423"/>
        <c:axId val="1372120351"/>
      </c:scatterChart>
      <c:valAx>
        <c:axId val="137221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20351"/>
        <c:crosses val="autoZero"/>
        <c:crossBetween val="midCat"/>
      </c:valAx>
      <c:valAx>
        <c:axId val="137212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2134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0.4798 GeV 60 deg Barreau</a:t>
            </a:r>
          </a:p>
          <a:p>
            <a:pPr>
              <a:defRPr/>
            </a:pPr>
            <a:r>
              <a:rPr lang="en-US"/>
              <a:t>0.480</a:t>
            </a:r>
            <a:r>
              <a:rPr lang="en-US" baseline="0"/>
              <a:t> GeV Mougey</a:t>
            </a: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74940420583019"/>
          <c:y val="0.21372060819983713"/>
          <c:w val="0.79308478389353876"/>
          <c:h val="0.49842899809937552"/>
        </c:manualLayout>
      </c:layout>
      <c:scatterChart>
        <c:scatterStyle val="lineMarker"/>
        <c:varyColors val="0"/>
        <c:ser>
          <c:idx val="0"/>
          <c:order val="0"/>
          <c:tx>
            <c:v>Barreau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'Barreeau-corrected for errors'!$E$442:$E$508</c:f>
              <c:numCache>
                <c:formatCode>0.0000</c:formatCode>
                <c:ptCount val="67"/>
                <c:pt idx="0">
                  <c:v>6.2299999999999994E-2</c:v>
                </c:pt>
                <c:pt idx="1">
                  <c:v>6.7299999999999999E-2</c:v>
                </c:pt>
                <c:pt idx="2">
                  <c:v>7.2300000000000003E-2</c:v>
                </c:pt>
                <c:pt idx="3">
                  <c:v>7.7299999999999994E-2</c:v>
                </c:pt>
                <c:pt idx="4">
                  <c:v>8.2299999999999998E-2</c:v>
                </c:pt>
                <c:pt idx="5">
                  <c:v>8.7300000000000003E-2</c:v>
                </c:pt>
                <c:pt idx="6">
                  <c:v>9.2299999999999993E-2</c:v>
                </c:pt>
                <c:pt idx="7">
                  <c:v>9.7299999999999998E-2</c:v>
                </c:pt>
                <c:pt idx="8">
                  <c:v>0.1023</c:v>
                </c:pt>
                <c:pt idx="9">
                  <c:v>0.10729999999999999</c:v>
                </c:pt>
                <c:pt idx="10">
                  <c:v>0.1123</c:v>
                </c:pt>
                <c:pt idx="11">
                  <c:v>0.1173</c:v>
                </c:pt>
                <c:pt idx="12">
                  <c:v>0.12229999999999999</c:v>
                </c:pt>
                <c:pt idx="13">
                  <c:v>0.1273</c:v>
                </c:pt>
                <c:pt idx="14">
                  <c:v>0.1323</c:v>
                </c:pt>
                <c:pt idx="15">
                  <c:v>0.13730000000000001</c:v>
                </c:pt>
                <c:pt idx="16">
                  <c:v>0.14230000000000001</c:v>
                </c:pt>
                <c:pt idx="17">
                  <c:v>0.14730000000000001</c:v>
                </c:pt>
                <c:pt idx="18">
                  <c:v>0.15230000000000002</c:v>
                </c:pt>
                <c:pt idx="19">
                  <c:v>0.15730000000000002</c:v>
                </c:pt>
                <c:pt idx="20">
                  <c:v>0.1623</c:v>
                </c:pt>
                <c:pt idx="21">
                  <c:v>0.1673</c:v>
                </c:pt>
                <c:pt idx="22">
                  <c:v>0.17230000000000001</c:v>
                </c:pt>
                <c:pt idx="23">
                  <c:v>0.17730000000000001</c:v>
                </c:pt>
                <c:pt idx="24">
                  <c:v>0.18230000000000002</c:v>
                </c:pt>
                <c:pt idx="25">
                  <c:v>0.18730000000000002</c:v>
                </c:pt>
                <c:pt idx="26">
                  <c:v>0.1923</c:v>
                </c:pt>
                <c:pt idx="27">
                  <c:v>0.1973</c:v>
                </c:pt>
                <c:pt idx="28">
                  <c:v>0.20230000000000001</c:v>
                </c:pt>
                <c:pt idx="29">
                  <c:v>0.20730000000000001</c:v>
                </c:pt>
                <c:pt idx="30">
                  <c:v>0.21230000000000002</c:v>
                </c:pt>
                <c:pt idx="31">
                  <c:v>0.21730000000000002</c:v>
                </c:pt>
                <c:pt idx="32">
                  <c:v>0.2223</c:v>
                </c:pt>
                <c:pt idx="33">
                  <c:v>0.2273</c:v>
                </c:pt>
                <c:pt idx="34">
                  <c:v>0.23230000000000001</c:v>
                </c:pt>
                <c:pt idx="35">
                  <c:v>0.23730000000000001</c:v>
                </c:pt>
                <c:pt idx="36">
                  <c:v>0.24230000000000002</c:v>
                </c:pt>
                <c:pt idx="37">
                  <c:v>0.24730000000000002</c:v>
                </c:pt>
                <c:pt idx="38">
                  <c:v>0.25230000000000002</c:v>
                </c:pt>
                <c:pt idx="39">
                  <c:v>0.25730000000000003</c:v>
                </c:pt>
                <c:pt idx="40">
                  <c:v>0.26230000000000003</c:v>
                </c:pt>
                <c:pt idx="41">
                  <c:v>0.26730000000000004</c:v>
                </c:pt>
                <c:pt idx="42">
                  <c:v>0.27229999999999999</c:v>
                </c:pt>
                <c:pt idx="43">
                  <c:v>0.27729999999999999</c:v>
                </c:pt>
                <c:pt idx="44">
                  <c:v>0.2823</c:v>
                </c:pt>
                <c:pt idx="45">
                  <c:v>0.2873</c:v>
                </c:pt>
                <c:pt idx="46">
                  <c:v>0.2923</c:v>
                </c:pt>
                <c:pt idx="47">
                  <c:v>0.29730000000000001</c:v>
                </c:pt>
                <c:pt idx="48">
                  <c:v>0.30230000000000001</c:v>
                </c:pt>
                <c:pt idx="49">
                  <c:v>0.30730000000000002</c:v>
                </c:pt>
                <c:pt idx="50">
                  <c:v>0.31230000000000002</c:v>
                </c:pt>
                <c:pt idx="51">
                  <c:v>0.31730000000000003</c:v>
                </c:pt>
                <c:pt idx="52">
                  <c:v>0.32230000000000003</c:v>
                </c:pt>
                <c:pt idx="53">
                  <c:v>0.32730000000000004</c:v>
                </c:pt>
                <c:pt idx="54">
                  <c:v>0.33229999999999998</c:v>
                </c:pt>
                <c:pt idx="55">
                  <c:v>0.33729999999999999</c:v>
                </c:pt>
                <c:pt idx="56">
                  <c:v>0.34229999999999999</c:v>
                </c:pt>
                <c:pt idx="57">
                  <c:v>7.4999999999999997E-3</c:v>
                </c:pt>
                <c:pt idx="58">
                  <c:v>1.2500000000000001E-2</c:v>
                </c:pt>
                <c:pt idx="59">
                  <c:v>1.7500000000000002E-2</c:v>
                </c:pt>
                <c:pt idx="60">
                  <c:v>2.2499999999999999E-2</c:v>
                </c:pt>
                <c:pt idx="61">
                  <c:v>2.75E-2</c:v>
                </c:pt>
                <c:pt idx="62">
                  <c:v>3.2500000000000001E-2</c:v>
                </c:pt>
                <c:pt idx="63">
                  <c:v>3.7499999999999999E-2</c:v>
                </c:pt>
                <c:pt idx="64">
                  <c:v>4.2500000000000003E-2</c:v>
                </c:pt>
                <c:pt idx="65">
                  <c:v>4.7500000000000001E-2</c:v>
                </c:pt>
                <c:pt idx="66">
                  <c:v>5.2499999999999998E-2</c:v>
                </c:pt>
              </c:numCache>
            </c:numRef>
          </c:xVal>
          <c:yVal>
            <c:numRef>
              <c:f>'Barreeau-corrected for errors'!$F$442:$F$508</c:f>
              <c:numCache>
                <c:formatCode>0.00</c:formatCode>
                <c:ptCount val="67"/>
                <c:pt idx="0">
                  <c:v>4150</c:v>
                </c:pt>
                <c:pt idx="1">
                  <c:v>4780</c:v>
                </c:pt>
                <c:pt idx="2">
                  <c:v>5270</c:v>
                </c:pt>
                <c:pt idx="3">
                  <c:v>5740</c:v>
                </c:pt>
                <c:pt idx="4">
                  <c:v>6260</c:v>
                </c:pt>
                <c:pt idx="5">
                  <c:v>6660</c:v>
                </c:pt>
                <c:pt idx="6">
                  <c:v>6990</c:v>
                </c:pt>
                <c:pt idx="7">
                  <c:v>7510</c:v>
                </c:pt>
                <c:pt idx="8">
                  <c:v>7690</c:v>
                </c:pt>
                <c:pt idx="9">
                  <c:v>7890</c:v>
                </c:pt>
                <c:pt idx="10">
                  <c:v>8189.9999999999991</c:v>
                </c:pt>
                <c:pt idx="11">
                  <c:v>8010</c:v>
                </c:pt>
                <c:pt idx="12">
                  <c:v>8119.9999999999991</c:v>
                </c:pt>
                <c:pt idx="13">
                  <c:v>8150</c:v>
                </c:pt>
                <c:pt idx="14">
                  <c:v>7930</c:v>
                </c:pt>
                <c:pt idx="15">
                  <c:v>7650</c:v>
                </c:pt>
                <c:pt idx="16">
                  <c:v>7140</c:v>
                </c:pt>
                <c:pt idx="17">
                  <c:v>6640</c:v>
                </c:pt>
                <c:pt idx="18">
                  <c:v>6290</c:v>
                </c:pt>
                <c:pt idx="19">
                  <c:v>5860</c:v>
                </c:pt>
                <c:pt idx="20">
                  <c:v>5500</c:v>
                </c:pt>
                <c:pt idx="21">
                  <c:v>5170</c:v>
                </c:pt>
                <c:pt idx="22">
                  <c:v>4680</c:v>
                </c:pt>
                <c:pt idx="23">
                  <c:v>4330</c:v>
                </c:pt>
                <c:pt idx="24">
                  <c:v>3990</c:v>
                </c:pt>
                <c:pt idx="25">
                  <c:v>3680</c:v>
                </c:pt>
                <c:pt idx="26">
                  <c:v>3410</c:v>
                </c:pt>
                <c:pt idx="27">
                  <c:v>3260</c:v>
                </c:pt>
                <c:pt idx="28">
                  <c:v>3100</c:v>
                </c:pt>
                <c:pt idx="29">
                  <c:v>2960</c:v>
                </c:pt>
                <c:pt idx="30">
                  <c:v>2850</c:v>
                </c:pt>
                <c:pt idx="31">
                  <c:v>2760</c:v>
                </c:pt>
                <c:pt idx="32">
                  <c:v>2690</c:v>
                </c:pt>
                <c:pt idx="33">
                  <c:v>2710</c:v>
                </c:pt>
                <c:pt idx="34">
                  <c:v>2700</c:v>
                </c:pt>
                <c:pt idx="35">
                  <c:v>2790</c:v>
                </c:pt>
                <c:pt idx="36">
                  <c:v>2770</c:v>
                </c:pt>
                <c:pt idx="37">
                  <c:v>2940</c:v>
                </c:pt>
                <c:pt idx="38">
                  <c:v>3070</c:v>
                </c:pt>
                <c:pt idx="39">
                  <c:v>3180</c:v>
                </c:pt>
                <c:pt idx="40">
                  <c:v>3210</c:v>
                </c:pt>
                <c:pt idx="41">
                  <c:v>3300</c:v>
                </c:pt>
                <c:pt idx="42">
                  <c:v>3330</c:v>
                </c:pt>
                <c:pt idx="43">
                  <c:v>3470</c:v>
                </c:pt>
                <c:pt idx="44">
                  <c:v>3650</c:v>
                </c:pt>
                <c:pt idx="45">
                  <c:v>3700</c:v>
                </c:pt>
                <c:pt idx="46">
                  <c:v>3820</c:v>
                </c:pt>
                <c:pt idx="47">
                  <c:v>4040</c:v>
                </c:pt>
                <c:pt idx="48">
                  <c:v>4000</c:v>
                </c:pt>
                <c:pt idx="49">
                  <c:v>4110</c:v>
                </c:pt>
                <c:pt idx="50">
                  <c:v>4340</c:v>
                </c:pt>
                <c:pt idx="51">
                  <c:v>4380</c:v>
                </c:pt>
                <c:pt idx="52">
                  <c:v>4260</c:v>
                </c:pt>
                <c:pt idx="53">
                  <c:v>4450</c:v>
                </c:pt>
                <c:pt idx="54">
                  <c:v>4550</c:v>
                </c:pt>
                <c:pt idx="55">
                  <c:v>4530</c:v>
                </c:pt>
                <c:pt idx="56">
                  <c:v>4620</c:v>
                </c:pt>
                <c:pt idx="57">
                  <c:v>830</c:v>
                </c:pt>
                <c:pt idx="58">
                  <c:v>1210</c:v>
                </c:pt>
                <c:pt idx="59">
                  <c:v>1320</c:v>
                </c:pt>
                <c:pt idx="60">
                  <c:v>1770</c:v>
                </c:pt>
                <c:pt idx="61">
                  <c:v>2960</c:v>
                </c:pt>
                <c:pt idx="62">
                  <c:v>3140</c:v>
                </c:pt>
                <c:pt idx="63">
                  <c:v>3640</c:v>
                </c:pt>
                <c:pt idx="64">
                  <c:v>4360</c:v>
                </c:pt>
                <c:pt idx="65">
                  <c:v>4940</c:v>
                </c:pt>
                <c:pt idx="66">
                  <c:v>5800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63-B544-B9AA-0DE81DF36C62}"/>
            </c:ext>
          </c:extLst>
        </c:ser>
        <c:ser>
          <c:idx val="1"/>
          <c:order val="1"/>
          <c:tx>
            <c:v>Mougey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Mougey!$E$69:$E$134</c:f>
              <c:numCache>
                <c:formatCode>0.0000</c:formatCode>
                <c:ptCount val="66"/>
                <c:pt idx="0">
                  <c:v>1.12911657083115E-2</c:v>
                </c:pt>
                <c:pt idx="1">
                  <c:v>1.6309461578672198E-2</c:v>
                </c:pt>
                <c:pt idx="2">
                  <c:v>2.1641400940930398E-2</c:v>
                </c:pt>
                <c:pt idx="3">
                  <c:v>2.63460533193936E-2</c:v>
                </c:pt>
                <c:pt idx="4">
                  <c:v>3.1207527443805498E-2</c:v>
                </c:pt>
                <c:pt idx="5">
                  <c:v>3.6225823314166197E-2</c:v>
                </c:pt>
                <c:pt idx="6">
                  <c:v>4.1400940930475597E-2</c:v>
                </c:pt>
                <c:pt idx="7">
                  <c:v>4.6105593308938798E-2</c:v>
                </c:pt>
                <c:pt idx="8">
                  <c:v>5.1594354417145799E-2</c:v>
                </c:pt>
                <c:pt idx="9">
                  <c:v>5.6455828541557701E-2</c:v>
                </c:pt>
                <c:pt idx="10">
                  <c:v>6.14741244119184E-2</c:v>
                </c:pt>
                <c:pt idx="11">
                  <c:v>6.6492420282279099E-2</c:v>
                </c:pt>
                <c:pt idx="12">
                  <c:v>7.1040250914793504E-2</c:v>
                </c:pt>
                <c:pt idx="13">
                  <c:v>7.6215368531102903E-2</c:v>
                </c:pt>
                <c:pt idx="14">
                  <c:v>8.0920020909566098E-2</c:v>
                </c:pt>
                <c:pt idx="15">
                  <c:v>8.6408782017773106E-2</c:v>
                </c:pt>
                <c:pt idx="16">
                  <c:v>9.1270256142185008E-2</c:v>
                </c:pt>
                <c:pt idx="17">
                  <c:v>9.6602195504443197E-2</c:v>
                </c:pt>
                <c:pt idx="18">
                  <c:v>0.101777313120752</c:v>
                </c:pt>
                <c:pt idx="19">
                  <c:v>0.106325143753267</c:v>
                </c:pt>
                <c:pt idx="20">
                  <c:v>0.111343439623627</c:v>
                </c:pt>
                <c:pt idx="21">
                  <c:v>0.116361735493988</c:v>
                </c:pt>
                <c:pt idx="22">
                  <c:v>0.12153685311029701</c:v>
                </c:pt>
                <c:pt idx="23">
                  <c:v>0.12655514898065801</c:v>
                </c:pt>
                <c:pt idx="24">
                  <c:v>0.13141662310506999</c:v>
                </c:pt>
                <c:pt idx="25">
                  <c:v>0.13659174072138</c:v>
                </c:pt>
                <c:pt idx="26">
                  <c:v>0.14145321484579099</c:v>
                </c:pt>
                <c:pt idx="27">
                  <c:v>0.14662833246210102</c:v>
                </c:pt>
                <c:pt idx="28">
                  <c:v>0.15164662833246201</c:v>
                </c:pt>
                <c:pt idx="29">
                  <c:v>0.15635128071092502</c:v>
                </c:pt>
                <c:pt idx="30">
                  <c:v>0.161683220073183</c:v>
                </c:pt>
                <c:pt idx="31">
                  <c:v>0.16654469419759499</c:v>
                </c:pt>
                <c:pt idx="32">
                  <c:v>0.171562990067956</c:v>
                </c:pt>
                <c:pt idx="33">
                  <c:v>0.17689492943021401</c:v>
                </c:pt>
                <c:pt idx="34">
                  <c:v>0.18191322530057499</c:v>
                </c:pt>
                <c:pt idx="35">
                  <c:v>0.18693152117093501</c:v>
                </c:pt>
                <c:pt idx="36">
                  <c:v>0.19242028227914199</c:v>
                </c:pt>
                <c:pt idx="37">
                  <c:v>0.197124934657605</c:v>
                </c:pt>
                <c:pt idx="38">
                  <c:v>0.20214323052796601</c:v>
                </c:pt>
                <c:pt idx="39">
                  <c:v>0.207161526398327</c:v>
                </c:pt>
                <c:pt idx="40">
                  <c:v>0.21217982226868698</c:v>
                </c:pt>
                <c:pt idx="41">
                  <c:v>0.21735493988499702</c:v>
                </c:pt>
                <c:pt idx="42">
                  <c:v>0.222373235755358</c:v>
                </c:pt>
                <c:pt idx="43">
                  <c:v>0.22739153162571799</c:v>
                </c:pt>
                <c:pt idx="44">
                  <c:v>0.23178254051228397</c:v>
                </c:pt>
                <c:pt idx="45">
                  <c:v>0.23742812336643998</c:v>
                </c:pt>
                <c:pt idx="46">
                  <c:v>0.24213277574490299</c:v>
                </c:pt>
                <c:pt idx="47">
                  <c:v>0.247464715107161</c:v>
                </c:pt>
                <c:pt idx="48">
                  <c:v>0.25216936748562402</c:v>
                </c:pt>
                <c:pt idx="49">
                  <c:v>0.25718766335598503</c:v>
                </c:pt>
                <c:pt idx="50">
                  <c:v>0.26220595922634599</c:v>
                </c:pt>
                <c:pt idx="51">
                  <c:v>0.266910611604809</c:v>
                </c:pt>
                <c:pt idx="52">
                  <c:v>0.27224255096706701</c:v>
                </c:pt>
                <c:pt idx="53">
                  <c:v>0.27741766858337596</c:v>
                </c:pt>
                <c:pt idx="54">
                  <c:v>0.28259278619968597</c:v>
                </c:pt>
                <c:pt idx="55">
                  <c:v>0.28729743857814899</c:v>
                </c:pt>
                <c:pt idx="56">
                  <c:v>0.292629377940407</c:v>
                </c:pt>
                <c:pt idx="57">
                  <c:v>0.29733403031887001</c:v>
                </c:pt>
                <c:pt idx="58">
                  <c:v>0.30266596968112902</c:v>
                </c:pt>
                <c:pt idx="59">
                  <c:v>0.30768426555148898</c:v>
                </c:pt>
                <c:pt idx="60">
                  <c:v>0.31270256142185004</c:v>
                </c:pt>
                <c:pt idx="61">
                  <c:v>0.317407213800313</c:v>
                </c:pt>
                <c:pt idx="62">
                  <c:v>0.32242550967067402</c:v>
                </c:pt>
                <c:pt idx="63">
                  <c:v>0.32775744903293202</c:v>
                </c:pt>
                <c:pt idx="64">
                  <c:v>0.33277574490329298</c:v>
                </c:pt>
                <c:pt idx="65">
                  <c:v>0.33779404077365305</c:v>
                </c:pt>
              </c:numCache>
            </c:numRef>
          </c:xVal>
          <c:yVal>
            <c:numRef>
              <c:f>Mougey!$F$69:$F$134</c:f>
              <c:numCache>
                <c:formatCode>0.000</c:formatCode>
                <c:ptCount val="66"/>
                <c:pt idx="0">
                  <c:v>0.38702404826996911</c:v>
                </c:pt>
                <c:pt idx="1">
                  <c:v>0.34916300006964546</c:v>
                </c:pt>
                <c:pt idx="2">
                  <c:v>0.47957327720409215</c:v>
                </c:pt>
                <c:pt idx="3">
                  <c:v>1.2788620725442617</c:v>
                </c:pt>
                <c:pt idx="4">
                  <c:v>1.7710556991484689</c:v>
                </c:pt>
                <c:pt idx="5">
                  <c:v>1.8089167473487926</c:v>
                </c:pt>
                <c:pt idx="6">
                  <c:v>2.1749068799519202</c:v>
                </c:pt>
                <c:pt idx="7">
                  <c:v>2.6334462414891768</c:v>
                </c:pt>
                <c:pt idx="8">
                  <c:v>3.2392230126943464</c:v>
                </c:pt>
                <c:pt idx="9">
                  <c:v>3.6514877597645361</c:v>
                </c:pt>
                <c:pt idx="10">
                  <c:v>4.2951255791700369</c:v>
                </c:pt>
                <c:pt idx="11">
                  <c:v>4.9387633985755395</c:v>
                </c:pt>
                <c:pt idx="12">
                  <c:v>5.4730248565134465</c:v>
                </c:pt>
                <c:pt idx="13">
                  <c:v>5.9441845674507983</c:v>
                </c:pt>
                <c:pt idx="14">
                  <c:v>6.5499613386559945</c:v>
                </c:pt>
                <c:pt idx="15">
                  <c:v>6.9243650375258454</c:v>
                </c:pt>
                <c:pt idx="16">
                  <c:v>7.3029755195290855</c:v>
                </c:pt>
                <c:pt idx="17">
                  <c:v>7.7909623629999327</c:v>
                </c:pt>
                <c:pt idx="18">
                  <c:v>8.0223354353352452</c:v>
                </c:pt>
                <c:pt idx="19">
                  <c:v>8.2200542426036041</c:v>
                </c:pt>
                <c:pt idx="20">
                  <c:v>8.5061154956727023</c:v>
                </c:pt>
                <c:pt idx="21">
                  <c:v>8.371498435404888</c:v>
                </c:pt>
                <c:pt idx="22">
                  <c:v>8.455634098072272</c:v>
                </c:pt>
                <c:pt idx="23">
                  <c:v>8.5145290619394469</c:v>
                </c:pt>
                <c:pt idx="24">
                  <c:v>8.2873627727375059</c:v>
                </c:pt>
                <c:pt idx="25">
                  <c:v>7.9844743871349078</c:v>
                </c:pt>
                <c:pt idx="26">
                  <c:v>7.4375925797969042</c:v>
                </c:pt>
                <c:pt idx="27">
                  <c:v>6.894917555592265</c:v>
                </c:pt>
                <c:pt idx="28">
                  <c:v>6.6130630856565213</c:v>
                </c:pt>
                <c:pt idx="29">
                  <c:v>6.0830084108519991</c:v>
                </c:pt>
                <c:pt idx="30">
                  <c:v>5.7759132421160295</c:v>
                </c:pt>
                <c:pt idx="31">
                  <c:v>5.3846824107126947</c:v>
                </c:pt>
                <c:pt idx="32">
                  <c:v>4.8840752178417359</c:v>
                </c:pt>
                <c:pt idx="33">
                  <c:v>4.4760172539049154</c:v>
                </c:pt>
                <c:pt idx="34">
                  <c:v>4.0974067719016753</c:v>
                </c:pt>
                <c:pt idx="35">
                  <c:v>3.7608641212321436</c:v>
                </c:pt>
                <c:pt idx="36">
                  <c:v>3.5084571332299781</c:v>
                </c:pt>
                <c:pt idx="37">
                  <c:v>3.2560501452278143</c:v>
                </c:pt>
                <c:pt idx="38">
                  <c:v>3.1466737837602072</c:v>
                </c:pt>
                <c:pt idx="39">
                  <c:v>2.9868160246921871</c:v>
                </c:pt>
                <c:pt idx="40">
                  <c:v>2.8437853981576415</c:v>
                </c:pt>
                <c:pt idx="41">
                  <c:v>2.7386158198234076</c:v>
                </c:pt>
                <c:pt idx="42">
                  <c:v>2.658686940289392</c:v>
                </c:pt>
                <c:pt idx="43">
                  <c:v>2.658686940289392</c:v>
                </c:pt>
                <c:pt idx="44">
                  <c:v>2.6755140728228692</c:v>
                </c:pt>
                <c:pt idx="45">
                  <c:v>2.7428226029567786</c:v>
                </c:pt>
                <c:pt idx="46">
                  <c:v>2.7217886872899317</c:v>
                </c:pt>
                <c:pt idx="47">
                  <c:v>2.8774396632245964</c:v>
                </c:pt>
                <c:pt idx="48">
                  <c:v>2.9026803620248023</c:v>
                </c:pt>
                <c:pt idx="49">
                  <c:v>2.9447481933585027</c:v>
                </c:pt>
                <c:pt idx="50">
                  <c:v>2.9447481933585031</c:v>
                </c:pt>
                <c:pt idx="51">
                  <c:v>2.9489549764918723</c:v>
                </c:pt>
                <c:pt idx="52">
                  <c:v>3.0541245548260973</c:v>
                </c:pt>
                <c:pt idx="53">
                  <c:v>3.1466737837602223</c:v>
                </c:pt>
                <c:pt idx="54">
                  <c:v>3.2939111934281353</c:v>
                </c:pt>
                <c:pt idx="55">
                  <c:v>3.251843362094442</c:v>
                </c:pt>
                <c:pt idx="56">
                  <c:v>3.4579757356295455</c:v>
                </c:pt>
                <c:pt idx="57">
                  <c:v>3.8365862176327847</c:v>
                </c:pt>
                <c:pt idx="58">
                  <c:v>3.7734844706322548</c:v>
                </c:pt>
                <c:pt idx="59">
                  <c:v>4.0385118080345164</c:v>
                </c:pt>
                <c:pt idx="60">
                  <c:v>4.1436813863687378</c:v>
                </c:pt>
                <c:pt idx="61">
                  <c:v>4.2572645309697155</c:v>
                </c:pt>
                <c:pt idx="62">
                  <c:v>4.3582273261705833</c:v>
                </c:pt>
                <c:pt idx="63">
                  <c:v>4.3834680249707914</c:v>
                </c:pt>
                <c:pt idx="64">
                  <c:v>4.6106343141727448</c:v>
                </c:pt>
                <c:pt idx="65">
                  <c:v>4.8798684347083645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E63-B544-B9AA-0DE81DF36C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718928"/>
        <c:axId val="1439329775"/>
      </c:scatterChart>
      <c:valAx>
        <c:axId val="4147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29775"/>
        <c:crosses val="autoZero"/>
        <c:crossBetween val="midCat"/>
      </c:valAx>
      <c:valAx>
        <c:axId val="143932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1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0.440 GeV 60 deg Barraeau</a:t>
            </a:r>
          </a:p>
          <a:p>
            <a:pPr>
              <a:defRPr/>
            </a:pPr>
            <a:r>
              <a:rPr lang="en-US"/>
              <a:t>0.440 GeV  Mougy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953632914529753"/>
          <c:y val="0.19952961570102246"/>
          <c:w val="0.79308478389353876"/>
          <c:h val="0.53376660007051357"/>
        </c:manualLayout>
      </c:layout>
      <c:scatterChart>
        <c:scatterStyle val="lineMarker"/>
        <c:varyColors val="0"/>
        <c:ser>
          <c:idx val="0"/>
          <c:order val="0"/>
          <c:tx>
            <c:v>Barraeau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'Barreeau-corrected for errors'!$E$509:$E$563</c:f>
              <c:numCache>
                <c:formatCode>0.0000</c:formatCode>
                <c:ptCount val="55"/>
                <c:pt idx="0">
                  <c:v>5.7500000000000002E-2</c:v>
                </c:pt>
                <c:pt idx="1">
                  <c:v>6.25E-2</c:v>
                </c:pt>
                <c:pt idx="2">
                  <c:v>6.7500000000000004E-2</c:v>
                </c:pt>
                <c:pt idx="3">
                  <c:v>7.2499999999999995E-2</c:v>
                </c:pt>
                <c:pt idx="4">
                  <c:v>7.7499999999999999E-2</c:v>
                </c:pt>
                <c:pt idx="5">
                  <c:v>8.2500000000000004E-2</c:v>
                </c:pt>
                <c:pt idx="6">
                  <c:v>8.7499999999999994E-2</c:v>
                </c:pt>
                <c:pt idx="7">
                  <c:v>9.2499999999999999E-2</c:v>
                </c:pt>
                <c:pt idx="8">
                  <c:v>9.7500000000000003E-2</c:v>
                </c:pt>
                <c:pt idx="9">
                  <c:v>0.10249999999999999</c:v>
                </c:pt>
                <c:pt idx="10">
                  <c:v>0.1075</c:v>
                </c:pt>
                <c:pt idx="11">
                  <c:v>0.1125</c:v>
                </c:pt>
                <c:pt idx="12">
                  <c:v>0.11749999999999999</c:v>
                </c:pt>
                <c:pt idx="13">
                  <c:v>0.1225</c:v>
                </c:pt>
                <c:pt idx="14">
                  <c:v>0.1275</c:v>
                </c:pt>
                <c:pt idx="15">
                  <c:v>0.13250000000000001</c:v>
                </c:pt>
                <c:pt idx="16">
                  <c:v>0.13750000000000001</c:v>
                </c:pt>
                <c:pt idx="17">
                  <c:v>0.14249999999999999</c:v>
                </c:pt>
                <c:pt idx="18">
                  <c:v>0.14749999999999999</c:v>
                </c:pt>
                <c:pt idx="19">
                  <c:v>0.1525</c:v>
                </c:pt>
                <c:pt idx="20">
                  <c:v>0.1575</c:v>
                </c:pt>
                <c:pt idx="21">
                  <c:v>0.16250000000000001</c:v>
                </c:pt>
                <c:pt idx="22">
                  <c:v>0.16750000000000001</c:v>
                </c:pt>
                <c:pt idx="23">
                  <c:v>0.17249999999999999</c:v>
                </c:pt>
                <c:pt idx="24">
                  <c:v>0.17749999999999999</c:v>
                </c:pt>
                <c:pt idx="25">
                  <c:v>0.1825</c:v>
                </c:pt>
                <c:pt idx="26">
                  <c:v>0.1875</c:v>
                </c:pt>
                <c:pt idx="27">
                  <c:v>0.1925</c:v>
                </c:pt>
                <c:pt idx="28">
                  <c:v>0.19750000000000001</c:v>
                </c:pt>
                <c:pt idx="29">
                  <c:v>0.20250000000000001</c:v>
                </c:pt>
                <c:pt idx="30">
                  <c:v>0.20749999999999999</c:v>
                </c:pt>
                <c:pt idx="31">
                  <c:v>0.21249999999999999</c:v>
                </c:pt>
                <c:pt idx="32">
                  <c:v>0.2175</c:v>
                </c:pt>
                <c:pt idx="33">
                  <c:v>0.2225</c:v>
                </c:pt>
                <c:pt idx="34">
                  <c:v>0.22750000000000001</c:v>
                </c:pt>
                <c:pt idx="35">
                  <c:v>0.23250000000000001</c:v>
                </c:pt>
                <c:pt idx="36">
                  <c:v>0.23749999999999999</c:v>
                </c:pt>
                <c:pt idx="37">
                  <c:v>0.24249999999999999</c:v>
                </c:pt>
                <c:pt idx="38">
                  <c:v>0.2475</c:v>
                </c:pt>
                <c:pt idx="39">
                  <c:v>0.2525</c:v>
                </c:pt>
                <c:pt idx="40">
                  <c:v>0.25750000000000001</c:v>
                </c:pt>
                <c:pt idx="41">
                  <c:v>0.26250000000000001</c:v>
                </c:pt>
                <c:pt idx="42">
                  <c:v>0.26750000000000002</c:v>
                </c:pt>
                <c:pt idx="43">
                  <c:v>0.27250000000000002</c:v>
                </c:pt>
                <c:pt idx="44">
                  <c:v>0.27750000000000002</c:v>
                </c:pt>
                <c:pt idx="45">
                  <c:v>8.5000000000000006E-3</c:v>
                </c:pt>
                <c:pt idx="46">
                  <c:v>1.35E-2</c:v>
                </c:pt>
                <c:pt idx="47">
                  <c:v>1.8499999999999999E-2</c:v>
                </c:pt>
                <c:pt idx="48">
                  <c:v>2.35E-2</c:v>
                </c:pt>
                <c:pt idx="49">
                  <c:v>2.8500000000000001E-2</c:v>
                </c:pt>
                <c:pt idx="50">
                  <c:v>3.3500000000000002E-2</c:v>
                </c:pt>
                <c:pt idx="51">
                  <c:v>3.85E-2</c:v>
                </c:pt>
                <c:pt idx="52">
                  <c:v>4.3499999999999997E-2</c:v>
                </c:pt>
                <c:pt idx="53">
                  <c:v>4.8500000000000001E-2</c:v>
                </c:pt>
                <c:pt idx="54">
                  <c:v>5.3499999999999999E-2</c:v>
                </c:pt>
              </c:numCache>
            </c:numRef>
          </c:xVal>
          <c:yVal>
            <c:numRef>
              <c:f>'Barreeau-corrected for errors'!$F$509:$F$563</c:f>
              <c:numCache>
                <c:formatCode>0.00</c:formatCode>
                <c:ptCount val="55"/>
                <c:pt idx="0">
                  <c:v>6530</c:v>
                </c:pt>
                <c:pt idx="1">
                  <c:v>7440</c:v>
                </c:pt>
                <c:pt idx="2">
                  <c:v>8090</c:v>
                </c:pt>
                <c:pt idx="3">
                  <c:v>8920</c:v>
                </c:pt>
                <c:pt idx="4">
                  <c:v>9470</c:v>
                </c:pt>
                <c:pt idx="5">
                  <c:v>9950</c:v>
                </c:pt>
                <c:pt idx="6">
                  <c:v>10260</c:v>
                </c:pt>
                <c:pt idx="7">
                  <c:v>10760</c:v>
                </c:pt>
                <c:pt idx="8">
                  <c:v>10920</c:v>
                </c:pt>
                <c:pt idx="9">
                  <c:v>11230</c:v>
                </c:pt>
                <c:pt idx="10">
                  <c:v>11070</c:v>
                </c:pt>
                <c:pt idx="11">
                  <c:v>10810</c:v>
                </c:pt>
                <c:pt idx="12">
                  <c:v>10590</c:v>
                </c:pt>
                <c:pt idx="13">
                  <c:v>10170</c:v>
                </c:pt>
                <c:pt idx="14">
                  <c:v>9640</c:v>
                </c:pt>
                <c:pt idx="15">
                  <c:v>8810</c:v>
                </c:pt>
                <c:pt idx="16">
                  <c:v>8380</c:v>
                </c:pt>
                <c:pt idx="17">
                  <c:v>7560</c:v>
                </c:pt>
                <c:pt idx="18">
                  <c:v>7010</c:v>
                </c:pt>
                <c:pt idx="19">
                  <c:v>6290</c:v>
                </c:pt>
                <c:pt idx="20">
                  <c:v>5290</c:v>
                </c:pt>
                <c:pt idx="21">
                  <c:v>5360</c:v>
                </c:pt>
                <c:pt idx="22">
                  <c:v>4730</c:v>
                </c:pt>
                <c:pt idx="23">
                  <c:v>4410</c:v>
                </c:pt>
                <c:pt idx="24">
                  <c:v>3900</c:v>
                </c:pt>
                <c:pt idx="25">
                  <c:v>3550</c:v>
                </c:pt>
                <c:pt idx="26">
                  <c:v>3550</c:v>
                </c:pt>
                <c:pt idx="27">
                  <c:v>3250</c:v>
                </c:pt>
                <c:pt idx="28">
                  <c:v>3380</c:v>
                </c:pt>
                <c:pt idx="29">
                  <c:v>3280</c:v>
                </c:pt>
                <c:pt idx="30">
                  <c:v>3160</c:v>
                </c:pt>
                <c:pt idx="31">
                  <c:v>3200</c:v>
                </c:pt>
                <c:pt idx="32">
                  <c:v>3230</c:v>
                </c:pt>
                <c:pt idx="33">
                  <c:v>3250</c:v>
                </c:pt>
                <c:pt idx="34">
                  <c:v>3280</c:v>
                </c:pt>
                <c:pt idx="35">
                  <c:v>3380</c:v>
                </c:pt>
                <c:pt idx="36">
                  <c:v>3490</c:v>
                </c:pt>
                <c:pt idx="37">
                  <c:v>3680</c:v>
                </c:pt>
                <c:pt idx="38">
                  <c:v>3760</c:v>
                </c:pt>
                <c:pt idx="39">
                  <c:v>3900</c:v>
                </c:pt>
                <c:pt idx="40">
                  <c:v>3990</c:v>
                </c:pt>
                <c:pt idx="41">
                  <c:v>4100</c:v>
                </c:pt>
                <c:pt idx="42">
                  <c:v>4260</c:v>
                </c:pt>
                <c:pt idx="43">
                  <c:v>4380</c:v>
                </c:pt>
                <c:pt idx="44">
                  <c:v>4540</c:v>
                </c:pt>
                <c:pt idx="45">
                  <c:v>1050</c:v>
                </c:pt>
                <c:pt idx="46">
                  <c:v>4440</c:v>
                </c:pt>
                <c:pt idx="47">
                  <c:v>4710</c:v>
                </c:pt>
                <c:pt idx="48">
                  <c:v>4200</c:v>
                </c:pt>
                <c:pt idx="49">
                  <c:v>6150</c:v>
                </c:pt>
                <c:pt idx="50">
                  <c:v>5830</c:v>
                </c:pt>
                <c:pt idx="51">
                  <c:v>6940</c:v>
                </c:pt>
                <c:pt idx="52">
                  <c:v>7880</c:v>
                </c:pt>
                <c:pt idx="53">
                  <c:v>8910</c:v>
                </c:pt>
                <c:pt idx="54">
                  <c:v>10170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99-BD4A-A8E1-5D6CF4DCC5DD}"/>
            </c:ext>
          </c:extLst>
        </c:ser>
        <c:ser>
          <c:idx val="1"/>
          <c:order val="1"/>
          <c:tx>
            <c:v>Mougey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Mougey!$E$136:$E$184</c:f>
              <c:numCache>
                <c:formatCode>0.0000</c:formatCode>
                <c:ptCount val="49"/>
                <c:pt idx="0">
                  <c:v>2.6778642349234702E-2</c:v>
                </c:pt>
                <c:pt idx="1">
                  <c:v>3.1619088867595901E-2</c:v>
                </c:pt>
                <c:pt idx="2">
                  <c:v>3.6891161891087695E-2</c:v>
                </c:pt>
                <c:pt idx="3">
                  <c:v>4.1275063260723104E-2</c:v>
                </c:pt>
                <c:pt idx="4">
                  <c:v>4.6543576477987E-2</c:v>
                </c:pt>
                <c:pt idx="5">
                  <c:v>5.1363554110537897E-2</c:v>
                </c:pt>
                <c:pt idx="6">
                  <c:v>5.6628507521573904E-2</c:v>
                </c:pt>
                <c:pt idx="7">
                  <c:v>6.14467052510108E-2</c:v>
                </c:pt>
                <c:pt idx="8">
                  <c:v>6.6713438565160696E-2</c:v>
                </c:pt>
                <c:pt idx="9">
                  <c:v>7.1534306149268603E-2</c:v>
                </c:pt>
                <c:pt idx="10">
                  <c:v>7.68037093180894E-2</c:v>
                </c:pt>
                <c:pt idx="11">
                  <c:v>8.1193840348623689E-2</c:v>
                </c:pt>
                <c:pt idx="12">
                  <c:v>8.6911779102157499E-2</c:v>
                </c:pt>
                <c:pt idx="13">
                  <c:v>9.1302800084248709E-2</c:v>
                </c:pt>
                <c:pt idx="14">
                  <c:v>9.7023408692453503E-2</c:v>
                </c:pt>
                <c:pt idx="15">
                  <c:v>0.10141887943232901</c:v>
                </c:pt>
                <c:pt idx="16">
                  <c:v>0.10671231129318799</c:v>
                </c:pt>
                <c:pt idx="17">
                  <c:v>0.111124691112647</c:v>
                </c:pt>
                <c:pt idx="18">
                  <c:v>0.116858648994206</c:v>
                </c:pt>
                <c:pt idx="19">
                  <c:v>0.121276368523006</c:v>
                </c:pt>
                <c:pt idx="20">
                  <c:v>0.12657869989943499</c:v>
                </c:pt>
                <c:pt idx="21">
                  <c:v>0.13144851481917602</c:v>
                </c:pt>
                <c:pt idx="22">
                  <c:v>0.13630943022334799</c:v>
                </c:pt>
                <c:pt idx="23">
                  <c:v>0.141180135094646</c:v>
                </c:pt>
                <c:pt idx="24">
                  <c:v>0.14648424637418903</c:v>
                </c:pt>
                <c:pt idx="25">
                  <c:v>0.150911755370116</c:v>
                </c:pt>
                <c:pt idx="26">
                  <c:v>0.15578779995075601</c:v>
                </c:pt>
                <c:pt idx="27">
                  <c:v>0.16063358617845902</c:v>
                </c:pt>
                <c:pt idx="28">
                  <c:v>0.16637733352714501</c:v>
                </c:pt>
                <c:pt idx="29">
                  <c:v>0.17079238320127399</c:v>
                </c:pt>
                <c:pt idx="30">
                  <c:v>0.17565418855700199</c:v>
                </c:pt>
                <c:pt idx="31">
                  <c:v>0.18095296012720299</c:v>
                </c:pt>
                <c:pt idx="32">
                  <c:v>0.18579785640334898</c:v>
                </c:pt>
                <c:pt idx="33">
                  <c:v>0.19065432204973601</c:v>
                </c:pt>
                <c:pt idx="34">
                  <c:v>0.195495658519654</c:v>
                </c:pt>
                <c:pt idx="35">
                  <c:v>0.200785530574285</c:v>
                </c:pt>
                <c:pt idx="36">
                  <c:v>0.206076292580473</c:v>
                </c:pt>
                <c:pt idx="37">
                  <c:v>0.210925638614404</c:v>
                </c:pt>
                <c:pt idx="38">
                  <c:v>0.21577320474522099</c:v>
                </c:pt>
                <c:pt idx="39">
                  <c:v>0.22017757500066698</c:v>
                </c:pt>
                <c:pt idx="40">
                  <c:v>0.22590708312444099</c:v>
                </c:pt>
                <c:pt idx="41">
                  <c:v>0.23074841959435999</c:v>
                </c:pt>
                <c:pt idx="42">
                  <c:v>0.23559242591894899</c:v>
                </c:pt>
                <c:pt idx="43">
                  <c:v>0.239995016271281</c:v>
                </c:pt>
                <c:pt idx="44">
                  <c:v>0.24527509885878498</c:v>
                </c:pt>
                <c:pt idx="45">
                  <c:v>0.25011910518337399</c:v>
                </c:pt>
                <c:pt idx="46">
                  <c:v>0.25495866175017801</c:v>
                </c:pt>
                <c:pt idx="47">
                  <c:v>0.25980177812320998</c:v>
                </c:pt>
                <c:pt idx="48">
                  <c:v>0.26508008080760098</c:v>
                </c:pt>
              </c:numCache>
            </c:numRef>
          </c:xVal>
          <c:yVal>
            <c:numRef>
              <c:f>Mougey!$F$136:$F$184</c:f>
              <c:numCache>
                <c:formatCode>0.000</c:formatCode>
                <c:ptCount val="49"/>
                <c:pt idx="0">
                  <c:v>2.7962201953582908</c:v>
                </c:pt>
                <c:pt idx="1">
                  <c:v>2.9680251381961571</c:v>
                </c:pt>
                <c:pt idx="2">
                  <c:v>3.4247216001099985</c:v>
                </c:pt>
                <c:pt idx="3">
                  <c:v>4.0948567427360487</c:v>
                </c:pt>
                <c:pt idx="4">
                  <c:v>4.6797167859260069</c:v>
                </c:pt>
                <c:pt idx="5">
                  <c:v>5.4923395517883664</c:v>
                </c:pt>
                <c:pt idx="6">
                  <c:v>6.1626419824957033</c:v>
                </c:pt>
                <c:pt idx="7">
                  <c:v>7.0464667379559156</c:v>
                </c:pt>
                <c:pt idx="8">
                  <c:v>7.6740479749045694</c:v>
                </c:pt>
                <c:pt idx="9">
                  <c:v>8.4297509711089678</c:v>
                </c:pt>
                <c:pt idx="10">
                  <c:v>8.9718479985198982</c:v>
                </c:pt>
                <c:pt idx="11">
                  <c:v>9.4426175702720307</c:v>
                </c:pt>
                <c:pt idx="12">
                  <c:v>9.6715094874931449</c:v>
                </c:pt>
                <c:pt idx="13">
                  <c:v>10.213564692883752</c:v>
                </c:pt>
                <c:pt idx="14">
                  <c:v>10.371212798486706</c:v>
                </c:pt>
                <c:pt idx="15">
                  <c:v>10.671139417224358</c:v>
                </c:pt>
                <c:pt idx="16">
                  <c:v>10.472777574838148</c:v>
                </c:pt>
                <c:pt idx="17">
                  <c:v>10.245767648531526</c:v>
                </c:pt>
                <c:pt idx="18">
                  <c:v>9.9904860364873684</c:v>
                </c:pt>
                <c:pt idx="19">
                  <c:v>9.5926331571662686</c:v>
                </c:pt>
                <c:pt idx="20">
                  <c:v>9.1094215343683995</c:v>
                </c:pt>
                <c:pt idx="21">
                  <c:v>8.3129211573400994</c:v>
                </c:pt>
                <c:pt idx="22">
                  <c:v>7.8581485083610367</c:v>
                </c:pt>
                <c:pt idx="23">
                  <c:v>7.0758467072319631</c:v>
                </c:pt>
                <c:pt idx="24">
                  <c:v>6.5641961106153</c:v>
                </c:pt>
                <c:pt idx="25">
                  <c:v>5.8245318592042752</c:v>
                </c:pt>
                <c:pt idx="26">
                  <c:v>4.8571048851208314</c:v>
                </c:pt>
                <c:pt idx="27">
                  <c:v>4.8010633778896405</c:v>
                </c:pt>
                <c:pt idx="28">
                  <c:v>4.3179772211527387</c:v>
                </c:pt>
                <c:pt idx="29">
                  <c:v>4.005524907328736</c:v>
                </c:pt>
                <c:pt idx="30">
                  <c:v>3.4937906666714205</c:v>
                </c:pt>
                <c:pt idx="31">
                  <c:v>3.1103036513308586</c:v>
                </c:pt>
                <c:pt idx="32">
                  <c:v>3.1254641336975015</c:v>
                </c:pt>
                <c:pt idx="33">
                  <c:v>2.8415762597532526</c:v>
                </c:pt>
                <c:pt idx="34">
                  <c:v>2.9564195275568617</c:v>
                </c:pt>
                <c:pt idx="35">
                  <c:v>2.8577404706076224</c:v>
                </c:pt>
                <c:pt idx="36">
                  <c:v>2.7163402198996796</c:v>
                </c:pt>
                <c:pt idx="37">
                  <c:v>2.6033371209902256</c:v>
                </c:pt>
                <c:pt idx="38">
                  <c:v>2.5615360116786041</c:v>
                </c:pt>
                <c:pt idx="39">
                  <c:v>2.5766128500046106</c:v>
                </c:pt>
                <c:pt idx="40">
                  <c:v>2.4780174370960073</c:v>
                </c:pt>
                <c:pt idx="41">
                  <c:v>2.6355818986583186</c:v>
                </c:pt>
                <c:pt idx="42">
                  <c:v>2.6792231768640966</c:v>
                </c:pt>
                <c:pt idx="43">
                  <c:v>2.7797424027074991</c:v>
                </c:pt>
                <c:pt idx="44">
                  <c:v>2.9658713041495854</c:v>
                </c:pt>
                <c:pt idx="45">
                  <c:v>3.0095125823553635</c:v>
                </c:pt>
                <c:pt idx="46">
                  <c:v>3.2525194314350729</c:v>
                </c:pt>
                <c:pt idx="47">
                  <c:v>3.3104011075604189</c:v>
                </c:pt>
                <c:pt idx="48">
                  <c:v>3.5819723965198977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99-BD4A-A8E1-5D6CF4DCC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718928"/>
        <c:axId val="1439329775"/>
      </c:scatterChart>
      <c:valAx>
        <c:axId val="4147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29775"/>
        <c:crosses val="autoZero"/>
        <c:crossBetween val="midCat"/>
      </c:valAx>
      <c:valAx>
        <c:axId val="143932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1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1573030066156988"/>
          <c:y val="0.24072775884357739"/>
          <c:w val="0.37531886903967515"/>
          <c:h val="8.55185685744505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0.4798 GeV 60 deg Barreau</a:t>
            </a:r>
          </a:p>
          <a:p>
            <a:pPr>
              <a:defRPr/>
            </a:pPr>
            <a:r>
              <a:rPr lang="en-US"/>
              <a:t>0.480</a:t>
            </a:r>
            <a:r>
              <a:rPr lang="en-US" baseline="0"/>
              <a:t> GeV Mougey</a:t>
            </a: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74940420583019"/>
          <c:y val="0.21372060819983713"/>
          <c:w val="0.79308478389353876"/>
          <c:h val="0.49842899809937552"/>
        </c:manualLayout>
      </c:layout>
      <c:scatterChart>
        <c:scatterStyle val="lineMarker"/>
        <c:varyColors val="0"/>
        <c:ser>
          <c:idx val="0"/>
          <c:order val="0"/>
          <c:tx>
            <c:v>Barreau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'Barreeau-corrected for errors'!$E$442:$E$508</c:f>
              <c:numCache>
                <c:formatCode>0.0000</c:formatCode>
                <c:ptCount val="67"/>
                <c:pt idx="0">
                  <c:v>6.2299999999999994E-2</c:v>
                </c:pt>
                <c:pt idx="1">
                  <c:v>6.7299999999999999E-2</c:v>
                </c:pt>
                <c:pt idx="2">
                  <c:v>7.2300000000000003E-2</c:v>
                </c:pt>
                <c:pt idx="3">
                  <c:v>7.7299999999999994E-2</c:v>
                </c:pt>
                <c:pt idx="4">
                  <c:v>8.2299999999999998E-2</c:v>
                </c:pt>
                <c:pt idx="5">
                  <c:v>8.7300000000000003E-2</c:v>
                </c:pt>
                <c:pt idx="6">
                  <c:v>9.2299999999999993E-2</c:v>
                </c:pt>
                <c:pt idx="7">
                  <c:v>9.7299999999999998E-2</c:v>
                </c:pt>
                <c:pt idx="8">
                  <c:v>0.1023</c:v>
                </c:pt>
                <c:pt idx="9">
                  <c:v>0.10729999999999999</c:v>
                </c:pt>
                <c:pt idx="10">
                  <c:v>0.1123</c:v>
                </c:pt>
                <c:pt idx="11">
                  <c:v>0.1173</c:v>
                </c:pt>
                <c:pt idx="12">
                  <c:v>0.12229999999999999</c:v>
                </c:pt>
                <c:pt idx="13">
                  <c:v>0.1273</c:v>
                </c:pt>
                <c:pt idx="14">
                  <c:v>0.1323</c:v>
                </c:pt>
                <c:pt idx="15">
                  <c:v>0.13730000000000001</c:v>
                </c:pt>
                <c:pt idx="16">
                  <c:v>0.14230000000000001</c:v>
                </c:pt>
                <c:pt idx="17">
                  <c:v>0.14730000000000001</c:v>
                </c:pt>
                <c:pt idx="18">
                  <c:v>0.15230000000000002</c:v>
                </c:pt>
                <c:pt idx="19">
                  <c:v>0.15730000000000002</c:v>
                </c:pt>
                <c:pt idx="20">
                  <c:v>0.1623</c:v>
                </c:pt>
                <c:pt idx="21">
                  <c:v>0.1673</c:v>
                </c:pt>
                <c:pt idx="22">
                  <c:v>0.17230000000000001</c:v>
                </c:pt>
                <c:pt idx="23">
                  <c:v>0.17730000000000001</c:v>
                </c:pt>
                <c:pt idx="24">
                  <c:v>0.18230000000000002</c:v>
                </c:pt>
                <c:pt idx="25">
                  <c:v>0.18730000000000002</c:v>
                </c:pt>
                <c:pt idx="26">
                  <c:v>0.1923</c:v>
                </c:pt>
                <c:pt idx="27">
                  <c:v>0.1973</c:v>
                </c:pt>
                <c:pt idx="28">
                  <c:v>0.20230000000000001</c:v>
                </c:pt>
                <c:pt idx="29">
                  <c:v>0.20730000000000001</c:v>
                </c:pt>
                <c:pt idx="30">
                  <c:v>0.21230000000000002</c:v>
                </c:pt>
                <c:pt idx="31">
                  <c:v>0.21730000000000002</c:v>
                </c:pt>
                <c:pt idx="32">
                  <c:v>0.2223</c:v>
                </c:pt>
                <c:pt idx="33">
                  <c:v>0.2273</c:v>
                </c:pt>
                <c:pt idx="34">
                  <c:v>0.23230000000000001</c:v>
                </c:pt>
                <c:pt idx="35">
                  <c:v>0.23730000000000001</c:v>
                </c:pt>
                <c:pt idx="36">
                  <c:v>0.24230000000000002</c:v>
                </c:pt>
                <c:pt idx="37">
                  <c:v>0.24730000000000002</c:v>
                </c:pt>
                <c:pt idx="38">
                  <c:v>0.25230000000000002</c:v>
                </c:pt>
                <c:pt idx="39">
                  <c:v>0.25730000000000003</c:v>
                </c:pt>
                <c:pt idx="40">
                  <c:v>0.26230000000000003</c:v>
                </c:pt>
                <c:pt idx="41">
                  <c:v>0.26730000000000004</c:v>
                </c:pt>
                <c:pt idx="42">
                  <c:v>0.27229999999999999</c:v>
                </c:pt>
                <c:pt idx="43">
                  <c:v>0.27729999999999999</c:v>
                </c:pt>
                <c:pt idx="44">
                  <c:v>0.2823</c:v>
                </c:pt>
                <c:pt idx="45">
                  <c:v>0.2873</c:v>
                </c:pt>
                <c:pt idx="46">
                  <c:v>0.2923</c:v>
                </c:pt>
                <c:pt idx="47">
                  <c:v>0.29730000000000001</c:v>
                </c:pt>
                <c:pt idx="48">
                  <c:v>0.30230000000000001</c:v>
                </c:pt>
                <c:pt idx="49">
                  <c:v>0.30730000000000002</c:v>
                </c:pt>
                <c:pt idx="50">
                  <c:v>0.31230000000000002</c:v>
                </c:pt>
                <c:pt idx="51">
                  <c:v>0.31730000000000003</c:v>
                </c:pt>
                <c:pt idx="52">
                  <c:v>0.32230000000000003</c:v>
                </c:pt>
                <c:pt idx="53">
                  <c:v>0.32730000000000004</c:v>
                </c:pt>
                <c:pt idx="54">
                  <c:v>0.33229999999999998</c:v>
                </c:pt>
                <c:pt idx="55">
                  <c:v>0.33729999999999999</c:v>
                </c:pt>
                <c:pt idx="56">
                  <c:v>0.34229999999999999</c:v>
                </c:pt>
                <c:pt idx="57">
                  <c:v>7.4999999999999997E-3</c:v>
                </c:pt>
                <c:pt idx="58">
                  <c:v>1.2500000000000001E-2</c:v>
                </c:pt>
                <c:pt idx="59">
                  <c:v>1.7500000000000002E-2</c:v>
                </c:pt>
                <c:pt idx="60">
                  <c:v>2.2499999999999999E-2</c:v>
                </c:pt>
                <c:pt idx="61">
                  <c:v>2.75E-2</c:v>
                </c:pt>
                <c:pt idx="62">
                  <c:v>3.2500000000000001E-2</c:v>
                </c:pt>
                <c:pt idx="63">
                  <c:v>3.7499999999999999E-2</c:v>
                </c:pt>
                <c:pt idx="64">
                  <c:v>4.2500000000000003E-2</c:v>
                </c:pt>
                <c:pt idx="65">
                  <c:v>4.7500000000000001E-2</c:v>
                </c:pt>
                <c:pt idx="66">
                  <c:v>5.2499999999999998E-2</c:v>
                </c:pt>
              </c:numCache>
            </c:numRef>
          </c:xVal>
          <c:yVal>
            <c:numRef>
              <c:f>'Barreeau-corrected for errors'!$F$442:$F$508</c:f>
              <c:numCache>
                <c:formatCode>0.00</c:formatCode>
                <c:ptCount val="67"/>
                <c:pt idx="0">
                  <c:v>4150</c:v>
                </c:pt>
                <c:pt idx="1">
                  <c:v>4780</c:v>
                </c:pt>
                <c:pt idx="2">
                  <c:v>5270</c:v>
                </c:pt>
                <c:pt idx="3">
                  <c:v>5740</c:v>
                </c:pt>
                <c:pt idx="4">
                  <c:v>6260</c:v>
                </c:pt>
                <c:pt idx="5">
                  <c:v>6660</c:v>
                </c:pt>
                <c:pt idx="6">
                  <c:v>6990</c:v>
                </c:pt>
                <c:pt idx="7">
                  <c:v>7510</c:v>
                </c:pt>
                <c:pt idx="8">
                  <c:v>7690</c:v>
                </c:pt>
                <c:pt idx="9">
                  <c:v>7890</c:v>
                </c:pt>
                <c:pt idx="10">
                  <c:v>8189.9999999999991</c:v>
                </c:pt>
                <c:pt idx="11">
                  <c:v>8010</c:v>
                </c:pt>
                <c:pt idx="12">
                  <c:v>8119.9999999999991</c:v>
                </c:pt>
                <c:pt idx="13">
                  <c:v>8150</c:v>
                </c:pt>
                <c:pt idx="14">
                  <c:v>7930</c:v>
                </c:pt>
                <c:pt idx="15">
                  <c:v>7650</c:v>
                </c:pt>
                <c:pt idx="16">
                  <c:v>7140</c:v>
                </c:pt>
                <c:pt idx="17">
                  <c:v>6640</c:v>
                </c:pt>
                <c:pt idx="18">
                  <c:v>6290</c:v>
                </c:pt>
                <c:pt idx="19">
                  <c:v>5860</c:v>
                </c:pt>
                <c:pt idx="20">
                  <c:v>5500</c:v>
                </c:pt>
                <c:pt idx="21">
                  <c:v>5170</c:v>
                </c:pt>
                <c:pt idx="22">
                  <c:v>4680</c:v>
                </c:pt>
                <c:pt idx="23">
                  <c:v>4330</c:v>
                </c:pt>
                <c:pt idx="24">
                  <c:v>3990</c:v>
                </c:pt>
                <c:pt idx="25">
                  <c:v>3680</c:v>
                </c:pt>
                <c:pt idx="26">
                  <c:v>3410</c:v>
                </c:pt>
                <c:pt idx="27">
                  <c:v>3260</c:v>
                </c:pt>
                <c:pt idx="28">
                  <c:v>3100</c:v>
                </c:pt>
                <c:pt idx="29">
                  <c:v>2960</c:v>
                </c:pt>
                <c:pt idx="30">
                  <c:v>2850</c:v>
                </c:pt>
                <c:pt idx="31">
                  <c:v>2760</c:v>
                </c:pt>
                <c:pt idx="32">
                  <c:v>2690</c:v>
                </c:pt>
                <c:pt idx="33">
                  <c:v>2710</c:v>
                </c:pt>
                <c:pt idx="34">
                  <c:v>2700</c:v>
                </c:pt>
                <c:pt idx="35">
                  <c:v>2790</c:v>
                </c:pt>
                <c:pt idx="36">
                  <c:v>2770</c:v>
                </c:pt>
                <c:pt idx="37">
                  <c:v>2940</c:v>
                </c:pt>
                <c:pt idx="38">
                  <c:v>3070</c:v>
                </c:pt>
                <c:pt idx="39">
                  <c:v>3180</c:v>
                </c:pt>
                <c:pt idx="40">
                  <c:v>3210</c:v>
                </c:pt>
                <c:pt idx="41">
                  <c:v>3300</c:v>
                </c:pt>
                <c:pt idx="42">
                  <c:v>3330</c:v>
                </c:pt>
                <c:pt idx="43">
                  <c:v>3470</c:v>
                </c:pt>
                <c:pt idx="44">
                  <c:v>3650</c:v>
                </c:pt>
                <c:pt idx="45">
                  <c:v>3700</c:v>
                </c:pt>
                <c:pt idx="46">
                  <c:v>3820</c:v>
                </c:pt>
                <c:pt idx="47">
                  <c:v>4040</c:v>
                </c:pt>
                <c:pt idx="48">
                  <c:v>4000</c:v>
                </c:pt>
                <c:pt idx="49">
                  <c:v>4110</c:v>
                </c:pt>
                <c:pt idx="50">
                  <c:v>4340</c:v>
                </c:pt>
                <c:pt idx="51">
                  <c:v>4380</c:v>
                </c:pt>
                <c:pt idx="52">
                  <c:v>4260</c:v>
                </c:pt>
                <c:pt idx="53">
                  <c:v>4450</c:v>
                </c:pt>
                <c:pt idx="54">
                  <c:v>4550</c:v>
                </c:pt>
                <c:pt idx="55">
                  <c:v>4530</c:v>
                </c:pt>
                <c:pt idx="56">
                  <c:v>4620</c:v>
                </c:pt>
                <c:pt idx="57">
                  <c:v>830</c:v>
                </c:pt>
                <c:pt idx="58">
                  <c:v>1210</c:v>
                </c:pt>
                <c:pt idx="59">
                  <c:v>1320</c:v>
                </c:pt>
                <c:pt idx="60">
                  <c:v>1770</c:v>
                </c:pt>
                <c:pt idx="61">
                  <c:v>2960</c:v>
                </c:pt>
                <c:pt idx="62">
                  <c:v>3140</c:v>
                </c:pt>
                <c:pt idx="63">
                  <c:v>3640</c:v>
                </c:pt>
                <c:pt idx="64">
                  <c:v>4360</c:v>
                </c:pt>
                <c:pt idx="65">
                  <c:v>4940</c:v>
                </c:pt>
                <c:pt idx="66">
                  <c:v>5800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E6-5545-982E-5107CC361E2C}"/>
            </c:ext>
          </c:extLst>
        </c:ser>
        <c:ser>
          <c:idx val="1"/>
          <c:order val="1"/>
          <c:tx>
            <c:v>Mougey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Mougey!$E$69:$E$134</c:f>
              <c:numCache>
                <c:formatCode>0.0000</c:formatCode>
                <c:ptCount val="66"/>
                <c:pt idx="0">
                  <c:v>1.12911657083115E-2</c:v>
                </c:pt>
                <c:pt idx="1">
                  <c:v>1.6309461578672198E-2</c:v>
                </c:pt>
                <c:pt idx="2">
                  <c:v>2.1641400940930398E-2</c:v>
                </c:pt>
                <c:pt idx="3">
                  <c:v>2.63460533193936E-2</c:v>
                </c:pt>
                <c:pt idx="4">
                  <c:v>3.1207527443805498E-2</c:v>
                </c:pt>
                <c:pt idx="5">
                  <c:v>3.6225823314166197E-2</c:v>
                </c:pt>
                <c:pt idx="6">
                  <c:v>4.1400940930475597E-2</c:v>
                </c:pt>
                <c:pt idx="7">
                  <c:v>4.6105593308938798E-2</c:v>
                </c:pt>
                <c:pt idx="8">
                  <c:v>5.1594354417145799E-2</c:v>
                </c:pt>
                <c:pt idx="9">
                  <c:v>5.6455828541557701E-2</c:v>
                </c:pt>
                <c:pt idx="10">
                  <c:v>6.14741244119184E-2</c:v>
                </c:pt>
                <c:pt idx="11">
                  <c:v>6.6492420282279099E-2</c:v>
                </c:pt>
                <c:pt idx="12">
                  <c:v>7.1040250914793504E-2</c:v>
                </c:pt>
                <c:pt idx="13">
                  <c:v>7.6215368531102903E-2</c:v>
                </c:pt>
                <c:pt idx="14">
                  <c:v>8.0920020909566098E-2</c:v>
                </c:pt>
                <c:pt idx="15">
                  <c:v>8.6408782017773106E-2</c:v>
                </c:pt>
                <c:pt idx="16">
                  <c:v>9.1270256142185008E-2</c:v>
                </c:pt>
                <c:pt idx="17">
                  <c:v>9.6602195504443197E-2</c:v>
                </c:pt>
                <c:pt idx="18">
                  <c:v>0.101777313120752</c:v>
                </c:pt>
                <c:pt idx="19">
                  <c:v>0.106325143753267</c:v>
                </c:pt>
                <c:pt idx="20">
                  <c:v>0.111343439623627</c:v>
                </c:pt>
                <c:pt idx="21">
                  <c:v>0.116361735493988</c:v>
                </c:pt>
                <c:pt idx="22">
                  <c:v>0.12153685311029701</c:v>
                </c:pt>
                <c:pt idx="23">
                  <c:v>0.12655514898065801</c:v>
                </c:pt>
                <c:pt idx="24">
                  <c:v>0.13141662310506999</c:v>
                </c:pt>
                <c:pt idx="25">
                  <c:v>0.13659174072138</c:v>
                </c:pt>
                <c:pt idx="26">
                  <c:v>0.14145321484579099</c:v>
                </c:pt>
                <c:pt idx="27">
                  <c:v>0.14662833246210102</c:v>
                </c:pt>
                <c:pt idx="28">
                  <c:v>0.15164662833246201</c:v>
                </c:pt>
                <c:pt idx="29">
                  <c:v>0.15635128071092502</c:v>
                </c:pt>
                <c:pt idx="30">
                  <c:v>0.161683220073183</c:v>
                </c:pt>
                <c:pt idx="31">
                  <c:v>0.16654469419759499</c:v>
                </c:pt>
                <c:pt idx="32">
                  <c:v>0.171562990067956</c:v>
                </c:pt>
                <c:pt idx="33">
                  <c:v>0.17689492943021401</c:v>
                </c:pt>
                <c:pt idx="34">
                  <c:v>0.18191322530057499</c:v>
                </c:pt>
                <c:pt idx="35">
                  <c:v>0.18693152117093501</c:v>
                </c:pt>
                <c:pt idx="36">
                  <c:v>0.19242028227914199</c:v>
                </c:pt>
                <c:pt idx="37">
                  <c:v>0.197124934657605</c:v>
                </c:pt>
                <c:pt idx="38">
                  <c:v>0.20214323052796601</c:v>
                </c:pt>
                <c:pt idx="39">
                  <c:v>0.207161526398327</c:v>
                </c:pt>
                <c:pt idx="40">
                  <c:v>0.21217982226868698</c:v>
                </c:pt>
                <c:pt idx="41">
                  <c:v>0.21735493988499702</c:v>
                </c:pt>
                <c:pt idx="42">
                  <c:v>0.222373235755358</c:v>
                </c:pt>
                <c:pt idx="43">
                  <c:v>0.22739153162571799</c:v>
                </c:pt>
                <c:pt idx="44">
                  <c:v>0.23178254051228397</c:v>
                </c:pt>
                <c:pt idx="45">
                  <c:v>0.23742812336643998</c:v>
                </c:pt>
                <c:pt idx="46">
                  <c:v>0.24213277574490299</c:v>
                </c:pt>
                <c:pt idx="47">
                  <c:v>0.247464715107161</c:v>
                </c:pt>
                <c:pt idx="48">
                  <c:v>0.25216936748562402</c:v>
                </c:pt>
                <c:pt idx="49">
                  <c:v>0.25718766335598503</c:v>
                </c:pt>
                <c:pt idx="50">
                  <c:v>0.26220595922634599</c:v>
                </c:pt>
                <c:pt idx="51">
                  <c:v>0.266910611604809</c:v>
                </c:pt>
                <c:pt idx="52">
                  <c:v>0.27224255096706701</c:v>
                </c:pt>
                <c:pt idx="53">
                  <c:v>0.27741766858337596</c:v>
                </c:pt>
                <c:pt idx="54">
                  <c:v>0.28259278619968597</c:v>
                </c:pt>
                <c:pt idx="55">
                  <c:v>0.28729743857814899</c:v>
                </c:pt>
                <c:pt idx="56">
                  <c:v>0.292629377940407</c:v>
                </c:pt>
                <c:pt idx="57">
                  <c:v>0.29733403031887001</c:v>
                </c:pt>
                <c:pt idx="58">
                  <c:v>0.30266596968112902</c:v>
                </c:pt>
                <c:pt idx="59">
                  <c:v>0.30768426555148898</c:v>
                </c:pt>
                <c:pt idx="60">
                  <c:v>0.31270256142185004</c:v>
                </c:pt>
                <c:pt idx="61">
                  <c:v>0.317407213800313</c:v>
                </c:pt>
                <c:pt idx="62">
                  <c:v>0.32242550967067402</c:v>
                </c:pt>
                <c:pt idx="63">
                  <c:v>0.32775744903293202</c:v>
                </c:pt>
                <c:pt idx="64">
                  <c:v>0.33277574490329298</c:v>
                </c:pt>
                <c:pt idx="65">
                  <c:v>0.33779404077365305</c:v>
                </c:pt>
              </c:numCache>
            </c:numRef>
          </c:xVal>
          <c:yVal>
            <c:numRef>
              <c:f>Mougey!$F$69:$F$134</c:f>
              <c:numCache>
                <c:formatCode>0.000</c:formatCode>
                <c:ptCount val="66"/>
                <c:pt idx="0">
                  <c:v>0.38702404826996911</c:v>
                </c:pt>
                <c:pt idx="1">
                  <c:v>0.34916300006964546</c:v>
                </c:pt>
                <c:pt idx="2">
                  <c:v>0.47957327720409215</c:v>
                </c:pt>
                <c:pt idx="3">
                  <c:v>1.2788620725442617</c:v>
                </c:pt>
                <c:pt idx="4">
                  <c:v>1.7710556991484689</c:v>
                </c:pt>
                <c:pt idx="5">
                  <c:v>1.8089167473487926</c:v>
                </c:pt>
                <c:pt idx="6">
                  <c:v>2.1749068799519202</c:v>
                </c:pt>
                <c:pt idx="7">
                  <c:v>2.6334462414891768</c:v>
                </c:pt>
                <c:pt idx="8">
                  <c:v>3.2392230126943464</c:v>
                </c:pt>
                <c:pt idx="9">
                  <c:v>3.6514877597645361</c:v>
                </c:pt>
                <c:pt idx="10">
                  <c:v>4.2951255791700369</c:v>
                </c:pt>
                <c:pt idx="11">
                  <c:v>4.9387633985755395</c:v>
                </c:pt>
                <c:pt idx="12">
                  <c:v>5.4730248565134465</c:v>
                </c:pt>
                <c:pt idx="13">
                  <c:v>5.9441845674507983</c:v>
                </c:pt>
                <c:pt idx="14">
                  <c:v>6.5499613386559945</c:v>
                </c:pt>
                <c:pt idx="15">
                  <c:v>6.9243650375258454</c:v>
                </c:pt>
                <c:pt idx="16">
                  <c:v>7.3029755195290855</c:v>
                </c:pt>
                <c:pt idx="17">
                  <c:v>7.7909623629999327</c:v>
                </c:pt>
                <c:pt idx="18">
                  <c:v>8.0223354353352452</c:v>
                </c:pt>
                <c:pt idx="19">
                  <c:v>8.2200542426036041</c:v>
                </c:pt>
                <c:pt idx="20">
                  <c:v>8.5061154956727023</c:v>
                </c:pt>
                <c:pt idx="21">
                  <c:v>8.371498435404888</c:v>
                </c:pt>
                <c:pt idx="22">
                  <c:v>8.455634098072272</c:v>
                </c:pt>
                <c:pt idx="23">
                  <c:v>8.5145290619394469</c:v>
                </c:pt>
                <c:pt idx="24">
                  <c:v>8.2873627727375059</c:v>
                </c:pt>
                <c:pt idx="25">
                  <c:v>7.9844743871349078</c:v>
                </c:pt>
                <c:pt idx="26">
                  <c:v>7.4375925797969042</c:v>
                </c:pt>
                <c:pt idx="27">
                  <c:v>6.894917555592265</c:v>
                </c:pt>
                <c:pt idx="28">
                  <c:v>6.6130630856565213</c:v>
                </c:pt>
                <c:pt idx="29">
                  <c:v>6.0830084108519991</c:v>
                </c:pt>
                <c:pt idx="30">
                  <c:v>5.7759132421160295</c:v>
                </c:pt>
                <c:pt idx="31">
                  <c:v>5.3846824107126947</c:v>
                </c:pt>
                <c:pt idx="32">
                  <c:v>4.8840752178417359</c:v>
                </c:pt>
                <c:pt idx="33">
                  <c:v>4.4760172539049154</c:v>
                </c:pt>
                <c:pt idx="34">
                  <c:v>4.0974067719016753</c:v>
                </c:pt>
                <c:pt idx="35">
                  <c:v>3.7608641212321436</c:v>
                </c:pt>
                <c:pt idx="36">
                  <c:v>3.5084571332299781</c:v>
                </c:pt>
                <c:pt idx="37">
                  <c:v>3.2560501452278143</c:v>
                </c:pt>
                <c:pt idx="38">
                  <c:v>3.1466737837602072</c:v>
                </c:pt>
                <c:pt idx="39">
                  <c:v>2.9868160246921871</c:v>
                </c:pt>
                <c:pt idx="40">
                  <c:v>2.8437853981576415</c:v>
                </c:pt>
                <c:pt idx="41">
                  <c:v>2.7386158198234076</c:v>
                </c:pt>
                <c:pt idx="42">
                  <c:v>2.658686940289392</c:v>
                </c:pt>
                <c:pt idx="43">
                  <c:v>2.658686940289392</c:v>
                </c:pt>
                <c:pt idx="44">
                  <c:v>2.6755140728228692</c:v>
                </c:pt>
                <c:pt idx="45">
                  <c:v>2.7428226029567786</c:v>
                </c:pt>
                <c:pt idx="46">
                  <c:v>2.7217886872899317</c:v>
                </c:pt>
                <c:pt idx="47">
                  <c:v>2.8774396632245964</c:v>
                </c:pt>
                <c:pt idx="48">
                  <c:v>2.9026803620248023</c:v>
                </c:pt>
                <c:pt idx="49">
                  <c:v>2.9447481933585027</c:v>
                </c:pt>
                <c:pt idx="50">
                  <c:v>2.9447481933585031</c:v>
                </c:pt>
                <c:pt idx="51">
                  <c:v>2.9489549764918723</c:v>
                </c:pt>
                <c:pt idx="52">
                  <c:v>3.0541245548260973</c:v>
                </c:pt>
                <c:pt idx="53">
                  <c:v>3.1466737837602223</c:v>
                </c:pt>
                <c:pt idx="54">
                  <c:v>3.2939111934281353</c:v>
                </c:pt>
                <c:pt idx="55">
                  <c:v>3.251843362094442</c:v>
                </c:pt>
                <c:pt idx="56">
                  <c:v>3.4579757356295455</c:v>
                </c:pt>
                <c:pt idx="57">
                  <c:v>3.8365862176327847</c:v>
                </c:pt>
                <c:pt idx="58">
                  <c:v>3.7734844706322548</c:v>
                </c:pt>
                <c:pt idx="59">
                  <c:v>4.0385118080345164</c:v>
                </c:pt>
                <c:pt idx="60">
                  <c:v>4.1436813863687378</c:v>
                </c:pt>
                <c:pt idx="61">
                  <c:v>4.2572645309697155</c:v>
                </c:pt>
                <c:pt idx="62">
                  <c:v>4.3582273261705833</c:v>
                </c:pt>
                <c:pt idx="63">
                  <c:v>4.3834680249707914</c:v>
                </c:pt>
                <c:pt idx="64">
                  <c:v>4.6106343141727448</c:v>
                </c:pt>
                <c:pt idx="65">
                  <c:v>4.8798684347083645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E6-5545-982E-5107CC361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718928"/>
        <c:axId val="1439329775"/>
      </c:scatterChart>
      <c:valAx>
        <c:axId val="4147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29775"/>
        <c:crosses val="autoZero"/>
        <c:crossBetween val="midCat"/>
      </c:valAx>
      <c:valAx>
        <c:axId val="143932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1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5283216716554497"/>
          <c:y val="0.23970703231061635"/>
          <c:w val="0.35583687632266303"/>
          <c:h val="7.9030953027423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0.5188 GeV 60 deg Barreau</a:t>
            </a:r>
          </a:p>
          <a:p>
            <a:pPr>
              <a:defRPr/>
            </a:pPr>
            <a:r>
              <a:rPr lang="en-US"/>
              <a:t>0.520. </a:t>
            </a:r>
            <a:r>
              <a:rPr lang="en-US" baseline="0"/>
              <a:t>GeV Mougey</a:t>
            </a:r>
            <a:endParaRPr lang="en-US"/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374940420583019"/>
          <c:y val="0.21372060819983713"/>
          <c:w val="0.79308478389353876"/>
          <c:h val="0.49842899809937552"/>
        </c:manualLayout>
      </c:layout>
      <c:scatterChart>
        <c:scatterStyle val="lineMarker"/>
        <c:varyColors val="0"/>
        <c:ser>
          <c:idx val="0"/>
          <c:order val="0"/>
          <c:tx>
            <c:v>Barreau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'Barreeau-corrected for errors'!$E$405:$E$441</c:f>
              <c:numCache>
                <c:formatCode>0.0000</c:formatCode>
                <c:ptCount val="37"/>
                <c:pt idx="0">
                  <c:v>0.1113</c:v>
                </c:pt>
                <c:pt idx="1">
                  <c:v>0.12129999999999999</c:v>
                </c:pt>
                <c:pt idx="2">
                  <c:v>0.1313</c:v>
                </c:pt>
                <c:pt idx="3">
                  <c:v>0.14130000000000001</c:v>
                </c:pt>
                <c:pt idx="4">
                  <c:v>0.15130000000000002</c:v>
                </c:pt>
                <c:pt idx="5">
                  <c:v>0.1613</c:v>
                </c:pt>
                <c:pt idx="6">
                  <c:v>0.17130000000000001</c:v>
                </c:pt>
                <c:pt idx="7">
                  <c:v>0.18130000000000002</c:v>
                </c:pt>
                <c:pt idx="8">
                  <c:v>0.1913</c:v>
                </c:pt>
                <c:pt idx="9">
                  <c:v>0.20130000000000001</c:v>
                </c:pt>
                <c:pt idx="10">
                  <c:v>0.21130000000000002</c:v>
                </c:pt>
                <c:pt idx="11">
                  <c:v>0.22130000000000002</c:v>
                </c:pt>
                <c:pt idx="12">
                  <c:v>0.23130000000000001</c:v>
                </c:pt>
                <c:pt idx="13">
                  <c:v>0.24130000000000001</c:v>
                </c:pt>
                <c:pt idx="14">
                  <c:v>0.25130000000000002</c:v>
                </c:pt>
                <c:pt idx="15">
                  <c:v>0.26130000000000003</c:v>
                </c:pt>
                <c:pt idx="16">
                  <c:v>0.27129999999999999</c:v>
                </c:pt>
                <c:pt idx="17">
                  <c:v>0.28129999999999999</c:v>
                </c:pt>
                <c:pt idx="18">
                  <c:v>0.2913</c:v>
                </c:pt>
                <c:pt idx="19">
                  <c:v>0.30130000000000001</c:v>
                </c:pt>
                <c:pt idx="20">
                  <c:v>0.31130000000000002</c:v>
                </c:pt>
                <c:pt idx="21">
                  <c:v>0.32130000000000003</c:v>
                </c:pt>
                <c:pt idx="22">
                  <c:v>0.33130000000000004</c:v>
                </c:pt>
                <c:pt idx="23">
                  <c:v>0.34129999999999999</c:v>
                </c:pt>
                <c:pt idx="24">
                  <c:v>0.3513</c:v>
                </c:pt>
                <c:pt idx="25">
                  <c:v>0.36130000000000001</c:v>
                </c:pt>
                <c:pt idx="26">
                  <c:v>0.37130000000000002</c:v>
                </c:pt>
                <c:pt idx="27">
                  <c:v>1.23E-2</c:v>
                </c:pt>
                <c:pt idx="28">
                  <c:v>1.7299999999999999E-2</c:v>
                </c:pt>
                <c:pt idx="29">
                  <c:v>2.23E-2</c:v>
                </c:pt>
                <c:pt idx="30">
                  <c:v>2.7300000000000001E-2</c:v>
                </c:pt>
                <c:pt idx="31">
                  <c:v>3.2299999999999995E-2</c:v>
                </c:pt>
                <c:pt idx="32">
                  <c:v>3.73E-2</c:v>
                </c:pt>
                <c:pt idx="33">
                  <c:v>4.2299999999999997E-2</c:v>
                </c:pt>
                <c:pt idx="34">
                  <c:v>4.7299999999999995E-2</c:v>
                </c:pt>
                <c:pt idx="35">
                  <c:v>5.2299999999999999E-2</c:v>
                </c:pt>
                <c:pt idx="36">
                  <c:v>5.7299999999999997E-2</c:v>
                </c:pt>
              </c:numCache>
            </c:numRef>
          </c:xVal>
          <c:yVal>
            <c:numRef>
              <c:f>'Barreeau-corrected for errors'!$F$405:$F$441</c:f>
              <c:numCache>
                <c:formatCode>0.00</c:formatCode>
                <c:ptCount val="37"/>
                <c:pt idx="0">
                  <c:v>5980</c:v>
                </c:pt>
                <c:pt idx="1">
                  <c:v>6280</c:v>
                </c:pt>
                <c:pt idx="2">
                  <c:v>6400</c:v>
                </c:pt>
                <c:pt idx="3">
                  <c:v>6440</c:v>
                </c:pt>
                <c:pt idx="4">
                  <c:v>6060</c:v>
                </c:pt>
                <c:pt idx="5">
                  <c:v>5490</c:v>
                </c:pt>
                <c:pt idx="6">
                  <c:v>4910</c:v>
                </c:pt>
                <c:pt idx="7">
                  <c:v>4280</c:v>
                </c:pt>
                <c:pt idx="8">
                  <c:v>3530</c:v>
                </c:pt>
                <c:pt idx="9">
                  <c:v>3190</c:v>
                </c:pt>
                <c:pt idx="10">
                  <c:v>2880</c:v>
                </c:pt>
                <c:pt idx="11">
                  <c:v>2510</c:v>
                </c:pt>
                <c:pt idx="12">
                  <c:v>2360</c:v>
                </c:pt>
                <c:pt idx="13">
                  <c:v>2310</c:v>
                </c:pt>
                <c:pt idx="14">
                  <c:v>2430</c:v>
                </c:pt>
                <c:pt idx="15">
                  <c:v>2620</c:v>
                </c:pt>
                <c:pt idx="16">
                  <c:v>2650</c:v>
                </c:pt>
                <c:pt idx="17">
                  <c:v>3090</c:v>
                </c:pt>
                <c:pt idx="18">
                  <c:v>3200</c:v>
                </c:pt>
                <c:pt idx="19">
                  <c:v>3470</c:v>
                </c:pt>
                <c:pt idx="20">
                  <c:v>3560</c:v>
                </c:pt>
                <c:pt idx="21">
                  <c:v>3810</c:v>
                </c:pt>
                <c:pt idx="22">
                  <c:v>3850</c:v>
                </c:pt>
                <c:pt idx="23">
                  <c:v>3840</c:v>
                </c:pt>
                <c:pt idx="24">
                  <c:v>4130</c:v>
                </c:pt>
                <c:pt idx="25">
                  <c:v>4000</c:v>
                </c:pt>
                <c:pt idx="26">
                  <c:v>3920</c:v>
                </c:pt>
                <c:pt idx="27">
                  <c:v>380</c:v>
                </c:pt>
                <c:pt idx="28">
                  <c:v>350</c:v>
                </c:pt>
                <c:pt idx="29">
                  <c:v>490</c:v>
                </c:pt>
                <c:pt idx="30">
                  <c:v>1260</c:v>
                </c:pt>
                <c:pt idx="31">
                  <c:v>1700</c:v>
                </c:pt>
                <c:pt idx="32">
                  <c:v>1770</c:v>
                </c:pt>
                <c:pt idx="33">
                  <c:v>2250</c:v>
                </c:pt>
                <c:pt idx="34">
                  <c:v>2600</c:v>
                </c:pt>
                <c:pt idx="35">
                  <c:v>3140</c:v>
                </c:pt>
                <c:pt idx="36">
                  <c:v>3600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75-314C-94C3-7F4F206FD8F4}"/>
            </c:ext>
          </c:extLst>
        </c:ser>
        <c:ser>
          <c:idx val="1"/>
          <c:order val="1"/>
          <c:tx>
            <c:v>Mougey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Mougey!$E$3:$E$67</c:f>
              <c:numCache>
                <c:formatCode>0.0000</c:formatCode>
                <c:ptCount val="65"/>
                <c:pt idx="0">
                  <c:v>3.2481203007518798E-2</c:v>
                </c:pt>
                <c:pt idx="1">
                  <c:v>3.7894736842105203E-2</c:v>
                </c:pt>
                <c:pt idx="2">
                  <c:v>4.2406015037593905E-2</c:v>
                </c:pt>
                <c:pt idx="3">
                  <c:v>4.7819548872180401E-2</c:v>
                </c:pt>
                <c:pt idx="4">
                  <c:v>5.2781954887217999E-2</c:v>
                </c:pt>
                <c:pt idx="5">
                  <c:v>5.7744360902255598E-2</c:v>
                </c:pt>
                <c:pt idx="6">
                  <c:v>6.2706766917293197E-2</c:v>
                </c:pt>
                <c:pt idx="7">
                  <c:v>6.7669172932330796E-2</c:v>
                </c:pt>
                <c:pt idx="8">
                  <c:v>7.2631578947368394E-2</c:v>
                </c:pt>
                <c:pt idx="9">
                  <c:v>7.7593984962405993E-2</c:v>
                </c:pt>
                <c:pt idx="10">
                  <c:v>8.2105263157894695E-2</c:v>
                </c:pt>
                <c:pt idx="11">
                  <c:v>8.7969924812030004E-2</c:v>
                </c:pt>
                <c:pt idx="12">
                  <c:v>9.2481203007518803E-2</c:v>
                </c:pt>
                <c:pt idx="13">
                  <c:v>9.7894736842105201E-2</c:v>
                </c:pt>
                <c:pt idx="14">
                  <c:v>0.10285714285714199</c:v>
                </c:pt>
                <c:pt idx="15">
                  <c:v>0.10827067669172899</c:v>
                </c:pt>
                <c:pt idx="16">
                  <c:v>0.11278195488721801</c:v>
                </c:pt>
                <c:pt idx="17">
                  <c:v>0.117744360902255</c:v>
                </c:pt>
                <c:pt idx="18">
                  <c:v>0.122706766917293</c:v>
                </c:pt>
                <c:pt idx="19">
                  <c:v>0.12766917293232999</c:v>
                </c:pt>
                <c:pt idx="20">
                  <c:v>0.13263157894736802</c:v>
                </c:pt>
                <c:pt idx="21">
                  <c:v>0.13759398496240602</c:v>
                </c:pt>
                <c:pt idx="22">
                  <c:v>0.143007518796992</c:v>
                </c:pt>
                <c:pt idx="23">
                  <c:v>0.14751879699248099</c:v>
                </c:pt>
                <c:pt idx="24">
                  <c:v>0.152481203007518</c:v>
                </c:pt>
                <c:pt idx="25">
                  <c:v>0.157894736842105</c:v>
                </c:pt>
                <c:pt idx="26">
                  <c:v>0.162406015037594</c:v>
                </c:pt>
                <c:pt idx="27">
                  <c:v>0.16781954887218001</c:v>
                </c:pt>
                <c:pt idx="28">
                  <c:v>0.17278195488721801</c:v>
                </c:pt>
                <c:pt idx="29">
                  <c:v>0.17774436090225501</c:v>
                </c:pt>
                <c:pt idx="30">
                  <c:v>0.182255639097744</c:v>
                </c:pt>
                <c:pt idx="31">
                  <c:v>0.18721804511278101</c:v>
                </c:pt>
                <c:pt idx="32">
                  <c:v>0.19172932330827</c:v>
                </c:pt>
                <c:pt idx="33">
                  <c:v>0.19714285714285701</c:v>
                </c:pt>
                <c:pt idx="34">
                  <c:v>0.20210526315789401</c:v>
                </c:pt>
                <c:pt idx="35">
                  <c:v>0.20706766917293201</c:v>
                </c:pt>
                <c:pt idx="36">
                  <c:v>0.21157894736842101</c:v>
                </c:pt>
                <c:pt idx="37">
                  <c:v>0.21699248120300701</c:v>
                </c:pt>
                <c:pt idx="38">
                  <c:v>0.22195488721804499</c:v>
                </c:pt>
                <c:pt idx="39">
                  <c:v>0.22691729323308202</c:v>
                </c:pt>
                <c:pt idx="40">
                  <c:v>0.23142857142857098</c:v>
                </c:pt>
                <c:pt idx="41">
                  <c:v>0.23684210526315702</c:v>
                </c:pt>
                <c:pt idx="42">
                  <c:v>0.24180451127819499</c:v>
                </c:pt>
                <c:pt idx="43">
                  <c:v>0.246766917293233</c:v>
                </c:pt>
                <c:pt idx="44">
                  <c:v>0.25172932330827003</c:v>
                </c:pt>
                <c:pt idx="45">
                  <c:v>0.25669172932330797</c:v>
                </c:pt>
                <c:pt idx="46">
                  <c:v>0.26120300751879699</c:v>
                </c:pt>
                <c:pt idx="47">
                  <c:v>0.26661654135338303</c:v>
                </c:pt>
                <c:pt idx="48">
                  <c:v>0.27157894736842098</c:v>
                </c:pt>
                <c:pt idx="49">
                  <c:v>0.27654135338345798</c:v>
                </c:pt>
                <c:pt idx="50">
                  <c:v>0.28150375939849603</c:v>
                </c:pt>
                <c:pt idx="51">
                  <c:v>0.28646616541353304</c:v>
                </c:pt>
                <c:pt idx="52">
                  <c:v>0.29142857142857098</c:v>
                </c:pt>
                <c:pt idx="53">
                  <c:v>0.29639097744360904</c:v>
                </c:pt>
                <c:pt idx="54">
                  <c:v>0.300902255639097</c:v>
                </c:pt>
                <c:pt idx="55">
                  <c:v>0.30631578947368399</c:v>
                </c:pt>
                <c:pt idx="56">
                  <c:v>0.31082706766917201</c:v>
                </c:pt>
                <c:pt idx="57">
                  <c:v>0.31624060150375904</c:v>
                </c:pt>
                <c:pt idx="58">
                  <c:v>0.32075187969924795</c:v>
                </c:pt>
                <c:pt idx="59">
                  <c:v>0.32616541353383399</c:v>
                </c:pt>
                <c:pt idx="60">
                  <c:v>0.33067669172932301</c:v>
                </c:pt>
                <c:pt idx="61">
                  <c:v>0.33563909774436002</c:v>
                </c:pt>
                <c:pt idx="62">
                  <c:v>0.34060150375939796</c:v>
                </c:pt>
                <c:pt idx="63">
                  <c:v>0.34511278195488698</c:v>
                </c:pt>
                <c:pt idx="64">
                  <c:v>0.35007518796992398</c:v>
                </c:pt>
              </c:numCache>
            </c:numRef>
          </c:xVal>
          <c:yVal>
            <c:numRef>
              <c:f>Mougey!$F$3:$F$67</c:f>
              <c:numCache>
                <c:formatCode>0.000</c:formatCode>
                <c:ptCount val="65"/>
                <c:pt idx="0">
                  <c:v>0.8784105989413491</c:v>
                </c:pt>
                <c:pt idx="1">
                  <c:v>0.81169586990782705</c:v>
                </c:pt>
                <c:pt idx="2">
                  <c:v>1.1119121505586691</c:v>
                </c:pt>
                <c:pt idx="3">
                  <c:v>1.4010093097039227</c:v>
                </c:pt>
                <c:pt idx="4">
                  <c:v>1.6901064688491774</c:v>
                </c:pt>
                <c:pt idx="5">
                  <c:v>1.9903227495000142</c:v>
                </c:pt>
                <c:pt idx="6">
                  <c:v>2.4684449742402435</c:v>
                </c:pt>
                <c:pt idx="7">
                  <c:v>2.8242568624190136</c:v>
                </c:pt>
                <c:pt idx="8">
                  <c:v>3.3690938161927622</c:v>
                </c:pt>
                <c:pt idx="9">
                  <c:v>3.7805013118994681</c:v>
                </c:pt>
                <c:pt idx="10">
                  <c:v>4.1696705645949912</c:v>
                </c:pt>
                <c:pt idx="11">
                  <c:v>4.6477927893352184</c:v>
                </c:pt>
                <c:pt idx="12">
                  <c:v>5.0703194065475206</c:v>
                </c:pt>
                <c:pt idx="13">
                  <c:v>5.4706077807486428</c:v>
                </c:pt>
                <c:pt idx="14">
                  <c:v>5.7374666968827182</c:v>
                </c:pt>
                <c:pt idx="15">
                  <c:v>6.1377550710838502</c:v>
                </c:pt>
                <c:pt idx="16">
                  <c:v>6.49356695926262</c:v>
                </c:pt>
                <c:pt idx="17">
                  <c:v>6.5825199313073108</c:v>
                </c:pt>
                <c:pt idx="18">
                  <c:v>6.8271406044302188</c:v>
                </c:pt>
                <c:pt idx="19">
                  <c:v>7.0384039130363698</c:v>
                </c:pt>
                <c:pt idx="20">
                  <c:v>6.9716891840028481</c:v>
                </c:pt>
                <c:pt idx="21">
                  <c:v>6.9828083055084322</c:v>
                </c:pt>
                <c:pt idx="22">
                  <c:v>7.0272847915307839</c:v>
                </c:pt>
                <c:pt idx="23">
                  <c:v>6.7937832399134628</c:v>
                </c:pt>
                <c:pt idx="24">
                  <c:v>6.5936390528128959</c:v>
                </c:pt>
                <c:pt idx="25">
                  <c:v>6.2823036506564804</c:v>
                </c:pt>
                <c:pt idx="26">
                  <c:v>5.9598491269944542</c:v>
                </c:pt>
                <c:pt idx="27">
                  <c:v>5.6485137248380255</c:v>
                </c:pt>
                <c:pt idx="28">
                  <c:v>5.3260592011760108</c:v>
                </c:pt>
                <c:pt idx="29">
                  <c:v>5.0036046775139988</c:v>
                </c:pt>
                <c:pt idx="30">
                  <c:v>4.64779278933523</c:v>
                </c:pt>
                <c:pt idx="31">
                  <c:v>4.2586235366396812</c:v>
                </c:pt>
                <c:pt idx="32">
                  <c:v>3.8249777979218074</c:v>
                </c:pt>
                <c:pt idx="33">
                  <c:v>3.6470718538324221</c:v>
                </c:pt>
                <c:pt idx="34">
                  <c:v>3.4358085452262843</c:v>
                </c:pt>
                <c:pt idx="35">
                  <c:v>3.1689496290921957</c:v>
                </c:pt>
                <c:pt idx="36">
                  <c:v>3.1022349000586735</c:v>
                </c:pt>
                <c:pt idx="37">
                  <c:v>2.7797803763966598</c:v>
                </c:pt>
                <c:pt idx="38">
                  <c:v>2.6685891613407979</c:v>
                </c:pt>
                <c:pt idx="39">
                  <c:v>2.6463509183296283</c:v>
                </c:pt>
                <c:pt idx="40">
                  <c:v>2.4906832172514135</c:v>
                </c:pt>
                <c:pt idx="41">
                  <c:v>2.4684449742402421</c:v>
                </c:pt>
                <c:pt idx="42">
                  <c:v>2.4239684882178985</c:v>
                </c:pt>
                <c:pt idx="43">
                  <c:v>2.5796361892961013</c:v>
                </c:pt>
                <c:pt idx="44">
                  <c:v>2.5351597032737558</c:v>
                </c:pt>
                <c:pt idx="45">
                  <c:v>2.6574700398352129</c:v>
                </c:pt>
                <c:pt idx="46">
                  <c:v>2.7464230118798936</c:v>
                </c:pt>
                <c:pt idx="47">
                  <c:v>2.8353759839245982</c:v>
                </c:pt>
                <c:pt idx="48">
                  <c:v>2.746423011879894</c:v>
                </c:pt>
                <c:pt idx="49">
                  <c:v>2.9132098344637041</c:v>
                </c:pt>
                <c:pt idx="50">
                  <c:v>3.2134261151145491</c:v>
                </c:pt>
                <c:pt idx="51">
                  <c:v>3.113354021564259</c:v>
                </c:pt>
                <c:pt idx="52">
                  <c:v>3.2245452366201337</c:v>
                </c:pt>
                <c:pt idx="53">
                  <c:v>3.2912599656536554</c:v>
                </c:pt>
                <c:pt idx="54">
                  <c:v>3.4469276667318698</c:v>
                </c:pt>
                <c:pt idx="55">
                  <c:v>3.4580467882374424</c:v>
                </c:pt>
                <c:pt idx="56">
                  <c:v>3.3913320592039327</c:v>
                </c:pt>
                <c:pt idx="57">
                  <c:v>3.6025953678100837</c:v>
                </c:pt>
                <c:pt idx="58">
                  <c:v>3.724905704371531</c:v>
                </c:pt>
                <c:pt idx="59">
                  <c:v>3.6137144893156696</c:v>
                </c:pt>
                <c:pt idx="60">
                  <c:v>3.7471439473827011</c:v>
                </c:pt>
                <c:pt idx="61">
                  <c:v>4.1029558355614801</c:v>
                </c:pt>
                <c:pt idx="62">
                  <c:v>3.8360969194273915</c:v>
                </c:pt>
                <c:pt idx="63">
                  <c:v>4.225266172122927</c:v>
                </c:pt>
                <c:pt idx="64">
                  <c:v>4.191908807606171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75-314C-94C3-7F4F206FD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4718928"/>
        <c:axId val="1439329775"/>
      </c:scatterChart>
      <c:valAx>
        <c:axId val="414718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9329775"/>
        <c:crosses val="autoZero"/>
        <c:crossBetween val="midCat"/>
      </c:valAx>
      <c:valAx>
        <c:axId val="1439329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71892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5283216716554497"/>
          <c:y val="0.23970703231061635"/>
          <c:w val="0.35583687632266303"/>
          <c:h val="7.90309530274233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317500</xdr:colOff>
      <xdr:row>544</xdr:row>
      <xdr:rowOff>95250</xdr:rowOff>
    </xdr:from>
    <xdr:to>
      <xdr:col>14</xdr:col>
      <xdr:colOff>0</xdr:colOff>
      <xdr:row>561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052B26-EAAC-9074-851D-2DD91B64E6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406400</xdr:colOff>
      <xdr:row>500</xdr:row>
      <xdr:rowOff>120650</xdr:rowOff>
    </xdr:from>
    <xdr:to>
      <xdr:col>25</xdr:col>
      <xdr:colOff>88900</xdr:colOff>
      <xdr:row>517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BFE4DB-F26C-EB88-570C-3A7B190BA8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508000</xdr:colOff>
      <xdr:row>146</xdr:row>
      <xdr:rowOff>152400</xdr:rowOff>
    </xdr:from>
    <xdr:to>
      <xdr:col>13</xdr:col>
      <xdr:colOff>165100</xdr:colOff>
      <xdr:row>163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88B239-923F-0240-AE4B-E6CF4CA600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609600</xdr:colOff>
      <xdr:row>137</xdr:row>
      <xdr:rowOff>114300</xdr:rowOff>
    </xdr:from>
    <xdr:to>
      <xdr:col>27</xdr:col>
      <xdr:colOff>292100</xdr:colOff>
      <xdr:row>151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334B3B-F700-1D44-85DA-DA912595ED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254000</xdr:colOff>
      <xdr:row>137</xdr:row>
      <xdr:rowOff>0</xdr:rowOff>
    </xdr:from>
    <xdr:to>
      <xdr:col>20</xdr:col>
      <xdr:colOff>609600</xdr:colOff>
      <xdr:row>155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AC29FB-EC7F-7A46-A1E3-F2CA5FB07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168471</xdr:colOff>
      <xdr:row>0</xdr:row>
      <xdr:rowOff>129593</xdr:rowOff>
    </xdr:from>
    <xdr:to>
      <xdr:col>28</xdr:col>
      <xdr:colOff>524070</xdr:colOff>
      <xdr:row>17</xdr:row>
      <xdr:rowOff>117671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CFBD90-B4AD-F84C-8AED-D9C62AFB76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357673</xdr:colOff>
      <xdr:row>1</xdr:row>
      <xdr:rowOff>64796</xdr:rowOff>
    </xdr:from>
    <xdr:to>
      <xdr:col>21</xdr:col>
      <xdr:colOff>13477</xdr:colOff>
      <xdr:row>19</xdr:row>
      <xdr:rowOff>90196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D7EA1A-5B6D-7E4D-AA03-D2187152FA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129590</xdr:colOff>
      <xdr:row>0</xdr:row>
      <xdr:rowOff>0</xdr:rowOff>
    </xdr:from>
    <xdr:to>
      <xdr:col>12</xdr:col>
      <xdr:colOff>485190</xdr:colOff>
      <xdr:row>18</xdr:row>
      <xdr:rowOff>64278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1E2EE94-7447-6749-8AB7-8769672D06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bodek/Desktop/Other%20nuclei/All_data_for_the%20publication.xlsx" TargetMode="External"/><Relationship Id="rId1" Type="http://schemas.openxmlformats.org/officeDocument/2006/relationships/externalLinkPath" Target="/Users/bodek/Desktop/Other%20nuclei/All_data_for_the%20publi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planation"/>
      <sheetName val="21 Spamer"/>
      <sheetName val="Ibrahim"/>
      <sheetName val="10Gaskell"/>
      <sheetName val="12Alsami"/>
      <sheetName val="12Alsmai-2"/>
      <sheetName val="13Vahe"/>
      <sheetName val="14E139"/>
      <sheetName val="15Fomin"/>
      <sheetName val="4Baran"/>
      <sheetName val="5Bagda"/>
      <sheetName val="16Yama"/>
      <sheetName val="6Dai"/>
      <sheetName val="photo"/>
      <sheetName val="Yamaguchi 135 deg"/>
      <sheetName val="17Ryan"/>
      <sheetName val="Yamaguchi_RL_RT"/>
      <sheetName val="yama_bakc"/>
      <sheetName val="Goldem_Forest"/>
      <sheetName val="7Arrington95"/>
      <sheetName val="18Bunin"/>
      <sheetName val="8Day"/>
      <sheetName val="9Arrington98"/>
      <sheetName val="1Barreau"/>
      <sheetName val="All  180 deg"/>
      <sheetName val="1Barreau_summary1"/>
      <sheetName val="1Barreau_summary2"/>
      <sheetName val="2Oconnell"/>
      <sheetName val="3Sealock"/>
      <sheetName val="11Whitne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42EAE-CABE-714E-9DC4-0DFEB91EE7A3}">
  <dimension ref="A1:AE1556"/>
  <sheetViews>
    <sheetView tabSelected="1" topLeftCell="A246" workbookViewId="0">
      <selection activeCell="I160" sqref="I160:V183"/>
    </sheetView>
  </sheetViews>
  <sheetFormatPr baseColWidth="10" defaultRowHeight="13" x14ac:dyDescent="0.15"/>
  <cols>
    <col min="1" max="2" width="11" style="1"/>
    <col min="3" max="3" width="11" style="10"/>
    <col min="4" max="4" width="11" style="5"/>
    <col min="5" max="5" width="11" style="10"/>
    <col min="6" max="7" width="11.3984375" style="5" bestFit="1" customWidth="1"/>
    <col min="8" max="8" width="11" style="1"/>
    <col min="9" max="9" width="11" style="5"/>
    <col min="10" max="15" width="11" style="1"/>
    <col min="16" max="16" width="11" style="24"/>
    <col min="17" max="17" width="15.59765625" style="1" customWidth="1"/>
    <col min="18" max="19" width="14.59765625" style="1" customWidth="1"/>
    <col min="21" max="23" width="11" style="1"/>
    <col min="24" max="16384" width="11" style="3"/>
  </cols>
  <sheetData>
    <row r="1" spans="1:31" ht="16" x14ac:dyDescent="0.15">
      <c r="A1" s="2" t="s">
        <v>5</v>
      </c>
      <c r="B1" s="2" t="s">
        <v>6</v>
      </c>
      <c r="C1" s="9" t="s">
        <v>1</v>
      </c>
      <c r="D1" s="4" t="s">
        <v>2</v>
      </c>
      <c r="E1" s="9" t="s">
        <v>3</v>
      </c>
      <c r="F1" s="4" t="s">
        <v>29</v>
      </c>
      <c r="G1" s="4" t="s">
        <v>0</v>
      </c>
      <c r="H1"/>
      <c r="I1" s="42" t="s">
        <v>29</v>
      </c>
      <c r="J1" s="39" t="s">
        <v>0</v>
      </c>
      <c r="K1" s="38" t="s">
        <v>4</v>
      </c>
      <c r="L1" s="38" t="s">
        <v>0</v>
      </c>
      <c r="M1"/>
      <c r="N1" t="s">
        <v>1</v>
      </c>
      <c r="O1" t="s">
        <v>30</v>
      </c>
      <c r="P1" s="19" t="s">
        <v>3</v>
      </c>
      <c r="Q1"/>
      <c r="R1"/>
      <c r="S1"/>
      <c r="U1"/>
      <c r="V1"/>
      <c r="W1"/>
      <c r="X1"/>
      <c r="Y1"/>
      <c r="Z1"/>
      <c r="AA1"/>
      <c r="AB1"/>
      <c r="AC1"/>
      <c r="AD1"/>
      <c r="AE1" s="19"/>
    </row>
    <row r="2" spans="1:31" s="15" customFormat="1" x14ac:dyDescent="0.15">
      <c r="A2" s="12">
        <v>6</v>
      </c>
      <c r="B2" s="12">
        <v>12</v>
      </c>
      <c r="C2" s="13">
        <v>0.68</v>
      </c>
      <c r="D2" s="14">
        <v>36</v>
      </c>
      <c r="E2" s="13">
        <v>1.2500000000000001E-2</v>
      </c>
      <c r="F2" s="40">
        <v>3770</v>
      </c>
      <c r="G2" s="40">
        <v>240</v>
      </c>
      <c r="H2"/>
      <c r="I2" s="40">
        <v>3770</v>
      </c>
      <c r="J2" s="40">
        <v>240</v>
      </c>
      <c r="K2" s="38">
        <v>3770</v>
      </c>
      <c r="L2" s="38">
        <v>240</v>
      </c>
      <c r="M2">
        <f>I2+J2-K2-L2</f>
        <v>0</v>
      </c>
      <c r="N2">
        <v>0.68</v>
      </c>
      <c r="O2">
        <v>36</v>
      </c>
      <c r="P2" s="24">
        <v>1.2500000000000001E-2</v>
      </c>
      <c r="Q2" s="31">
        <f>C2-N2</f>
        <v>0</v>
      </c>
      <c r="R2" s="41">
        <f>D2-O2</f>
        <v>0</v>
      </c>
      <c r="S2" s="41">
        <f>E2-P2</f>
        <v>0</v>
      </c>
      <c r="U2"/>
      <c r="V2"/>
      <c r="W2"/>
      <c r="X2"/>
      <c r="Y2"/>
      <c r="Z2"/>
      <c r="AA2"/>
      <c r="AB2"/>
      <c r="AC2"/>
      <c r="AD2"/>
      <c r="AE2" s="24"/>
    </row>
    <row r="3" spans="1:31" x14ac:dyDescent="0.15">
      <c r="A3" s="1">
        <v>6</v>
      </c>
      <c r="B3" s="1">
        <v>12</v>
      </c>
      <c r="C3" s="10">
        <v>0.68</v>
      </c>
      <c r="D3" s="5">
        <v>36</v>
      </c>
      <c r="E3" s="10">
        <v>2.2499999999999999E-2</v>
      </c>
      <c r="F3" s="5">
        <v>8200</v>
      </c>
      <c r="G3" s="5">
        <v>390</v>
      </c>
      <c r="I3" s="5">
        <v>8200</v>
      </c>
      <c r="J3" s="5">
        <v>390</v>
      </c>
      <c r="K3" s="1">
        <v>8200</v>
      </c>
      <c r="L3" s="1">
        <v>390</v>
      </c>
      <c r="M3">
        <f t="shared" ref="M3:M66" si="0">I3+J3-K3-L3</f>
        <v>0</v>
      </c>
      <c r="N3" s="1">
        <v>0.68</v>
      </c>
      <c r="O3" s="1">
        <v>36</v>
      </c>
      <c r="P3" s="24">
        <v>2.2499999999999999E-2</v>
      </c>
      <c r="Q3" s="31">
        <f>C3-N3</f>
        <v>0</v>
      </c>
      <c r="R3" s="41">
        <f>D3-O3</f>
        <v>0</v>
      </c>
      <c r="S3" s="41">
        <f>E3-P3</f>
        <v>0</v>
      </c>
    </row>
    <row r="4" spans="1:31" x14ac:dyDescent="0.15">
      <c r="A4" s="1">
        <v>6</v>
      </c>
      <c r="B4" s="1">
        <v>12</v>
      </c>
      <c r="C4" s="10">
        <v>0.68</v>
      </c>
      <c r="D4" s="5">
        <v>36</v>
      </c>
      <c r="E4" s="10">
        <v>3.2500000000000001E-2</v>
      </c>
      <c r="F4" s="5">
        <v>11500</v>
      </c>
      <c r="G4" s="5">
        <v>500</v>
      </c>
      <c r="I4" s="5">
        <v>11500</v>
      </c>
      <c r="J4" s="5">
        <v>500</v>
      </c>
      <c r="K4" s="1">
        <v>11500</v>
      </c>
      <c r="L4" s="1">
        <v>500</v>
      </c>
      <c r="M4">
        <f t="shared" si="0"/>
        <v>0</v>
      </c>
      <c r="N4" s="1">
        <v>0.68</v>
      </c>
      <c r="O4" s="1">
        <v>36</v>
      </c>
      <c r="P4" s="24">
        <v>3.2500000000000001E-2</v>
      </c>
      <c r="Q4" s="31">
        <f>C4-N4</f>
        <v>0</v>
      </c>
      <c r="R4" s="41">
        <f>D4-O4</f>
        <v>0</v>
      </c>
      <c r="S4" s="41">
        <f>E4-P4</f>
        <v>0</v>
      </c>
    </row>
    <row r="5" spans="1:31" ht="14" thickBot="1" x14ac:dyDescent="0.2">
      <c r="A5" s="1">
        <v>6</v>
      </c>
      <c r="B5" s="1">
        <v>12</v>
      </c>
      <c r="C5" s="10">
        <v>0.68</v>
      </c>
      <c r="D5" s="5">
        <v>36</v>
      </c>
      <c r="E5" s="10">
        <v>4.2500000000000003E-2</v>
      </c>
      <c r="F5" s="5">
        <v>14740</v>
      </c>
      <c r="G5" s="5">
        <v>610</v>
      </c>
      <c r="I5" s="5">
        <v>14740</v>
      </c>
      <c r="J5" s="5">
        <v>610</v>
      </c>
      <c r="K5" s="1">
        <v>14740</v>
      </c>
      <c r="L5" s="1">
        <v>610</v>
      </c>
      <c r="M5">
        <f t="shared" si="0"/>
        <v>0</v>
      </c>
      <c r="N5" s="1">
        <v>0.68</v>
      </c>
      <c r="O5" s="1">
        <v>36</v>
      </c>
      <c r="P5" s="44">
        <v>4.2500000000000003E-2</v>
      </c>
      <c r="Q5" s="31">
        <f>C5-N5</f>
        <v>0</v>
      </c>
      <c r="R5" s="41">
        <f>D5-O5</f>
        <v>0</v>
      </c>
      <c r="S5" s="41">
        <f>E5-P5</f>
        <v>0</v>
      </c>
    </row>
    <row r="6" spans="1:31" ht="14" thickTop="1" x14ac:dyDescent="0.15">
      <c r="A6" s="1">
        <v>6</v>
      </c>
      <c r="B6" s="1">
        <v>12</v>
      </c>
      <c r="C6" s="10">
        <v>0.68</v>
      </c>
      <c r="D6" s="5">
        <v>36</v>
      </c>
      <c r="E6" s="10">
        <v>5.2499999999999998E-2</v>
      </c>
      <c r="F6" s="5">
        <v>18490</v>
      </c>
      <c r="G6" s="5">
        <v>740</v>
      </c>
      <c r="I6" s="5">
        <v>18490</v>
      </c>
      <c r="J6" s="5">
        <v>740</v>
      </c>
      <c r="K6" s="1">
        <v>18490</v>
      </c>
      <c r="L6" s="1">
        <v>740</v>
      </c>
      <c r="M6">
        <f t="shared" si="0"/>
        <v>0</v>
      </c>
      <c r="N6" s="1">
        <v>0.68</v>
      </c>
      <c r="O6" s="1">
        <v>36</v>
      </c>
      <c r="P6" s="24">
        <v>5.2499999999999998E-2</v>
      </c>
      <c r="Q6" s="31">
        <f>C6-N6</f>
        <v>0</v>
      </c>
      <c r="R6" s="41">
        <f>D6-O6</f>
        <v>0</v>
      </c>
      <c r="S6" s="41">
        <f>E6-P6</f>
        <v>0</v>
      </c>
    </row>
    <row r="7" spans="1:31" x14ac:dyDescent="0.15">
      <c r="A7" s="1">
        <v>6</v>
      </c>
      <c r="B7" s="1">
        <v>12</v>
      </c>
      <c r="C7" s="10">
        <v>0.68</v>
      </c>
      <c r="D7" s="5">
        <v>36</v>
      </c>
      <c r="E7" s="10">
        <v>6.25E-2</v>
      </c>
      <c r="F7" s="5">
        <v>23630</v>
      </c>
      <c r="G7" s="5">
        <v>910</v>
      </c>
      <c r="I7" s="5">
        <v>23630</v>
      </c>
      <c r="J7" s="5">
        <v>910</v>
      </c>
      <c r="K7" s="1">
        <v>23630</v>
      </c>
      <c r="L7" s="1">
        <v>910</v>
      </c>
      <c r="M7">
        <f t="shared" si="0"/>
        <v>0</v>
      </c>
      <c r="N7" s="1">
        <v>0.68</v>
      </c>
      <c r="O7" s="1">
        <v>36</v>
      </c>
      <c r="P7" s="24">
        <v>6.25E-2</v>
      </c>
      <c r="Q7" s="31">
        <f>C7-N7</f>
        <v>0</v>
      </c>
      <c r="R7" s="41">
        <f>D7-O7</f>
        <v>0</v>
      </c>
      <c r="S7" s="41">
        <f>E7-P7</f>
        <v>0</v>
      </c>
    </row>
    <row r="8" spans="1:31" x14ac:dyDescent="0.15">
      <c r="A8" s="1">
        <v>6</v>
      </c>
      <c r="B8" s="1">
        <v>12</v>
      </c>
      <c r="C8" s="10">
        <v>0.68</v>
      </c>
      <c r="D8" s="5">
        <v>36</v>
      </c>
      <c r="E8" s="10">
        <v>7.2499999999999995E-2</v>
      </c>
      <c r="F8" s="5">
        <v>26870</v>
      </c>
      <c r="G8" s="5">
        <v>1020</v>
      </c>
      <c r="I8" s="5">
        <v>26870</v>
      </c>
      <c r="J8" s="5">
        <v>1020</v>
      </c>
      <c r="K8" s="1">
        <v>26870</v>
      </c>
      <c r="L8" s="1">
        <v>1020</v>
      </c>
      <c r="M8">
        <f t="shared" si="0"/>
        <v>0</v>
      </c>
      <c r="N8" s="1">
        <v>0.68</v>
      </c>
      <c r="O8" s="1">
        <v>36</v>
      </c>
      <c r="P8" s="24">
        <v>7.2499999999999995E-2</v>
      </c>
      <c r="Q8" s="31">
        <f>C8-N8</f>
        <v>0</v>
      </c>
      <c r="R8" s="41">
        <f>D8-O8</f>
        <v>0</v>
      </c>
      <c r="S8" s="41">
        <f>E8-P8</f>
        <v>0</v>
      </c>
    </row>
    <row r="9" spans="1:31" x14ac:dyDescent="0.15">
      <c r="A9" s="1">
        <v>6</v>
      </c>
      <c r="B9" s="1">
        <v>12</v>
      </c>
      <c r="C9" s="10">
        <v>0.68</v>
      </c>
      <c r="D9" s="5">
        <v>36</v>
      </c>
      <c r="E9" s="10">
        <v>8.2500000000000004E-2</v>
      </c>
      <c r="F9" s="5">
        <v>29420</v>
      </c>
      <c r="G9" s="5">
        <v>1120</v>
      </c>
      <c r="I9" s="5">
        <v>29420</v>
      </c>
      <c r="J9" s="5">
        <v>1120</v>
      </c>
      <c r="K9" s="1">
        <v>29420</v>
      </c>
      <c r="L9" s="1">
        <v>1120</v>
      </c>
      <c r="M9">
        <f t="shared" si="0"/>
        <v>0</v>
      </c>
      <c r="N9" s="1">
        <v>0.68</v>
      </c>
      <c r="O9" s="1">
        <v>36</v>
      </c>
      <c r="P9" s="24">
        <v>8.2500000000000004E-2</v>
      </c>
      <c r="Q9" s="31">
        <f>C9-N9</f>
        <v>0</v>
      </c>
      <c r="R9" s="41">
        <f>D9-O9</f>
        <v>0</v>
      </c>
      <c r="S9" s="41">
        <f>E9-P9</f>
        <v>0</v>
      </c>
    </row>
    <row r="10" spans="1:31" x14ac:dyDescent="0.15">
      <c r="A10" s="1">
        <v>6</v>
      </c>
      <c r="B10" s="1">
        <v>12</v>
      </c>
      <c r="C10" s="10">
        <v>0.68</v>
      </c>
      <c r="D10" s="5">
        <v>36</v>
      </c>
      <c r="E10" s="10">
        <v>9.2499999999999999E-2</v>
      </c>
      <c r="F10" s="5">
        <v>31890</v>
      </c>
      <c r="G10" s="5">
        <v>1210</v>
      </c>
      <c r="I10" s="5">
        <v>31890</v>
      </c>
      <c r="J10" s="5">
        <v>1210</v>
      </c>
      <c r="K10" s="1">
        <v>31890</v>
      </c>
      <c r="L10" s="1">
        <v>1210</v>
      </c>
      <c r="M10">
        <f t="shared" si="0"/>
        <v>0</v>
      </c>
      <c r="N10" s="1">
        <v>0.68</v>
      </c>
      <c r="O10" s="1">
        <v>36</v>
      </c>
      <c r="P10" s="24">
        <v>9.2499999999999999E-2</v>
      </c>
      <c r="Q10" s="31">
        <f>C10-N10</f>
        <v>0</v>
      </c>
      <c r="R10" s="41">
        <f>D10-O10</f>
        <v>0</v>
      </c>
      <c r="S10" s="41">
        <f>E10-P10</f>
        <v>0</v>
      </c>
    </row>
    <row r="11" spans="1:31" x14ac:dyDescent="0.15">
      <c r="A11" s="1">
        <v>6</v>
      </c>
      <c r="B11" s="1">
        <v>12</v>
      </c>
      <c r="C11" s="10">
        <v>0.68</v>
      </c>
      <c r="D11" s="5">
        <v>36</v>
      </c>
      <c r="E11" s="10">
        <v>0.10249999999999999</v>
      </c>
      <c r="F11" s="5">
        <v>31620</v>
      </c>
      <c r="G11" s="5">
        <v>1230</v>
      </c>
      <c r="I11" s="5">
        <v>31620</v>
      </c>
      <c r="J11" s="5">
        <v>1230</v>
      </c>
      <c r="K11" s="1">
        <v>31620</v>
      </c>
      <c r="L11" s="1">
        <v>1230</v>
      </c>
      <c r="M11">
        <f t="shared" si="0"/>
        <v>0</v>
      </c>
      <c r="N11" s="1">
        <v>0.68</v>
      </c>
      <c r="O11" s="1">
        <v>36</v>
      </c>
      <c r="P11" s="24">
        <v>0.10249999999999999</v>
      </c>
      <c r="Q11" s="31">
        <f>C11-N11</f>
        <v>0</v>
      </c>
      <c r="R11" s="41">
        <f>D11-O11</f>
        <v>0</v>
      </c>
      <c r="S11" s="41">
        <f>E11-P11</f>
        <v>0</v>
      </c>
    </row>
    <row r="12" spans="1:31" x14ac:dyDescent="0.15">
      <c r="A12" s="1">
        <v>6</v>
      </c>
      <c r="B12" s="1">
        <v>12</v>
      </c>
      <c r="C12" s="10">
        <v>0.68</v>
      </c>
      <c r="D12" s="5">
        <v>36</v>
      </c>
      <c r="E12" s="10">
        <v>0.1125</v>
      </c>
      <c r="F12" s="5">
        <v>30230</v>
      </c>
      <c r="G12" s="5">
        <v>1200</v>
      </c>
      <c r="I12" s="5">
        <v>30230</v>
      </c>
      <c r="J12" s="5">
        <v>1200</v>
      </c>
      <c r="K12" s="1">
        <v>30230</v>
      </c>
      <c r="L12" s="1">
        <v>1200</v>
      </c>
      <c r="M12">
        <f t="shared" si="0"/>
        <v>0</v>
      </c>
      <c r="N12" s="1">
        <v>0.68</v>
      </c>
      <c r="O12" s="1">
        <v>36</v>
      </c>
      <c r="P12" s="24">
        <v>0.1125</v>
      </c>
      <c r="Q12" s="31">
        <f>C12-N12</f>
        <v>0</v>
      </c>
      <c r="R12" s="41">
        <f>D12-O12</f>
        <v>0</v>
      </c>
      <c r="S12" s="41">
        <f>E12-P12</f>
        <v>0</v>
      </c>
    </row>
    <row r="13" spans="1:31" x14ac:dyDescent="0.15">
      <c r="A13" s="1">
        <v>6</v>
      </c>
      <c r="B13" s="1">
        <v>12</v>
      </c>
      <c r="C13" s="10">
        <v>0.68</v>
      </c>
      <c r="D13" s="5">
        <v>36</v>
      </c>
      <c r="E13" s="10">
        <v>0.1225</v>
      </c>
      <c r="F13" s="5">
        <v>28090</v>
      </c>
      <c r="G13" s="5">
        <v>1150</v>
      </c>
      <c r="I13" s="5">
        <v>28090</v>
      </c>
      <c r="J13" s="5">
        <v>1150</v>
      </c>
      <c r="K13" s="1">
        <v>28090</v>
      </c>
      <c r="L13" s="1">
        <v>1150</v>
      </c>
      <c r="M13">
        <f t="shared" si="0"/>
        <v>0</v>
      </c>
      <c r="N13" s="1">
        <v>0.68</v>
      </c>
      <c r="O13" s="1">
        <v>36</v>
      </c>
      <c r="P13" s="24">
        <v>0.1225</v>
      </c>
      <c r="Q13" s="31">
        <f>C13-N13</f>
        <v>0</v>
      </c>
      <c r="R13" s="41">
        <f>D13-O13</f>
        <v>0</v>
      </c>
      <c r="S13" s="41">
        <f>E13-P13</f>
        <v>0</v>
      </c>
    </row>
    <row r="14" spans="1:31" ht="14" thickBot="1" x14ac:dyDescent="0.2">
      <c r="A14" s="1">
        <v>6</v>
      </c>
      <c r="B14" s="1">
        <v>12</v>
      </c>
      <c r="C14" s="10">
        <v>0.68</v>
      </c>
      <c r="D14" s="5">
        <v>36</v>
      </c>
      <c r="E14" s="10">
        <v>0.13250000000000001</v>
      </c>
      <c r="F14" s="5">
        <v>26550</v>
      </c>
      <c r="G14" s="5">
        <v>1040</v>
      </c>
      <c r="I14" s="5">
        <v>26550</v>
      </c>
      <c r="J14" s="5">
        <v>1040</v>
      </c>
      <c r="K14" s="1">
        <v>26550</v>
      </c>
      <c r="L14" s="1">
        <v>1040</v>
      </c>
      <c r="M14">
        <f t="shared" si="0"/>
        <v>0</v>
      </c>
      <c r="N14" s="1">
        <v>0.68</v>
      </c>
      <c r="O14" s="1">
        <v>36</v>
      </c>
      <c r="P14" s="44">
        <v>0.13250000000000001</v>
      </c>
      <c r="Q14" s="31">
        <f>C14-N14</f>
        <v>0</v>
      </c>
      <c r="R14" s="41">
        <f>D14-O14</f>
        <v>0</v>
      </c>
      <c r="S14" s="41">
        <f>E14-P14</f>
        <v>0</v>
      </c>
    </row>
    <row r="15" spans="1:31" ht="14" thickTop="1" x14ac:dyDescent="0.15">
      <c r="A15" s="1">
        <v>6</v>
      </c>
      <c r="B15" s="1">
        <v>12</v>
      </c>
      <c r="C15" s="10">
        <v>0.68</v>
      </c>
      <c r="D15" s="5">
        <v>36</v>
      </c>
      <c r="E15" s="10">
        <v>0.14249999999999999</v>
      </c>
      <c r="F15" s="5">
        <v>22520</v>
      </c>
      <c r="G15" s="5">
        <v>930</v>
      </c>
      <c r="I15" s="5">
        <v>22520</v>
      </c>
      <c r="J15" s="5">
        <v>930</v>
      </c>
      <c r="K15" s="1">
        <v>22520</v>
      </c>
      <c r="L15" s="1">
        <v>930</v>
      </c>
      <c r="M15">
        <f t="shared" si="0"/>
        <v>0</v>
      </c>
      <c r="N15" s="1">
        <v>0.68</v>
      </c>
      <c r="O15" s="1">
        <v>36</v>
      </c>
      <c r="P15" s="24">
        <v>0.14249999999999999</v>
      </c>
      <c r="Q15" s="31">
        <f>C15-N15</f>
        <v>0</v>
      </c>
      <c r="R15" s="41">
        <f>D15-O15</f>
        <v>0</v>
      </c>
      <c r="S15" s="41">
        <f>E15-P15</f>
        <v>0</v>
      </c>
    </row>
    <row r="16" spans="1:31" x14ac:dyDescent="0.15">
      <c r="A16" s="1">
        <v>6</v>
      </c>
      <c r="B16" s="1">
        <v>12</v>
      </c>
      <c r="C16" s="10">
        <v>0.68</v>
      </c>
      <c r="D16" s="5">
        <v>36</v>
      </c>
      <c r="E16" s="10">
        <v>0.1525</v>
      </c>
      <c r="F16" s="5">
        <v>19110</v>
      </c>
      <c r="G16" s="5">
        <v>830</v>
      </c>
      <c r="I16" s="5">
        <v>19110</v>
      </c>
      <c r="J16" s="5">
        <v>830</v>
      </c>
      <c r="K16" s="1">
        <v>19110</v>
      </c>
      <c r="L16" s="1">
        <v>830</v>
      </c>
      <c r="M16">
        <f t="shared" si="0"/>
        <v>0</v>
      </c>
      <c r="N16" s="1">
        <v>0.68</v>
      </c>
      <c r="O16" s="1">
        <v>36</v>
      </c>
      <c r="P16" s="24">
        <v>0.1525</v>
      </c>
      <c r="Q16" s="31">
        <f>C16-N16</f>
        <v>0</v>
      </c>
      <c r="R16" s="41">
        <f>D16-O16</f>
        <v>0</v>
      </c>
      <c r="S16" s="41">
        <f>E16-P16</f>
        <v>0</v>
      </c>
    </row>
    <row r="17" spans="1:19" x14ac:dyDescent="0.15">
      <c r="A17" s="1">
        <v>6</v>
      </c>
      <c r="B17" s="1">
        <v>12</v>
      </c>
      <c r="C17" s="10">
        <v>0.68</v>
      </c>
      <c r="D17" s="5">
        <v>36</v>
      </c>
      <c r="E17" s="10">
        <v>0.16250000000000001</v>
      </c>
      <c r="F17" s="5">
        <v>16730</v>
      </c>
      <c r="G17" s="5">
        <v>760</v>
      </c>
      <c r="I17" s="5">
        <v>16730</v>
      </c>
      <c r="J17" s="5">
        <v>760</v>
      </c>
      <c r="K17" s="1">
        <v>16730</v>
      </c>
      <c r="L17" s="1">
        <v>760</v>
      </c>
      <c r="M17">
        <f t="shared" si="0"/>
        <v>0</v>
      </c>
      <c r="N17" s="1">
        <v>0.68</v>
      </c>
      <c r="O17" s="1">
        <v>36</v>
      </c>
      <c r="P17" s="24">
        <v>0.16250000000000001</v>
      </c>
      <c r="Q17" s="31">
        <f>C17-N17</f>
        <v>0</v>
      </c>
      <c r="R17" s="41">
        <f>D17-O17</f>
        <v>0</v>
      </c>
      <c r="S17" s="41">
        <f>E17-P17</f>
        <v>0</v>
      </c>
    </row>
    <row r="18" spans="1:19" x14ac:dyDescent="0.15">
      <c r="A18" s="1">
        <v>6</v>
      </c>
      <c r="B18" s="1">
        <v>12</v>
      </c>
      <c r="C18" s="10">
        <v>0.68</v>
      </c>
      <c r="D18" s="5">
        <v>36</v>
      </c>
      <c r="E18" s="10">
        <v>0.17249999999999999</v>
      </c>
      <c r="F18" s="5">
        <v>12990</v>
      </c>
      <c r="G18" s="5">
        <v>650</v>
      </c>
      <c r="I18" s="5">
        <v>12990</v>
      </c>
      <c r="J18" s="5">
        <v>650</v>
      </c>
      <c r="K18" s="1">
        <v>12990</v>
      </c>
      <c r="L18" s="1">
        <v>650</v>
      </c>
      <c r="M18">
        <f t="shared" si="0"/>
        <v>0</v>
      </c>
      <c r="N18" s="1">
        <v>0.68</v>
      </c>
      <c r="O18" s="1">
        <v>36</v>
      </c>
      <c r="P18" s="24">
        <v>0.17249999999999999</v>
      </c>
      <c r="Q18" s="31">
        <f>C18-N18</f>
        <v>0</v>
      </c>
      <c r="R18" s="41">
        <f>D18-O18</f>
        <v>0</v>
      </c>
      <c r="S18" s="41">
        <f>E18-P18</f>
        <v>0</v>
      </c>
    </row>
    <row r="19" spans="1:19" x14ac:dyDescent="0.15">
      <c r="A19" s="1">
        <v>6</v>
      </c>
      <c r="B19" s="1">
        <v>12</v>
      </c>
      <c r="C19" s="10">
        <v>0.68</v>
      </c>
      <c r="D19" s="5">
        <v>36</v>
      </c>
      <c r="E19" s="10">
        <v>0.1825</v>
      </c>
      <c r="F19" s="5">
        <v>11710</v>
      </c>
      <c r="G19" s="5">
        <v>600</v>
      </c>
      <c r="I19" s="5">
        <v>11710</v>
      </c>
      <c r="J19" s="5">
        <v>600</v>
      </c>
      <c r="K19" s="1">
        <v>11710</v>
      </c>
      <c r="L19" s="1">
        <v>600</v>
      </c>
      <c r="M19">
        <f t="shared" si="0"/>
        <v>0</v>
      </c>
      <c r="N19" s="1">
        <v>0.68</v>
      </c>
      <c r="O19" s="1">
        <v>36</v>
      </c>
      <c r="P19" s="24">
        <v>0.1825</v>
      </c>
      <c r="Q19" s="31">
        <f>C19-N19</f>
        <v>0</v>
      </c>
      <c r="R19" s="41">
        <f>D19-O19</f>
        <v>0</v>
      </c>
      <c r="S19" s="41">
        <f>E19-P19</f>
        <v>0</v>
      </c>
    </row>
    <row r="20" spans="1:19" x14ac:dyDescent="0.15">
      <c r="A20" s="1">
        <v>6</v>
      </c>
      <c r="B20" s="1">
        <v>12</v>
      </c>
      <c r="C20" s="10">
        <v>0.68</v>
      </c>
      <c r="D20" s="5">
        <v>36</v>
      </c>
      <c r="E20" s="10">
        <v>0.1925</v>
      </c>
      <c r="F20" s="5">
        <v>10240</v>
      </c>
      <c r="G20" s="5">
        <v>550</v>
      </c>
      <c r="I20" s="5">
        <v>10240</v>
      </c>
      <c r="J20" s="5">
        <v>550</v>
      </c>
      <c r="K20" s="1">
        <v>10240</v>
      </c>
      <c r="L20" s="1">
        <v>550</v>
      </c>
      <c r="M20">
        <f t="shared" si="0"/>
        <v>0</v>
      </c>
      <c r="N20" s="1">
        <v>0.68</v>
      </c>
      <c r="O20" s="1">
        <v>36</v>
      </c>
      <c r="P20" s="24">
        <v>0.1925</v>
      </c>
      <c r="Q20" s="31">
        <f>C20-N20</f>
        <v>0</v>
      </c>
      <c r="R20" s="41">
        <f>D20-O20</f>
        <v>0</v>
      </c>
      <c r="S20" s="41">
        <f>E20-P20</f>
        <v>0</v>
      </c>
    </row>
    <row r="21" spans="1:19" ht="14" thickBot="1" x14ac:dyDescent="0.2">
      <c r="A21" s="1">
        <v>6</v>
      </c>
      <c r="B21" s="1">
        <v>12</v>
      </c>
      <c r="C21" s="10">
        <v>0.68</v>
      </c>
      <c r="D21" s="5">
        <v>36</v>
      </c>
      <c r="E21" s="10">
        <v>0.20250000000000001</v>
      </c>
      <c r="F21" s="5">
        <v>9260</v>
      </c>
      <c r="G21" s="5">
        <v>510</v>
      </c>
      <c r="I21" s="5">
        <v>9260</v>
      </c>
      <c r="J21" s="5">
        <v>510</v>
      </c>
      <c r="K21" s="1">
        <v>9260</v>
      </c>
      <c r="L21" s="1">
        <v>510</v>
      </c>
      <c r="M21">
        <f t="shared" si="0"/>
        <v>0</v>
      </c>
      <c r="N21" s="1">
        <v>0.68</v>
      </c>
      <c r="O21" s="1">
        <v>36</v>
      </c>
      <c r="P21" s="44">
        <v>0.20250000000000001</v>
      </c>
      <c r="Q21" s="31">
        <f>C21-N21</f>
        <v>0</v>
      </c>
      <c r="R21" s="41">
        <f>D21-O21</f>
        <v>0</v>
      </c>
      <c r="S21" s="41">
        <f>E21-P21</f>
        <v>0</v>
      </c>
    </row>
    <row r="22" spans="1:19" ht="14" thickTop="1" x14ac:dyDescent="0.15">
      <c r="A22" s="1">
        <v>6</v>
      </c>
      <c r="B22" s="1">
        <v>12</v>
      </c>
      <c r="C22" s="10">
        <v>0.68</v>
      </c>
      <c r="D22" s="5">
        <v>36</v>
      </c>
      <c r="E22" s="10">
        <v>0.21249999999999999</v>
      </c>
      <c r="F22" s="5">
        <v>8380</v>
      </c>
      <c r="G22" s="5">
        <v>480</v>
      </c>
      <c r="I22" s="5">
        <v>8380</v>
      </c>
      <c r="J22" s="5">
        <v>480</v>
      </c>
      <c r="K22" s="1">
        <v>8380</v>
      </c>
      <c r="L22" s="1">
        <v>480</v>
      </c>
      <c r="M22">
        <f t="shared" si="0"/>
        <v>0</v>
      </c>
      <c r="N22" s="1">
        <v>0.68</v>
      </c>
      <c r="O22" s="1">
        <v>36</v>
      </c>
      <c r="P22" s="24">
        <v>0.21249999999999999</v>
      </c>
      <c r="Q22" s="31">
        <f>C22-N22</f>
        <v>0</v>
      </c>
      <c r="R22" s="41">
        <f>D22-O22</f>
        <v>0</v>
      </c>
      <c r="S22" s="41">
        <f>E22-P22</f>
        <v>0</v>
      </c>
    </row>
    <row r="23" spans="1:19" x14ac:dyDescent="0.15">
      <c r="A23" s="1">
        <v>6</v>
      </c>
      <c r="B23" s="1">
        <v>12</v>
      </c>
      <c r="C23" s="10">
        <v>0.68</v>
      </c>
      <c r="D23" s="5">
        <v>36</v>
      </c>
      <c r="E23" s="10">
        <v>0.2225</v>
      </c>
      <c r="F23" s="5">
        <v>7460</v>
      </c>
      <c r="G23" s="5">
        <v>450</v>
      </c>
      <c r="I23" s="5">
        <v>7460</v>
      </c>
      <c r="J23" s="5">
        <v>450</v>
      </c>
      <c r="K23" s="1">
        <v>7460</v>
      </c>
      <c r="L23" s="1">
        <v>450</v>
      </c>
      <c r="M23">
        <f t="shared" si="0"/>
        <v>0</v>
      </c>
      <c r="N23" s="1">
        <v>0.68</v>
      </c>
      <c r="O23" s="1">
        <v>36</v>
      </c>
      <c r="P23" s="24">
        <v>0.2225</v>
      </c>
      <c r="Q23" s="31">
        <f>C23-N23</f>
        <v>0</v>
      </c>
      <c r="R23" s="41">
        <f>D23-O23</f>
        <v>0</v>
      </c>
      <c r="S23" s="41">
        <f>E23-P23</f>
        <v>0</v>
      </c>
    </row>
    <row r="24" spans="1:19" x14ac:dyDescent="0.15">
      <c r="A24" s="1">
        <v>6</v>
      </c>
      <c r="B24" s="1">
        <v>12</v>
      </c>
      <c r="C24" s="10">
        <v>0.68</v>
      </c>
      <c r="D24" s="5">
        <v>36</v>
      </c>
      <c r="E24" s="10">
        <v>0.23250000000000001</v>
      </c>
      <c r="F24" s="5">
        <v>8010</v>
      </c>
      <c r="G24" s="5">
        <v>460</v>
      </c>
      <c r="I24" s="5">
        <v>8010</v>
      </c>
      <c r="J24" s="5">
        <v>460</v>
      </c>
      <c r="K24" s="1">
        <v>8010</v>
      </c>
      <c r="L24" s="1">
        <v>460</v>
      </c>
      <c r="M24">
        <f t="shared" si="0"/>
        <v>0</v>
      </c>
      <c r="N24" s="1">
        <v>0.68</v>
      </c>
      <c r="O24" s="1">
        <v>36</v>
      </c>
      <c r="P24" s="24">
        <v>0.23250000000000001</v>
      </c>
      <c r="Q24" s="31">
        <f>C24-N24</f>
        <v>0</v>
      </c>
      <c r="R24" s="41">
        <f>D24-O24</f>
        <v>0</v>
      </c>
      <c r="S24" s="41">
        <f>E24-P24</f>
        <v>0</v>
      </c>
    </row>
    <row r="25" spans="1:19" x14ac:dyDescent="0.15">
      <c r="A25" s="1">
        <v>6</v>
      </c>
      <c r="B25" s="1">
        <v>12</v>
      </c>
      <c r="C25" s="10">
        <v>0.68</v>
      </c>
      <c r="D25" s="5">
        <v>36</v>
      </c>
      <c r="E25" s="10">
        <v>0.24249999999999999</v>
      </c>
      <c r="F25" s="5">
        <v>7940</v>
      </c>
      <c r="G25" s="5">
        <v>410</v>
      </c>
      <c r="I25" s="5">
        <v>7940</v>
      </c>
      <c r="J25" s="5">
        <v>410</v>
      </c>
      <c r="K25" s="1">
        <v>7940</v>
      </c>
      <c r="L25" s="1">
        <v>410</v>
      </c>
      <c r="M25">
        <f t="shared" si="0"/>
        <v>0</v>
      </c>
      <c r="N25" s="1">
        <v>0.68</v>
      </c>
      <c r="O25" s="1">
        <v>36</v>
      </c>
      <c r="P25" s="24">
        <v>0.24249999999999999</v>
      </c>
      <c r="Q25" s="31">
        <f>C25-N25</f>
        <v>0</v>
      </c>
      <c r="R25" s="41">
        <f>D25-O25</f>
        <v>0</v>
      </c>
      <c r="S25" s="41">
        <f>E25-P25</f>
        <v>0</v>
      </c>
    </row>
    <row r="26" spans="1:19" x14ac:dyDescent="0.15">
      <c r="A26" s="1">
        <v>6</v>
      </c>
      <c r="B26" s="1">
        <v>12</v>
      </c>
      <c r="C26" s="10">
        <v>0.68</v>
      </c>
      <c r="D26" s="5">
        <v>36</v>
      </c>
      <c r="E26" s="10">
        <v>0.2525</v>
      </c>
      <c r="F26" s="5">
        <v>8260</v>
      </c>
      <c r="G26" s="5">
        <v>420</v>
      </c>
      <c r="I26" s="5">
        <v>8260</v>
      </c>
      <c r="J26" s="5">
        <v>420</v>
      </c>
      <c r="K26" s="1">
        <v>8260</v>
      </c>
      <c r="L26" s="1">
        <v>420</v>
      </c>
      <c r="M26">
        <f t="shared" si="0"/>
        <v>0</v>
      </c>
      <c r="N26" s="1">
        <v>0.68</v>
      </c>
      <c r="O26" s="1">
        <v>36</v>
      </c>
      <c r="P26" s="24">
        <v>0.2525</v>
      </c>
      <c r="Q26" s="31">
        <f>C26-N26</f>
        <v>0</v>
      </c>
      <c r="R26" s="41">
        <f>D26-O26</f>
        <v>0</v>
      </c>
      <c r="S26" s="41">
        <f>E26-P26</f>
        <v>0</v>
      </c>
    </row>
    <row r="27" spans="1:19" x14ac:dyDescent="0.15">
      <c r="A27" s="1">
        <v>6</v>
      </c>
      <c r="B27" s="1">
        <v>12</v>
      </c>
      <c r="C27" s="10">
        <v>0.68</v>
      </c>
      <c r="D27" s="5">
        <v>36</v>
      </c>
      <c r="E27" s="10">
        <v>0.26250000000000001</v>
      </c>
      <c r="F27" s="5">
        <v>8380</v>
      </c>
      <c r="G27" s="5">
        <v>470</v>
      </c>
      <c r="I27" s="5">
        <v>8380</v>
      </c>
      <c r="J27" s="5">
        <v>470</v>
      </c>
      <c r="K27" s="1">
        <v>8380</v>
      </c>
      <c r="L27" s="1">
        <v>470</v>
      </c>
      <c r="M27">
        <f t="shared" si="0"/>
        <v>0</v>
      </c>
      <c r="N27" s="1">
        <v>0.68</v>
      </c>
      <c r="O27" s="1">
        <v>36</v>
      </c>
      <c r="P27" s="24">
        <v>0.26250000000000001</v>
      </c>
      <c r="Q27" s="31">
        <f>C27-N27</f>
        <v>0</v>
      </c>
      <c r="R27" s="41">
        <f>D27-O27</f>
        <v>0</v>
      </c>
      <c r="S27" s="41">
        <f>E27-P27</f>
        <v>0</v>
      </c>
    </row>
    <row r="28" spans="1:19" x14ac:dyDescent="0.15">
      <c r="A28" s="1">
        <v>6</v>
      </c>
      <c r="B28" s="1">
        <v>12</v>
      </c>
      <c r="C28" s="10">
        <v>0.68</v>
      </c>
      <c r="D28" s="5">
        <v>36</v>
      </c>
      <c r="E28" s="10">
        <v>0.27250000000000002</v>
      </c>
      <c r="F28" s="5">
        <v>9170</v>
      </c>
      <c r="G28" s="5">
        <v>500</v>
      </c>
      <c r="I28" s="5">
        <v>9170</v>
      </c>
      <c r="J28" s="5">
        <v>500</v>
      </c>
      <c r="K28" s="1">
        <v>9170</v>
      </c>
      <c r="L28" s="1">
        <v>500</v>
      </c>
      <c r="M28">
        <f t="shared" si="0"/>
        <v>0</v>
      </c>
      <c r="N28" s="1">
        <v>0.68</v>
      </c>
      <c r="O28" s="1">
        <v>36</v>
      </c>
      <c r="P28" s="24">
        <v>0.27250000000000002</v>
      </c>
      <c r="Q28" s="31">
        <f>C28-N28</f>
        <v>0</v>
      </c>
      <c r="R28" s="41">
        <f>D28-O28</f>
        <v>0</v>
      </c>
      <c r="S28" s="41">
        <f>E28-P28</f>
        <v>0</v>
      </c>
    </row>
    <row r="29" spans="1:19" x14ac:dyDescent="0.15">
      <c r="A29" s="1">
        <v>6</v>
      </c>
      <c r="B29" s="1">
        <v>12</v>
      </c>
      <c r="C29" s="10">
        <v>0.68</v>
      </c>
      <c r="D29" s="5">
        <v>36</v>
      </c>
      <c r="E29" s="10">
        <v>0.28249999999999997</v>
      </c>
      <c r="F29" s="5">
        <v>9680</v>
      </c>
      <c r="G29" s="5">
        <v>520</v>
      </c>
      <c r="I29" s="5">
        <v>9680</v>
      </c>
      <c r="J29" s="5">
        <v>520</v>
      </c>
      <c r="K29" s="1">
        <v>9680</v>
      </c>
      <c r="L29" s="1">
        <v>520</v>
      </c>
      <c r="M29">
        <f t="shared" si="0"/>
        <v>0</v>
      </c>
      <c r="N29" s="1">
        <v>0.68</v>
      </c>
      <c r="O29" s="1">
        <v>36</v>
      </c>
      <c r="P29" s="24">
        <v>0.28249999999999997</v>
      </c>
      <c r="Q29" s="31">
        <f>C29-N29</f>
        <v>0</v>
      </c>
      <c r="R29" s="41">
        <f>D29-O29</f>
        <v>0</v>
      </c>
      <c r="S29" s="41">
        <f>E29-P29</f>
        <v>0</v>
      </c>
    </row>
    <row r="30" spans="1:19" x14ac:dyDescent="0.15">
      <c r="A30" s="1">
        <v>6</v>
      </c>
      <c r="B30" s="1">
        <v>12</v>
      </c>
      <c r="C30" s="10">
        <v>0.68</v>
      </c>
      <c r="D30" s="5">
        <v>36</v>
      </c>
      <c r="E30" s="10">
        <v>0.29249999999999998</v>
      </c>
      <c r="F30" s="5">
        <v>10210</v>
      </c>
      <c r="G30" s="5">
        <v>540</v>
      </c>
      <c r="I30" s="5">
        <v>10210</v>
      </c>
      <c r="J30" s="5">
        <v>540</v>
      </c>
      <c r="K30" s="1">
        <v>10210</v>
      </c>
      <c r="L30" s="1">
        <v>540</v>
      </c>
      <c r="M30">
        <f t="shared" si="0"/>
        <v>0</v>
      </c>
      <c r="N30" s="1">
        <v>0.68</v>
      </c>
      <c r="O30" s="1">
        <v>36</v>
      </c>
      <c r="P30" s="24">
        <v>0.29249999999999998</v>
      </c>
      <c r="Q30" s="31">
        <f>C30-N30</f>
        <v>0</v>
      </c>
      <c r="R30" s="41">
        <f>D30-O30</f>
        <v>0</v>
      </c>
      <c r="S30" s="41">
        <f>E30-P30</f>
        <v>0</v>
      </c>
    </row>
    <row r="31" spans="1:19" x14ac:dyDescent="0.15">
      <c r="A31" s="1">
        <v>6</v>
      </c>
      <c r="B31" s="1">
        <v>12</v>
      </c>
      <c r="C31" s="10">
        <v>0.68</v>
      </c>
      <c r="D31" s="5">
        <v>36</v>
      </c>
      <c r="E31" s="10">
        <v>0.30249999999999999</v>
      </c>
      <c r="F31" s="5">
        <v>10200</v>
      </c>
      <c r="G31" s="5">
        <v>550</v>
      </c>
      <c r="I31" s="5">
        <v>10200</v>
      </c>
      <c r="J31" s="5">
        <v>550</v>
      </c>
      <c r="K31" s="1">
        <v>10200</v>
      </c>
      <c r="L31" s="1">
        <v>550</v>
      </c>
      <c r="M31">
        <f t="shared" si="0"/>
        <v>0</v>
      </c>
      <c r="N31" s="1">
        <v>0.68</v>
      </c>
      <c r="O31" s="1">
        <v>36</v>
      </c>
      <c r="P31" s="24">
        <v>0.30249999999999999</v>
      </c>
      <c r="Q31" s="31">
        <f>C31-N31</f>
        <v>0</v>
      </c>
      <c r="R31" s="41">
        <f>D31-O31</f>
        <v>0</v>
      </c>
      <c r="S31" s="41">
        <f>E31-P31</f>
        <v>0</v>
      </c>
    </row>
    <row r="32" spans="1:19" x14ac:dyDescent="0.15">
      <c r="A32" s="1">
        <v>6</v>
      </c>
      <c r="B32" s="1">
        <v>12</v>
      </c>
      <c r="C32" s="10">
        <v>0.68</v>
      </c>
      <c r="D32" s="5">
        <v>36</v>
      </c>
      <c r="E32" s="10">
        <v>0.3125</v>
      </c>
      <c r="F32" s="5">
        <v>10870</v>
      </c>
      <c r="G32" s="5">
        <v>580</v>
      </c>
      <c r="I32" s="5">
        <v>10870</v>
      </c>
      <c r="J32" s="5">
        <v>580</v>
      </c>
      <c r="K32" s="1">
        <v>10870</v>
      </c>
      <c r="L32" s="1">
        <v>580</v>
      </c>
      <c r="M32">
        <f t="shared" si="0"/>
        <v>0</v>
      </c>
      <c r="N32" s="1">
        <v>0.68</v>
      </c>
      <c r="O32" s="1">
        <v>36</v>
      </c>
      <c r="P32" s="24">
        <v>0.3125</v>
      </c>
      <c r="Q32" s="31">
        <f>C32-N32</f>
        <v>0</v>
      </c>
      <c r="R32" s="41">
        <f>D32-O32</f>
        <v>0</v>
      </c>
      <c r="S32" s="41">
        <f>E32-P32</f>
        <v>0</v>
      </c>
    </row>
    <row r="33" spans="1:19" x14ac:dyDescent="0.15">
      <c r="A33" s="1">
        <v>6</v>
      </c>
      <c r="B33" s="1">
        <v>12</v>
      </c>
      <c r="C33" s="10">
        <v>0.68</v>
      </c>
      <c r="D33" s="5">
        <v>36</v>
      </c>
      <c r="E33" s="10">
        <v>0.32250000000000001</v>
      </c>
      <c r="F33" s="5">
        <v>10930</v>
      </c>
      <c r="G33" s="5">
        <v>590</v>
      </c>
      <c r="I33" s="5">
        <v>10930</v>
      </c>
      <c r="J33" s="5">
        <v>590</v>
      </c>
      <c r="K33" s="1">
        <v>10930</v>
      </c>
      <c r="L33" s="1">
        <v>590</v>
      </c>
      <c r="M33">
        <f t="shared" si="0"/>
        <v>0</v>
      </c>
      <c r="N33" s="1">
        <v>0.68</v>
      </c>
      <c r="O33" s="1">
        <v>36</v>
      </c>
      <c r="P33" s="24">
        <v>0.32250000000000001</v>
      </c>
      <c r="Q33" s="31">
        <f>C33-N33</f>
        <v>0</v>
      </c>
      <c r="R33" s="41">
        <f>D33-O33</f>
        <v>0</v>
      </c>
      <c r="S33" s="41">
        <f>E33-P33</f>
        <v>0</v>
      </c>
    </row>
    <row r="34" spans="1:19" ht="14" thickBot="1" x14ac:dyDescent="0.2">
      <c r="A34" s="1">
        <v>6</v>
      </c>
      <c r="B34" s="1">
        <v>12</v>
      </c>
      <c r="C34" s="10">
        <v>0.68</v>
      </c>
      <c r="D34" s="5">
        <v>36</v>
      </c>
      <c r="E34" s="10">
        <v>0.33250000000000002</v>
      </c>
      <c r="F34" s="5">
        <v>11280</v>
      </c>
      <c r="G34" s="5">
        <v>570</v>
      </c>
      <c r="I34" s="5">
        <v>11280</v>
      </c>
      <c r="J34" s="5">
        <v>570</v>
      </c>
      <c r="K34" s="1">
        <v>11280</v>
      </c>
      <c r="L34" s="1">
        <v>570</v>
      </c>
      <c r="M34">
        <f t="shared" si="0"/>
        <v>0</v>
      </c>
      <c r="N34" s="1">
        <v>0.68</v>
      </c>
      <c r="O34" s="1">
        <v>36</v>
      </c>
      <c r="P34" s="44">
        <v>0.33250000000000002</v>
      </c>
      <c r="Q34" s="31">
        <f>C34-N34</f>
        <v>0</v>
      </c>
      <c r="R34" s="41">
        <f>D34-O34</f>
        <v>0</v>
      </c>
      <c r="S34" s="41">
        <f>E34-P34</f>
        <v>0</v>
      </c>
    </row>
    <row r="35" spans="1:19" ht="14" thickTop="1" x14ac:dyDescent="0.15">
      <c r="A35" s="1">
        <v>6</v>
      </c>
      <c r="B35" s="1">
        <v>12</v>
      </c>
      <c r="C35" s="10">
        <v>0.68</v>
      </c>
      <c r="D35" s="5">
        <v>36</v>
      </c>
      <c r="E35" s="10">
        <v>0.34250000000000003</v>
      </c>
      <c r="F35" s="5">
        <v>11430</v>
      </c>
      <c r="G35" s="5">
        <v>640</v>
      </c>
      <c r="I35" s="5">
        <v>11430</v>
      </c>
      <c r="J35" s="5">
        <v>640</v>
      </c>
      <c r="K35" s="1">
        <v>11430</v>
      </c>
      <c r="L35" s="1">
        <v>640</v>
      </c>
      <c r="M35">
        <f t="shared" si="0"/>
        <v>0</v>
      </c>
      <c r="N35" s="1">
        <v>0.68</v>
      </c>
      <c r="O35" s="1">
        <v>36</v>
      </c>
      <c r="P35" s="24">
        <v>0.34250000000000003</v>
      </c>
      <c r="Q35" s="31">
        <f>C35-N35</f>
        <v>0</v>
      </c>
      <c r="R35" s="41">
        <f>D35-O35</f>
        <v>0</v>
      </c>
      <c r="S35" s="41">
        <f>E35-P35</f>
        <v>0</v>
      </c>
    </row>
    <row r="36" spans="1:19" x14ac:dyDescent="0.15">
      <c r="A36" s="1">
        <v>6</v>
      </c>
      <c r="B36" s="1">
        <v>12</v>
      </c>
      <c r="C36" s="10">
        <v>0.68</v>
      </c>
      <c r="D36" s="5">
        <v>36</v>
      </c>
      <c r="E36" s="10">
        <v>0.35249999999999998</v>
      </c>
      <c r="F36" s="5">
        <v>11700</v>
      </c>
      <c r="G36" s="5">
        <v>670</v>
      </c>
      <c r="I36" s="5">
        <v>11700</v>
      </c>
      <c r="J36" s="5">
        <v>670</v>
      </c>
      <c r="K36" s="1">
        <v>11700</v>
      </c>
      <c r="L36" s="1">
        <v>670</v>
      </c>
      <c r="M36">
        <f t="shared" si="0"/>
        <v>0</v>
      </c>
      <c r="N36" s="1">
        <v>0.68</v>
      </c>
      <c r="O36" s="1">
        <v>36</v>
      </c>
      <c r="P36" s="24">
        <v>0.35249999999999998</v>
      </c>
      <c r="Q36" s="31">
        <f>C36-N36</f>
        <v>0</v>
      </c>
      <c r="R36" s="41">
        <f>D36-O36</f>
        <v>0</v>
      </c>
      <c r="S36" s="41">
        <f>E36-P36</f>
        <v>0</v>
      </c>
    </row>
    <row r="37" spans="1:19" x14ac:dyDescent="0.15">
      <c r="A37" s="1">
        <v>6</v>
      </c>
      <c r="B37" s="1">
        <v>12</v>
      </c>
      <c r="C37" s="10">
        <v>0.68</v>
      </c>
      <c r="D37" s="5">
        <v>36</v>
      </c>
      <c r="E37" s="10">
        <v>0.36249999999999999</v>
      </c>
      <c r="F37" s="5">
        <v>11680</v>
      </c>
      <c r="G37" s="5">
        <v>680</v>
      </c>
      <c r="I37" s="40">
        <v>11680</v>
      </c>
      <c r="J37" s="38">
        <v>680</v>
      </c>
      <c r="K37" s="1">
        <v>11680</v>
      </c>
      <c r="L37" s="1">
        <v>680</v>
      </c>
      <c r="M37">
        <f t="shared" si="0"/>
        <v>0</v>
      </c>
      <c r="N37" s="1">
        <v>0.68</v>
      </c>
      <c r="O37" s="1">
        <v>36</v>
      </c>
      <c r="P37" s="24">
        <v>0.36249999999999999</v>
      </c>
      <c r="Q37" s="31">
        <f>C37-N37</f>
        <v>0</v>
      </c>
      <c r="R37" s="41">
        <f>D37-O37</f>
        <v>0</v>
      </c>
      <c r="S37" s="41">
        <f>E37-P37</f>
        <v>0</v>
      </c>
    </row>
    <row r="38" spans="1:19" x14ac:dyDescent="0.15">
      <c r="A38" s="1">
        <v>6</v>
      </c>
      <c r="B38" s="1">
        <v>12</v>
      </c>
      <c r="C38" s="10">
        <v>0.68</v>
      </c>
      <c r="D38" s="5">
        <v>36</v>
      </c>
      <c r="E38" s="10">
        <v>0.3725</v>
      </c>
      <c r="F38" s="5">
        <v>11920</v>
      </c>
      <c r="G38" s="5">
        <v>710</v>
      </c>
      <c r="I38" s="40">
        <v>11920</v>
      </c>
      <c r="J38" s="38">
        <v>710</v>
      </c>
      <c r="K38" s="1">
        <v>11920</v>
      </c>
      <c r="L38" s="1">
        <v>710</v>
      </c>
      <c r="M38">
        <f t="shared" si="0"/>
        <v>0</v>
      </c>
      <c r="N38" s="1">
        <v>0.68</v>
      </c>
      <c r="O38" s="1">
        <v>36</v>
      </c>
      <c r="P38" s="24">
        <v>0.3725</v>
      </c>
      <c r="Q38" s="31">
        <f>C38-N38</f>
        <v>0</v>
      </c>
      <c r="R38" s="41">
        <f>D38-O38</f>
        <v>0</v>
      </c>
      <c r="S38" s="41">
        <f>E38-P38</f>
        <v>0</v>
      </c>
    </row>
    <row r="39" spans="1:19" x14ac:dyDescent="0.15">
      <c r="A39" s="1">
        <v>6</v>
      </c>
      <c r="B39" s="1">
        <v>12</v>
      </c>
      <c r="C39" s="10">
        <v>0.68</v>
      </c>
      <c r="D39" s="5">
        <v>36</v>
      </c>
      <c r="E39" s="10">
        <v>0.38250000000000001</v>
      </c>
      <c r="F39" s="5">
        <v>10860</v>
      </c>
      <c r="G39" s="5">
        <v>700</v>
      </c>
      <c r="I39" s="40">
        <v>10860</v>
      </c>
      <c r="J39" s="38">
        <v>700</v>
      </c>
      <c r="K39" s="1">
        <v>10860</v>
      </c>
      <c r="L39" s="1">
        <v>700</v>
      </c>
      <c r="M39">
        <f t="shared" si="0"/>
        <v>0</v>
      </c>
      <c r="N39" s="1">
        <v>0.68</v>
      </c>
      <c r="O39" s="1">
        <v>36</v>
      </c>
      <c r="P39" s="24">
        <v>0.38250000000000001</v>
      </c>
      <c r="Q39" s="31">
        <f>C39-N39</f>
        <v>0</v>
      </c>
      <c r="R39" s="41">
        <f>D39-O39</f>
        <v>0</v>
      </c>
      <c r="S39" s="41">
        <f>E39-P39</f>
        <v>0</v>
      </c>
    </row>
    <row r="40" spans="1:19" x14ac:dyDescent="0.15">
      <c r="A40" s="1">
        <v>6</v>
      </c>
      <c r="B40" s="1">
        <v>12</v>
      </c>
      <c r="C40" s="10">
        <v>0.68</v>
      </c>
      <c r="D40" s="5">
        <v>36</v>
      </c>
      <c r="E40" s="10">
        <v>0.39250000000000002</v>
      </c>
      <c r="F40" s="5">
        <v>10860</v>
      </c>
      <c r="G40" s="5">
        <v>720</v>
      </c>
      <c r="I40" s="40">
        <v>10860</v>
      </c>
      <c r="J40" s="38">
        <v>720</v>
      </c>
      <c r="K40" s="1">
        <v>10860</v>
      </c>
      <c r="L40" s="1">
        <v>720</v>
      </c>
      <c r="M40">
        <f t="shared" si="0"/>
        <v>0</v>
      </c>
      <c r="N40" s="1">
        <v>0.68</v>
      </c>
      <c r="O40" s="1">
        <v>36</v>
      </c>
      <c r="P40" s="24">
        <v>0.39250000000000002</v>
      </c>
      <c r="Q40" s="31">
        <f>C40-N40</f>
        <v>0</v>
      </c>
      <c r="R40" s="41">
        <f>D40-O40</f>
        <v>0</v>
      </c>
      <c r="S40" s="41">
        <f>E40-P40</f>
        <v>0</v>
      </c>
    </row>
    <row r="41" spans="1:19" x14ac:dyDescent="0.15">
      <c r="A41" s="1">
        <v>6</v>
      </c>
      <c r="B41" s="1">
        <v>12</v>
      </c>
      <c r="C41" s="10">
        <v>0.68</v>
      </c>
      <c r="D41" s="5">
        <v>36</v>
      </c>
      <c r="E41" s="10">
        <v>0.40250000000000002</v>
      </c>
      <c r="F41" s="5">
        <v>9460</v>
      </c>
      <c r="G41" s="5">
        <v>710</v>
      </c>
      <c r="I41" s="40">
        <v>9460</v>
      </c>
      <c r="J41" s="38">
        <v>710</v>
      </c>
      <c r="K41" s="1">
        <v>9460</v>
      </c>
      <c r="L41" s="1">
        <v>710</v>
      </c>
      <c r="M41">
        <f t="shared" si="0"/>
        <v>0</v>
      </c>
      <c r="N41" s="1">
        <v>0.68</v>
      </c>
      <c r="O41" s="1">
        <v>36</v>
      </c>
      <c r="P41" s="24">
        <v>0.40250000000000002</v>
      </c>
      <c r="Q41" s="31">
        <f>C41-N41</f>
        <v>0</v>
      </c>
      <c r="R41" s="41">
        <f>D41-O41</f>
        <v>0</v>
      </c>
      <c r="S41" s="41">
        <f>E41-P41</f>
        <v>0</v>
      </c>
    </row>
    <row r="42" spans="1:19" x14ac:dyDescent="0.15">
      <c r="A42" s="1">
        <v>6</v>
      </c>
      <c r="B42" s="1">
        <v>12</v>
      </c>
      <c r="C42" s="10">
        <v>0.68</v>
      </c>
      <c r="D42" s="5">
        <v>36</v>
      </c>
      <c r="E42" s="10">
        <v>0.41249999999999998</v>
      </c>
      <c r="F42" s="5">
        <v>9500</v>
      </c>
      <c r="G42" s="5">
        <v>740</v>
      </c>
      <c r="I42" s="40">
        <v>9500</v>
      </c>
      <c r="J42" s="38">
        <v>740</v>
      </c>
      <c r="K42" s="1">
        <v>9500</v>
      </c>
      <c r="L42" s="1">
        <v>740</v>
      </c>
      <c r="M42">
        <f t="shared" si="0"/>
        <v>0</v>
      </c>
      <c r="N42" s="1">
        <v>0.68</v>
      </c>
      <c r="O42" s="1">
        <v>36</v>
      </c>
      <c r="P42" s="24">
        <v>0.41249999999999998</v>
      </c>
      <c r="Q42" s="31">
        <f>C42-N42</f>
        <v>0</v>
      </c>
      <c r="R42" s="41">
        <f>D42-O42</f>
        <v>0</v>
      </c>
      <c r="S42" s="41">
        <f>E42-P42</f>
        <v>0</v>
      </c>
    </row>
    <row r="43" spans="1:19" x14ac:dyDescent="0.15">
      <c r="A43" s="1">
        <v>6</v>
      </c>
      <c r="B43" s="1">
        <v>12</v>
      </c>
      <c r="C43" s="10">
        <v>0.68</v>
      </c>
      <c r="D43" s="5">
        <v>36</v>
      </c>
      <c r="E43" s="10">
        <v>0.42249999999999999</v>
      </c>
      <c r="F43" s="5">
        <v>9060</v>
      </c>
      <c r="G43" s="5">
        <v>770</v>
      </c>
      <c r="I43" s="40">
        <v>9060</v>
      </c>
      <c r="J43" s="38">
        <v>770</v>
      </c>
      <c r="K43" s="1">
        <v>9060</v>
      </c>
      <c r="L43" s="1">
        <v>770</v>
      </c>
      <c r="M43">
        <f t="shared" si="0"/>
        <v>0</v>
      </c>
      <c r="N43" s="1">
        <v>0.68</v>
      </c>
      <c r="O43" s="1">
        <v>36</v>
      </c>
      <c r="P43" s="24">
        <v>0.42249999999999999</v>
      </c>
      <c r="Q43" s="31">
        <f>C43-N43</f>
        <v>0</v>
      </c>
      <c r="R43" s="41">
        <f>D43-O43</f>
        <v>0</v>
      </c>
      <c r="S43" s="41">
        <f>E43-P43</f>
        <v>0</v>
      </c>
    </row>
    <row r="44" spans="1:19" x14ac:dyDescent="0.15">
      <c r="A44" s="1">
        <v>6</v>
      </c>
      <c r="B44" s="1">
        <v>12</v>
      </c>
      <c r="C44" s="10">
        <v>0.68</v>
      </c>
      <c r="D44" s="5">
        <v>36</v>
      </c>
      <c r="E44" s="10">
        <v>0.4325</v>
      </c>
      <c r="F44" s="5">
        <v>8550</v>
      </c>
      <c r="G44" s="5">
        <v>790</v>
      </c>
      <c r="I44" s="40">
        <v>8550</v>
      </c>
      <c r="J44" s="38">
        <v>790</v>
      </c>
      <c r="K44" s="1">
        <v>8550</v>
      </c>
      <c r="L44" s="1">
        <v>790</v>
      </c>
      <c r="M44">
        <f t="shared" si="0"/>
        <v>0</v>
      </c>
      <c r="N44" s="1">
        <v>0.68</v>
      </c>
      <c r="O44" s="1">
        <v>36</v>
      </c>
      <c r="P44" s="24">
        <v>0.4325</v>
      </c>
      <c r="Q44" s="31">
        <f>C44-N44</f>
        <v>0</v>
      </c>
      <c r="R44" s="41">
        <f>D44-O44</f>
        <v>0</v>
      </c>
      <c r="S44" s="41">
        <f>E44-P44</f>
        <v>0</v>
      </c>
    </row>
    <row r="45" spans="1:19" ht="14" thickBot="1" x14ac:dyDescent="0.2">
      <c r="A45" s="1">
        <v>6</v>
      </c>
      <c r="B45" s="1">
        <v>12</v>
      </c>
      <c r="C45" s="10">
        <v>0.68</v>
      </c>
      <c r="D45" s="5">
        <v>36</v>
      </c>
      <c r="E45" s="10">
        <v>0.4425</v>
      </c>
      <c r="F45" s="5">
        <v>8350</v>
      </c>
      <c r="G45" s="5">
        <v>840</v>
      </c>
      <c r="I45" s="40">
        <v>8350</v>
      </c>
      <c r="J45" s="38">
        <v>840</v>
      </c>
      <c r="K45" s="1">
        <v>8350</v>
      </c>
      <c r="L45" s="1">
        <v>840</v>
      </c>
      <c r="M45">
        <f t="shared" si="0"/>
        <v>0</v>
      </c>
      <c r="N45" s="1">
        <v>0.68</v>
      </c>
      <c r="O45" s="1">
        <v>36</v>
      </c>
      <c r="P45" s="44">
        <v>0.4425</v>
      </c>
      <c r="Q45" s="31">
        <f>C45-N45</f>
        <v>0</v>
      </c>
      <c r="R45" s="41">
        <f>D45-O45</f>
        <v>0</v>
      </c>
      <c r="S45" s="41">
        <f>E45-P45</f>
        <v>0</v>
      </c>
    </row>
    <row r="46" spans="1:19" ht="14" thickTop="1" x14ac:dyDescent="0.15">
      <c r="A46" s="1">
        <v>6</v>
      </c>
      <c r="B46" s="1">
        <v>12</v>
      </c>
      <c r="C46" s="10">
        <v>0.68</v>
      </c>
      <c r="D46" s="5">
        <v>36</v>
      </c>
      <c r="E46" s="10">
        <v>0.45250000000000001</v>
      </c>
      <c r="F46" s="5">
        <v>8390</v>
      </c>
      <c r="G46" s="5">
        <v>840</v>
      </c>
      <c r="I46" s="40">
        <v>8390</v>
      </c>
      <c r="J46" s="38">
        <v>840</v>
      </c>
      <c r="K46" s="1">
        <v>8390</v>
      </c>
      <c r="L46" s="1">
        <v>840</v>
      </c>
      <c r="M46">
        <f t="shared" si="0"/>
        <v>0</v>
      </c>
      <c r="N46" s="1">
        <v>0.68</v>
      </c>
      <c r="O46" s="1">
        <v>36</v>
      </c>
      <c r="P46" s="24">
        <v>0.45250000000000001</v>
      </c>
      <c r="Q46" s="31">
        <f>C46-N46</f>
        <v>0</v>
      </c>
      <c r="R46" s="41">
        <f>D46-O46</f>
        <v>0</v>
      </c>
      <c r="S46" s="41">
        <f>E46-P46</f>
        <v>0</v>
      </c>
    </row>
    <row r="47" spans="1:19" x14ac:dyDescent="0.15">
      <c r="A47" s="1">
        <v>6</v>
      </c>
      <c r="B47" s="1">
        <v>12</v>
      </c>
      <c r="C47" s="10">
        <v>0.68</v>
      </c>
      <c r="D47" s="5">
        <v>36</v>
      </c>
      <c r="E47" s="10">
        <v>0.46250000000000002</v>
      </c>
      <c r="F47" s="5">
        <v>7650</v>
      </c>
      <c r="G47" s="5">
        <v>930</v>
      </c>
      <c r="I47" s="40">
        <v>7650</v>
      </c>
      <c r="J47" s="38">
        <v>930</v>
      </c>
      <c r="K47" s="1">
        <v>7650</v>
      </c>
      <c r="L47" s="1">
        <v>930</v>
      </c>
      <c r="M47">
        <f t="shared" si="0"/>
        <v>0</v>
      </c>
      <c r="N47" s="1">
        <v>0.68</v>
      </c>
      <c r="O47" s="1">
        <v>36</v>
      </c>
      <c r="P47" s="24">
        <v>0.46250000000000002</v>
      </c>
      <c r="Q47" s="31">
        <f>C47-N47</f>
        <v>0</v>
      </c>
      <c r="R47" s="41">
        <f>D47-O47</f>
        <v>0</v>
      </c>
      <c r="S47" s="41">
        <f>E47-P47</f>
        <v>0</v>
      </c>
    </row>
    <row r="48" spans="1:19" x14ac:dyDescent="0.15">
      <c r="A48" s="1">
        <v>6</v>
      </c>
      <c r="B48" s="1">
        <v>12</v>
      </c>
      <c r="C48" s="10">
        <v>0.68</v>
      </c>
      <c r="D48" s="5">
        <v>36</v>
      </c>
      <c r="E48" s="10">
        <v>0.47249999999999998</v>
      </c>
      <c r="F48" s="5">
        <v>7200</v>
      </c>
      <c r="G48" s="5">
        <v>1000</v>
      </c>
      <c r="I48" s="40">
        <v>7200</v>
      </c>
      <c r="J48" s="38">
        <v>1000</v>
      </c>
      <c r="K48" s="1">
        <v>7200</v>
      </c>
      <c r="L48" s="1">
        <v>1000</v>
      </c>
      <c r="M48">
        <f t="shared" si="0"/>
        <v>0</v>
      </c>
      <c r="N48" s="1">
        <v>0.68</v>
      </c>
      <c r="O48" s="1">
        <v>36</v>
      </c>
      <c r="P48" s="24">
        <v>0.47249999999999998</v>
      </c>
      <c r="Q48" s="31">
        <f>C48-N48</f>
        <v>0</v>
      </c>
      <c r="R48" s="41">
        <f>D48-O48</f>
        <v>0</v>
      </c>
      <c r="S48" s="41">
        <f>E48-P48</f>
        <v>0</v>
      </c>
    </row>
    <row r="49" spans="1:23" x14ac:dyDescent="0.15">
      <c r="A49" s="1">
        <v>6</v>
      </c>
      <c r="B49" s="1">
        <v>12</v>
      </c>
      <c r="C49" s="10">
        <v>0.68</v>
      </c>
      <c r="D49" s="5">
        <v>36</v>
      </c>
      <c r="E49" s="10">
        <v>0.48249999999999998</v>
      </c>
      <c r="F49" s="5">
        <v>7200</v>
      </c>
      <c r="G49" s="5">
        <v>1090</v>
      </c>
      <c r="I49" s="40">
        <v>7200</v>
      </c>
      <c r="J49" s="38">
        <v>1090</v>
      </c>
      <c r="K49" s="1">
        <v>7200</v>
      </c>
      <c r="L49" s="1">
        <v>1090</v>
      </c>
      <c r="M49">
        <f t="shared" si="0"/>
        <v>0</v>
      </c>
      <c r="N49" s="1">
        <v>0.68</v>
      </c>
      <c r="O49" s="1">
        <v>36</v>
      </c>
      <c r="P49" s="24">
        <v>0.48249999999999998</v>
      </c>
      <c r="Q49" s="31">
        <f>C49-N49</f>
        <v>0</v>
      </c>
      <c r="R49" s="41">
        <f>D49-O49</f>
        <v>0</v>
      </c>
      <c r="S49" s="41">
        <f>E49-P49</f>
        <v>0</v>
      </c>
    </row>
    <row r="50" spans="1:23" x14ac:dyDescent="0.15">
      <c r="A50" s="1">
        <v>6</v>
      </c>
      <c r="B50" s="1">
        <v>12</v>
      </c>
      <c r="C50" s="10">
        <v>0.68</v>
      </c>
      <c r="D50" s="5">
        <v>36</v>
      </c>
      <c r="E50" s="10">
        <v>0.49249999999999999</v>
      </c>
      <c r="F50" s="5">
        <v>7090</v>
      </c>
      <c r="G50" s="5">
        <v>1210</v>
      </c>
      <c r="I50" s="40">
        <v>7090</v>
      </c>
      <c r="J50" s="38">
        <v>1210</v>
      </c>
      <c r="K50" s="1">
        <v>7090</v>
      </c>
      <c r="L50" s="1">
        <v>1210</v>
      </c>
      <c r="M50">
        <f t="shared" si="0"/>
        <v>0</v>
      </c>
      <c r="N50" s="1">
        <v>0.68</v>
      </c>
      <c r="O50" s="1">
        <v>36</v>
      </c>
      <c r="P50" s="24">
        <v>0.49249999999999999</v>
      </c>
      <c r="Q50" s="31">
        <f>C50-N50</f>
        <v>0</v>
      </c>
      <c r="R50" s="41">
        <f>D50-O50</f>
        <v>0</v>
      </c>
      <c r="S50" s="41">
        <f>E50-P50</f>
        <v>0</v>
      </c>
    </row>
    <row r="51" spans="1:23" x14ac:dyDescent="0.15">
      <c r="A51" s="1">
        <v>6</v>
      </c>
      <c r="B51" s="1">
        <v>12</v>
      </c>
      <c r="C51" s="10">
        <v>0.68</v>
      </c>
      <c r="D51" s="5">
        <v>36</v>
      </c>
      <c r="E51" s="10">
        <v>0.50249999999999995</v>
      </c>
      <c r="F51" s="5">
        <v>7050</v>
      </c>
      <c r="G51" s="5">
        <v>1400</v>
      </c>
      <c r="I51" s="40">
        <v>7050</v>
      </c>
      <c r="J51" s="38">
        <v>1400</v>
      </c>
      <c r="K51" s="1">
        <v>7050</v>
      </c>
      <c r="L51" s="1">
        <v>1400</v>
      </c>
      <c r="M51">
        <f t="shared" si="0"/>
        <v>0</v>
      </c>
      <c r="N51" s="1">
        <v>0.68</v>
      </c>
      <c r="O51" s="1">
        <v>36</v>
      </c>
      <c r="P51" s="24">
        <v>0.50249999999999995</v>
      </c>
      <c r="Q51" s="31">
        <f>C51-N51</f>
        <v>0</v>
      </c>
      <c r="R51" s="41">
        <f>D51-O51</f>
        <v>0</v>
      </c>
      <c r="S51" s="41">
        <f>E51-P51</f>
        <v>0</v>
      </c>
    </row>
    <row r="52" spans="1:23" s="15" customFormat="1" x14ac:dyDescent="0.15">
      <c r="A52" s="12">
        <v>6</v>
      </c>
      <c r="B52" s="12">
        <v>12</v>
      </c>
      <c r="C52" s="13">
        <v>0.62</v>
      </c>
      <c r="D52" s="14">
        <v>36</v>
      </c>
      <c r="E52" s="13">
        <v>1.2500000000000001E-2</v>
      </c>
      <c r="F52" s="14">
        <v>16870</v>
      </c>
      <c r="G52" s="14">
        <v>590</v>
      </c>
      <c r="H52" s="12"/>
      <c r="I52" s="40">
        <v>16870</v>
      </c>
      <c r="J52" s="38">
        <v>590</v>
      </c>
      <c r="K52" s="12">
        <v>16870</v>
      </c>
      <c r="L52" s="12">
        <v>590</v>
      </c>
      <c r="M52">
        <f t="shared" si="0"/>
        <v>0</v>
      </c>
      <c r="N52" s="12">
        <v>0.62</v>
      </c>
      <c r="O52" s="12">
        <v>36</v>
      </c>
      <c r="P52" s="24">
        <v>1.2500000000000001E-2</v>
      </c>
      <c r="Q52" s="31">
        <f>C52-N52</f>
        <v>0</v>
      </c>
      <c r="R52" s="41">
        <f>D52-O52</f>
        <v>0</v>
      </c>
      <c r="S52" s="41">
        <f>E52-P52</f>
        <v>0</v>
      </c>
      <c r="U52" s="12"/>
      <c r="V52" s="12"/>
      <c r="W52" s="12"/>
    </row>
    <row r="53" spans="1:23" x14ac:dyDescent="0.15">
      <c r="A53" s="1">
        <v>6</v>
      </c>
      <c r="B53" s="1">
        <v>12</v>
      </c>
      <c r="C53" s="10">
        <v>0.62</v>
      </c>
      <c r="D53" s="5">
        <v>36</v>
      </c>
      <c r="E53" s="10">
        <v>2.2499999999999999E-2</v>
      </c>
      <c r="F53" s="5">
        <v>18290</v>
      </c>
      <c r="G53" s="5">
        <v>660</v>
      </c>
      <c r="I53" s="40">
        <v>18290</v>
      </c>
      <c r="J53" s="38">
        <v>660</v>
      </c>
      <c r="K53" s="1">
        <v>18290</v>
      </c>
      <c r="L53" s="1">
        <v>660</v>
      </c>
      <c r="M53">
        <f t="shared" si="0"/>
        <v>0</v>
      </c>
      <c r="N53" s="1">
        <v>0.62</v>
      </c>
      <c r="O53" s="1">
        <v>36</v>
      </c>
      <c r="P53" s="24">
        <v>2.2499999999999999E-2</v>
      </c>
      <c r="Q53" s="31">
        <f>C53-N53</f>
        <v>0</v>
      </c>
      <c r="R53" s="41">
        <f>D53-O53</f>
        <v>0</v>
      </c>
      <c r="S53" s="41">
        <f>E53-P53</f>
        <v>0</v>
      </c>
    </row>
    <row r="54" spans="1:23" x14ac:dyDescent="0.15">
      <c r="A54" s="1">
        <v>6</v>
      </c>
      <c r="B54" s="1">
        <v>12</v>
      </c>
      <c r="C54" s="10">
        <v>0.62</v>
      </c>
      <c r="D54" s="5">
        <v>36</v>
      </c>
      <c r="E54" s="10">
        <v>3.2500000000000001E-2</v>
      </c>
      <c r="F54" s="5">
        <v>18310</v>
      </c>
      <c r="G54" s="5">
        <v>690</v>
      </c>
      <c r="I54" s="40">
        <v>18310</v>
      </c>
      <c r="J54" s="38">
        <v>690</v>
      </c>
      <c r="K54" s="1">
        <v>18310</v>
      </c>
      <c r="L54" s="1">
        <v>690</v>
      </c>
      <c r="M54">
        <f t="shared" si="0"/>
        <v>0</v>
      </c>
      <c r="N54" s="1">
        <v>0.62</v>
      </c>
      <c r="O54" s="1">
        <v>36</v>
      </c>
      <c r="P54" s="24">
        <v>3.2500000000000001E-2</v>
      </c>
      <c r="Q54" s="31">
        <f>C54-N54</f>
        <v>0</v>
      </c>
      <c r="R54" s="41">
        <f>D54-O54</f>
        <v>0</v>
      </c>
      <c r="S54" s="41">
        <f>E54-P54</f>
        <v>0</v>
      </c>
    </row>
    <row r="55" spans="1:23" x14ac:dyDescent="0.15">
      <c r="A55" s="1">
        <v>6</v>
      </c>
      <c r="B55" s="1">
        <v>12</v>
      </c>
      <c r="C55" s="10">
        <v>0.62</v>
      </c>
      <c r="D55" s="5">
        <v>36</v>
      </c>
      <c r="E55" s="10">
        <v>4.2500000000000003E-2</v>
      </c>
      <c r="F55" s="5">
        <v>25880</v>
      </c>
      <c r="G55" s="5">
        <v>930</v>
      </c>
      <c r="I55" s="40">
        <v>25880</v>
      </c>
      <c r="J55" s="38">
        <v>930</v>
      </c>
      <c r="K55" s="1">
        <v>25880</v>
      </c>
      <c r="L55" s="1">
        <v>930</v>
      </c>
      <c r="M55">
        <f t="shared" si="0"/>
        <v>0</v>
      </c>
      <c r="N55" s="1">
        <v>0.62</v>
      </c>
      <c r="O55" s="1">
        <v>36</v>
      </c>
      <c r="P55" s="24">
        <v>4.2500000000000003E-2</v>
      </c>
      <c r="Q55" s="31">
        <f>C55-N55</f>
        <v>0</v>
      </c>
      <c r="R55" s="41">
        <f>D55-O55</f>
        <v>0</v>
      </c>
      <c r="S55" s="41">
        <f>E55-P55</f>
        <v>0</v>
      </c>
    </row>
    <row r="56" spans="1:23" x14ac:dyDescent="0.15">
      <c r="A56" s="1">
        <v>6</v>
      </c>
      <c r="B56" s="1">
        <v>12</v>
      </c>
      <c r="C56" s="10">
        <v>0.62</v>
      </c>
      <c r="D56" s="5">
        <v>36</v>
      </c>
      <c r="E56" s="10">
        <v>5.2499999999999998E-2</v>
      </c>
      <c r="F56" s="5">
        <v>30210</v>
      </c>
      <c r="G56" s="5">
        <v>1080</v>
      </c>
      <c r="I56" s="40">
        <v>30210</v>
      </c>
      <c r="J56" s="38">
        <v>1080</v>
      </c>
      <c r="K56" s="1">
        <v>30210</v>
      </c>
      <c r="L56" s="1">
        <v>1080</v>
      </c>
      <c r="M56">
        <f t="shared" si="0"/>
        <v>0</v>
      </c>
      <c r="N56" s="1">
        <v>0.62</v>
      </c>
      <c r="O56" s="1">
        <v>36</v>
      </c>
      <c r="P56" s="24">
        <v>5.2499999999999998E-2</v>
      </c>
      <c r="Q56" s="31">
        <f>C56-N56</f>
        <v>0</v>
      </c>
      <c r="R56" s="41">
        <f>D56-O56</f>
        <v>0</v>
      </c>
      <c r="S56" s="41">
        <f>E56-P56</f>
        <v>0</v>
      </c>
    </row>
    <row r="57" spans="1:23" x14ac:dyDescent="0.15">
      <c r="A57" s="1">
        <v>6</v>
      </c>
      <c r="B57" s="1">
        <v>12</v>
      </c>
      <c r="C57" s="10">
        <v>0.62</v>
      </c>
      <c r="D57" s="5">
        <v>36</v>
      </c>
      <c r="E57" s="10">
        <v>6.25E-2</v>
      </c>
      <c r="F57" s="5">
        <v>35980</v>
      </c>
      <c r="G57" s="5">
        <v>1270</v>
      </c>
      <c r="I57" s="40">
        <v>35980</v>
      </c>
      <c r="J57" s="38">
        <v>1270</v>
      </c>
      <c r="K57" s="1">
        <v>35980</v>
      </c>
      <c r="L57" s="1">
        <v>1270</v>
      </c>
      <c r="M57">
        <f t="shared" si="0"/>
        <v>0</v>
      </c>
      <c r="N57" s="1">
        <v>0.62</v>
      </c>
      <c r="O57" s="1">
        <v>36</v>
      </c>
      <c r="P57" s="24">
        <v>6.25E-2</v>
      </c>
      <c r="Q57" s="31">
        <f>C57-N57</f>
        <v>0</v>
      </c>
      <c r="R57" s="41">
        <f>D57-O57</f>
        <v>0</v>
      </c>
      <c r="S57" s="41">
        <f>E57-P57</f>
        <v>0</v>
      </c>
    </row>
    <row r="58" spans="1:23" x14ac:dyDescent="0.15">
      <c r="A58" s="1">
        <v>6</v>
      </c>
      <c r="B58" s="1">
        <v>12</v>
      </c>
      <c r="C58" s="10">
        <v>0.62</v>
      </c>
      <c r="D58" s="5">
        <v>36</v>
      </c>
      <c r="E58" s="10">
        <v>7.2499999999999995E-2</v>
      </c>
      <c r="F58" s="5">
        <v>41130</v>
      </c>
      <c r="G58" s="5">
        <v>1370</v>
      </c>
      <c r="I58" s="40">
        <v>41130</v>
      </c>
      <c r="J58" s="38">
        <v>1370</v>
      </c>
      <c r="K58" s="1">
        <v>41130</v>
      </c>
      <c r="L58" s="1">
        <v>1370</v>
      </c>
      <c r="M58">
        <f t="shared" si="0"/>
        <v>0</v>
      </c>
      <c r="N58" s="1">
        <v>0.62</v>
      </c>
      <c r="O58" s="1">
        <v>36</v>
      </c>
      <c r="P58" s="24">
        <v>7.2499999999999995E-2</v>
      </c>
      <c r="Q58" s="31">
        <f>C58-N58</f>
        <v>0</v>
      </c>
      <c r="R58" s="41">
        <f>D58-O58</f>
        <v>0</v>
      </c>
      <c r="S58" s="41">
        <f>E58-P58</f>
        <v>0</v>
      </c>
    </row>
    <row r="59" spans="1:23" x14ac:dyDescent="0.15">
      <c r="A59" s="1">
        <v>6</v>
      </c>
      <c r="B59" s="1">
        <v>12</v>
      </c>
      <c r="C59" s="10">
        <v>0.62</v>
      </c>
      <c r="D59" s="5">
        <v>36</v>
      </c>
      <c r="E59" s="10">
        <v>8.2500000000000004E-2</v>
      </c>
      <c r="F59" s="5">
        <v>42830</v>
      </c>
      <c r="G59" s="5">
        <v>1450</v>
      </c>
      <c r="I59" s="40">
        <v>42830</v>
      </c>
      <c r="J59" s="38">
        <v>1450</v>
      </c>
      <c r="K59" s="1">
        <v>42830</v>
      </c>
      <c r="L59" s="1">
        <v>1450</v>
      </c>
      <c r="M59">
        <f t="shared" si="0"/>
        <v>0</v>
      </c>
      <c r="N59" s="1">
        <v>0.62</v>
      </c>
      <c r="O59" s="1">
        <v>36</v>
      </c>
      <c r="P59" s="24">
        <v>8.2500000000000004E-2</v>
      </c>
      <c r="Q59" s="31">
        <f>C59-N59</f>
        <v>0</v>
      </c>
      <c r="R59" s="41">
        <f>D59-O59</f>
        <v>0</v>
      </c>
      <c r="S59" s="41">
        <f>E59-P59</f>
        <v>0</v>
      </c>
    </row>
    <row r="60" spans="1:23" x14ac:dyDescent="0.15">
      <c r="A60" s="1">
        <v>6</v>
      </c>
      <c r="B60" s="1">
        <v>12</v>
      </c>
      <c r="C60" s="10">
        <v>0.62</v>
      </c>
      <c r="D60" s="5">
        <v>36</v>
      </c>
      <c r="E60" s="10">
        <v>9.2499999999999999E-2</v>
      </c>
      <c r="F60" s="5">
        <v>42220</v>
      </c>
      <c r="G60" s="5">
        <v>1460</v>
      </c>
      <c r="I60" s="40">
        <v>42220</v>
      </c>
      <c r="J60" s="38">
        <v>1460</v>
      </c>
      <c r="K60" s="1">
        <v>42220</v>
      </c>
      <c r="L60" s="1">
        <v>1460</v>
      </c>
      <c r="M60">
        <f t="shared" si="0"/>
        <v>0</v>
      </c>
      <c r="N60" s="1">
        <v>0.62</v>
      </c>
      <c r="O60" s="1">
        <v>36</v>
      </c>
      <c r="P60" s="24">
        <v>9.2499999999999999E-2</v>
      </c>
      <c r="Q60" s="31">
        <f>C60-N60</f>
        <v>0</v>
      </c>
      <c r="R60" s="41">
        <f>D60-O60</f>
        <v>0</v>
      </c>
      <c r="S60" s="41">
        <f>E60-P60</f>
        <v>0</v>
      </c>
    </row>
    <row r="61" spans="1:23" x14ac:dyDescent="0.15">
      <c r="A61" s="1">
        <v>6</v>
      </c>
      <c r="B61" s="1">
        <v>12</v>
      </c>
      <c r="C61" s="10">
        <v>0.62</v>
      </c>
      <c r="D61" s="5">
        <v>36</v>
      </c>
      <c r="E61" s="10">
        <v>0.10249999999999999</v>
      </c>
      <c r="F61" s="5">
        <v>39590</v>
      </c>
      <c r="G61" s="5">
        <v>1410</v>
      </c>
      <c r="I61" s="40">
        <v>39590</v>
      </c>
      <c r="J61" s="38">
        <v>1410</v>
      </c>
      <c r="K61" s="1">
        <v>39590</v>
      </c>
      <c r="L61" s="1">
        <v>1410</v>
      </c>
      <c r="M61">
        <f t="shared" si="0"/>
        <v>0</v>
      </c>
      <c r="N61" s="1">
        <v>0.62</v>
      </c>
      <c r="O61" s="1">
        <v>36</v>
      </c>
      <c r="P61" s="24">
        <v>0.10249999999999999</v>
      </c>
      <c r="Q61" s="31">
        <f>C61-N61</f>
        <v>0</v>
      </c>
      <c r="R61" s="41">
        <f>D61-O61</f>
        <v>0</v>
      </c>
      <c r="S61" s="41">
        <f>E61-P61</f>
        <v>0</v>
      </c>
    </row>
    <row r="62" spans="1:23" x14ac:dyDescent="0.15">
      <c r="A62" s="1">
        <v>6</v>
      </c>
      <c r="B62" s="1">
        <v>12</v>
      </c>
      <c r="C62" s="10">
        <v>0.62</v>
      </c>
      <c r="D62" s="5">
        <v>36</v>
      </c>
      <c r="E62" s="10">
        <v>0.1125</v>
      </c>
      <c r="F62" s="5">
        <v>36340</v>
      </c>
      <c r="G62" s="5">
        <v>1350</v>
      </c>
      <c r="I62" s="40">
        <v>36340</v>
      </c>
      <c r="J62" s="38">
        <v>1350</v>
      </c>
      <c r="K62" s="1">
        <v>36340</v>
      </c>
      <c r="L62" s="1">
        <v>1350</v>
      </c>
      <c r="M62">
        <f t="shared" si="0"/>
        <v>0</v>
      </c>
      <c r="N62" s="1">
        <v>0.62</v>
      </c>
      <c r="O62" s="1">
        <v>36</v>
      </c>
      <c r="P62" s="24">
        <v>0.1125</v>
      </c>
      <c r="Q62" s="31">
        <f>C62-N62</f>
        <v>0</v>
      </c>
      <c r="R62" s="41">
        <f>D62-O62</f>
        <v>0</v>
      </c>
      <c r="S62" s="41">
        <f>E62-P62</f>
        <v>0</v>
      </c>
    </row>
    <row r="63" spans="1:23" x14ac:dyDescent="0.15">
      <c r="A63" s="1">
        <v>6</v>
      </c>
      <c r="B63" s="1">
        <v>12</v>
      </c>
      <c r="C63" s="10">
        <v>0.62</v>
      </c>
      <c r="D63" s="5">
        <v>36</v>
      </c>
      <c r="E63" s="10">
        <v>0.1225</v>
      </c>
      <c r="F63" s="5">
        <v>30800</v>
      </c>
      <c r="G63" s="5">
        <v>1200</v>
      </c>
      <c r="I63" s="40">
        <v>30800</v>
      </c>
      <c r="J63" s="38">
        <v>1200</v>
      </c>
      <c r="K63" s="1">
        <v>30800</v>
      </c>
      <c r="L63" s="1">
        <v>1200</v>
      </c>
      <c r="M63">
        <f t="shared" si="0"/>
        <v>0</v>
      </c>
      <c r="N63" s="1">
        <v>0.62</v>
      </c>
      <c r="O63" s="1">
        <v>36</v>
      </c>
      <c r="P63" s="24">
        <v>0.1225</v>
      </c>
      <c r="Q63" s="31">
        <f>C63-N63</f>
        <v>0</v>
      </c>
      <c r="R63" s="41">
        <f>D63-O63</f>
        <v>0</v>
      </c>
      <c r="S63" s="41">
        <f>E63-P63</f>
        <v>0</v>
      </c>
    </row>
    <row r="64" spans="1:23" x14ac:dyDescent="0.15">
      <c r="A64" s="1">
        <v>6</v>
      </c>
      <c r="B64" s="1">
        <v>12</v>
      </c>
      <c r="C64" s="10">
        <v>0.62</v>
      </c>
      <c r="D64" s="5">
        <v>36</v>
      </c>
      <c r="E64" s="10">
        <v>0.13250000000000001</v>
      </c>
      <c r="F64" s="5">
        <v>26490</v>
      </c>
      <c r="G64" s="5">
        <v>1080</v>
      </c>
      <c r="I64" s="40">
        <v>26490</v>
      </c>
      <c r="J64" s="38">
        <v>1080</v>
      </c>
      <c r="K64" s="1">
        <v>26490</v>
      </c>
      <c r="L64" s="1">
        <v>1080</v>
      </c>
      <c r="M64">
        <f t="shared" si="0"/>
        <v>0</v>
      </c>
      <c r="N64" s="1">
        <v>0.62</v>
      </c>
      <c r="O64" s="1">
        <v>36</v>
      </c>
      <c r="P64" s="24">
        <v>0.13250000000000001</v>
      </c>
      <c r="Q64" s="31">
        <f>C64-N64</f>
        <v>0</v>
      </c>
      <c r="R64" s="41">
        <f>D64-O64</f>
        <v>0</v>
      </c>
      <c r="S64" s="41">
        <f>E64-P64</f>
        <v>0</v>
      </c>
    </row>
    <row r="65" spans="1:19" x14ac:dyDescent="0.15">
      <c r="A65" s="1">
        <v>6</v>
      </c>
      <c r="B65" s="1">
        <v>12</v>
      </c>
      <c r="C65" s="10">
        <v>0.62</v>
      </c>
      <c r="D65" s="5">
        <v>36</v>
      </c>
      <c r="E65" s="10">
        <v>0.14249999999999999</v>
      </c>
      <c r="F65" s="5">
        <v>21550</v>
      </c>
      <c r="G65" s="5">
        <v>930</v>
      </c>
      <c r="I65" s="40">
        <v>21550</v>
      </c>
      <c r="J65" s="38">
        <v>930</v>
      </c>
      <c r="K65" s="1">
        <v>21550</v>
      </c>
      <c r="L65" s="1">
        <v>930</v>
      </c>
      <c r="M65">
        <f t="shared" si="0"/>
        <v>0</v>
      </c>
      <c r="N65" s="1">
        <v>0.62</v>
      </c>
      <c r="O65" s="1">
        <v>36</v>
      </c>
      <c r="P65" s="24">
        <v>0.14249999999999999</v>
      </c>
      <c r="Q65" s="31">
        <f>C65-N65</f>
        <v>0</v>
      </c>
      <c r="R65" s="41">
        <f>D65-O65</f>
        <v>0</v>
      </c>
      <c r="S65" s="41">
        <f>E65-P65</f>
        <v>0</v>
      </c>
    </row>
    <row r="66" spans="1:19" x14ac:dyDescent="0.15">
      <c r="A66" s="1">
        <v>6</v>
      </c>
      <c r="B66" s="1">
        <v>12</v>
      </c>
      <c r="C66" s="10">
        <v>0.62</v>
      </c>
      <c r="D66" s="5">
        <v>36</v>
      </c>
      <c r="E66" s="10">
        <v>0.1525</v>
      </c>
      <c r="F66" s="5">
        <v>17850</v>
      </c>
      <c r="G66" s="5">
        <v>810</v>
      </c>
      <c r="I66" s="40">
        <v>17850</v>
      </c>
      <c r="J66" s="38">
        <v>810</v>
      </c>
      <c r="K66" s="1">
        <v>17850</v>
      </c>
      <c r="L66" s="1">
        <v>810</v>
      </c>
      <c r="M66">
        <f t="shared" si="0"/>
        <v>0</v>
      </c>
      <c r="N66" s="1">
        <v>0.62</v>
      </c>
      <c r="O66" s="1">
        <v>36</v>
      </c>
      <c r="P66" s="24">
        <v>0.1525</v>
      </c>
      <c r="Q66" s="31">
        <f>C66-N66</f>
        <v>0</v>
      </c>
      <c r="R66" s="41">
        <f>D66-O66</f>
        <v>0</v>
      </c>
      <c r="S66" s="41">
        <f>E66-P66</f>
        <v>0</v>
      </c>
    </row>
    <row r="67" spans="1:19" ht="14" thickBot="1" x14ac:dyDescent="0.2">
      <c r="A67" s="1">
        <v>6</v>
      </c>
      <c r="B67" s="1">
        <v>12</v>
      </c>
      <c r="C67" s="10">
        <v>0.62</v>
      </c>
      <c r="D67" s="5">
        <v>36</v>
      </c>
      <c r="E67" s="10">
        <v>0.16250000000000001</v>
      </c>
      <c r="F67" s="5">
        <v>14580</v>
      </c>
      <c r="G67" s="5">
        <v>710</v>
      </c>
      <c r="I67" s="40">
        <v>14580</v>
      </c>
      <c r="J67" s="38">
        <v>710</v>
      </c>
      <c r="K67" s="1">
        <v>14580</v>
      </c>
      <c r="L67" s="1">
        <v>710</v>
      </c>
      <c r="M67">
        <f t="shared" ref="M67:M130" si="1">I67+J67-K67-L67</f>
        <v>0</v>
      </c>
      <c r="N67" s="1">
        <v>0.62</v>
      </c>
      <c r="O67" s="1">
        <v>36</v>
      </c>
      <c r="P67" s="44">
        <v>0.16250000000000001</v>
      </c>
      <c r="Q67" s="31">
        <f>C67-N67</f>
        <v>0</v>
      </c>
      <c r="R67" s="41">
        <f>D67-O67</f>
        <v>0</v>
      </c>
      <c r="S67" s="41">
        <f>E67-P67</f>
        <v>0</v>
      </c>
    </row>
    <row r="68" spans="1:19" ht="14" thickTop="1" x14ac:dyDescent="0.15">
      <c r="A68" s="1">
        <v>6</v>
      </c>
      <c r="B68" s="1">
        <v>12</v>
      </c>
      <c r="C68" s="10">
        <v>0.62</v>
      </c>
      <c r="D68" s="5">
        <v>36</v>
      </c>
      <c r="E68" s="10">
        <v>0.17249999999999999</v>
      </c>
      <c r="F68" s="5">
        <v>12240</v>
      </c>
      <c r="G68" s="5">
        <v>630</v>
      </c>
      <c r="I68" s="40">
        <v>12240</v>
      </c>
      <c r="J68" s="38">
        <v>630</v>
      </c>
      <c r="K68" s="1">
        <v>12240</v>
      </c>
      <c r="L68" s="1">
        <v>630</v>
      </c>
      <c r="M68">
        <f t="shared" si="1"/>
        <v>0</v>
      </c>
      <c r="N68" s="1">
        <v>0.62</v>
      </c>
      <c r="O68" s="1">
        <v>36</v>
      </c>
      <c r="P68" s="24">
        <v>0.17249999999999999</v>
      </c>
      <c r="Q68" s="31">
        <f>C68-N68</f>
        <v>0</v>
      </c>
      <c r="R68" s="41">
        <f>D68-O68</f>
        <v>0</v>
      </c>
      <c r="S68" s="41">
        <f>E68-P68</f>
        <v>0</v>
      </c>
    </row>
    <row r="69" spans="1:19" x14ac:dyDescent="0.15">
      <c r="A69" s="1">
        <v>6</v>
      </c>
      <c r="B69" s="1">
        <v>12</v>
      </c>
      <c r="C69" s="10">
        <v>0.62</v>
      </c>
      <c r="D69" s="5">
        <v>36</v>
      </c>
      <c r="E69" s="10">
        <v>0.1825</v>
      </c>
      <c r="F69" s="5">
        <v>10630</v>
      </c>
      <c r="G69" s="5">
        <v>560</v>
      </c>
      <c r="I69" s="40">
        <v>10630</v>
      </c>
      <c r="J69" s="38">
        <v>560</v>
      </c>
      <c r="K69" s="1">
        <v>10630</v>
      </c>
      <c r="L69" s="1">
        <v>560</v>
      </c>
      <c r="M69">
        <f t="shared" si="1"/>
        <v>0</v>
      </c>
      <c r="N69" s="1">
        <v>0.62</v>
      </c>
      <c r="O69" s="1">
        <v>36</v>
      </c>
      <c r="P69" s="24">
        <v>0.1825</v>
      </c>
      <c r="Q69" s="31">
        <f>C69-N69</f>
        <v>0</v>
      </c>
      <c r="R69" s="41">
        <f>D69-O69</f>
        <v>0</v>
      </c>
      <c r="S69" s="41">
        <f>E69-P69</f>
        <v>0</v>
      </c>
    </row>
    <row r="70" spans="1:19" x14ac:dyDescent="0.15">
      <c r="A70" s="1">
        <v>6</v>
      </c>
      <c r="B70" s="1">
        <v>12</v>
      </c>
      <c r="C70" s="10">
        <v>0.62</v>
      </c>
      <c r="D70" s="5">
        <v>36</v>
      </c>
      <c r="E70" s="10">
        <v>0.1925</v>
      </c>
      <c r="F70" s="5">
        <v>9760</v>
      </c>
      <c r="G70" s="5">
        <v>520</v>
      </c>
      <c r="I70" s="40">
        <v>9760</v>
      </c>
      <c r="J70" s="38">
        <v>520</v>
      </c>
      <c r="K70" s="1">
        <v>9760</v>
      </c>
      <c r="L70" s="1">
        <v>520</v>
      </c>
      <c r="M70">
        <f t="shared" si="1"/>
        <v>0</v>
      </c>
      <c r="N70" s="1">
        <v>0.62</v>
      </c>
      <c r="O70" s="1">
        <v>36</v>
      </c>
      <c r="P70" s="24">
        <v>0.1925</v>
      </c>
      <c r="Q70" s="31">
        <f>C70-N70</f>
        <v>0</v>
      </c>
      <c r="R70" s="41">
        <f>D70-O70</f>
        <v>0</v>
      </c>
      <c r="S70" s="41">
        <f>E70-P70</f>
        <v>0</v>
      </c>
    </row>
    <row r="71" spans="1:19" x14ac:dyDescent="0.15">
      <c r="A71" s="1">
        <v>6</v>
      </c>
      <c r="B71" s="1">
        <v>12</v>
      </c>
      <c r="C71" s="10">
        <v>0.62</v>
      </c>
      <c r="D71" s="5">
        <v>36</v>
      </c>
      <c r="E71" s="10">
        <v>0.20250000000000001</v>
      </c>
      <c r="F71" s="5">
        <v>9100</v>
      </c>
      <c r="G71" s="5">
        <v>570</v>
      </c>
      <c r="I71" s="40">
        <v>9100</v>
      </c>
      <c r="J71" s="38">
        <v>570</v>
      </c>
      <c r="K71" s="1">
        <v>9100</v>
      </c>
      <c r="L71" s="1">
        <v>570</v>
      </c>
      <c r="M71">
        <f t="shared" si="1"/>
        <v>0</v>
      </c>
      <c r="N71" s="1">
        <v>0.62</v>
      </c>
      <c r="O71" s="1">
        <v>36</v>
      </c>
      <c r="P71" s="24">
        <v>0.20250000000000001</v>
      </c>
      <c r="Q71" s="31">
        <f>C71-N71</f>
        <v>0</v>
      </c>
      <c r="R71" s="41">
        <f>D71-O71</f>
        <v>0</v>
      </c>
      <c r="S71" s="41">
        <f>E71-P71</f>
        <v>0</v>
      </c>
    </row>
    <row r="72" spans="1:19" x14ac:dyDescent="0.15">
      <c r="A72" s="1">
        <v>6</v>
      </c>
      <c r="B72" s="1">
        <v>12</v>
      </c>
      <c r="C72" s="10">
        <v>0.62</v>
      </c>
      <c r="D72" s="5">
        <v>36</v>
      </c>
      <c r="E72" s="10">
        <v>0.21249999999999999</v>
      </c>
      <c r="F72" s="5">
        <v>8380</v>
      </c>
      <c r="G72" s="5">
        <v>550</v>
      </c>
      <c r="I72" s="40">
        <v>8380</v>
      </c>
      <c r="J72" s="38">
        <v>550</v>
      </c>
      <c r="K72" s="1">
        <v>8380</v>
      </c>
      <c r="L72" s="1">
        <v>550</v>
      </c>
      <c r="M72">
        <f t="shared" si="1"/>
        <v>0</v>
      </c>
      <c r="N72" s="1">
        <v>0.62</v>
      </c>
      <c r="O72" s="1">
        <v>36</v>
      </c>
      <c r="P72" s="24">
        <v>0.21249999999999999</v>
      </c>
      <c r="Q72" s="31">
        <f>C72-N72</f>
        <v>0</v>
      </c>
      <c r="R72" s="41">
        <f>D72-O72</f>
        <v>0</v>
      </c>
      <c r="S72" s="41">
        <f>E72-P72</f>
        <v>0</v>
      </c>
    </row>
    <row r="73" spans="1:19" x14ac:dyDescent="0.15">
      <c r="A73" s="1">
        <v>6</v>
      </c>
      <c r="B73" s="1">
        <v>12</v>
      </c>
      <c r="C73" s="10">
        <v>0.62</v>
      </c>
      <c r="D73" s="5">
        <v>36</v>
      </c>
      <c r="E73" s="10">
        <v>0.2225</v>
      </c>
      <c r="F73" s="5">
        <v>8540</v>
      </c>
      <c r="G73" s="5">
        <v>550</v>
      </c>
      <c r="I73" s="40">
        <v>8540</v>
      </c>
      <c r="J73" s="38">
        <v>550</v>
      </c>
      <c r="K73" s="1">
        <v>8540</v>
      </c>
      <c r="L73" s="1">
        <v>550</v>
      </c>
      <c r="M73">
        <f t="shared" si="1"/>
        <v>0</v>
      </c>
      <c r="N73" s="1">
        <v>0.62</v>
      </c>
      <c r="O73" s="1">
        <v>36</v>
      </c>
      <c r="P73" s="24">
        <v>0.2225</v>
      </c>
      <c r="Q73" s="31">
        <f>C73-N73</f>
        <v>0</v>
      </c>
      <c r="R73" s="41">
        <f>D73-O73</f>
        <v>0</v>
      </c>
      <c r="S73" s="41">
        <f>E73-P73</f>
        <v>0</v>
      </c>
    </row>
    <row r="74" spans="1:19" x14ac:dyDescent="0.15">
      <c r="A74" s="1">
        <v>6</v>
      </c>
      <c r="B74" s="1">
        <v>12</v>
      </c>
      <c r="C74" s="10">
        <v>0.62</v>
      </c>
      <c r="D74" s="5">
        <v>36</v>
      </c>
      <c r="E74" s="10">
        <v>0.23250000000000001</v>
      </c>
      <c r="F74" s="5">
        <v>9150</v>
      </c>
      <c r="G74" s="5">
        <v>580</v>
      </c>
      <c r="I74" s="40">
        <v>9150</v>
      </c>
      <c r="J74" s="38">
        <v>580</v>
      </c>
      <c r="K74" s="1">
        <v>9150</v>
      </c>
      <c r="L74" s="1">
        <v>580</v>
      </c>
      <c r="M74">
        <f t="shared" si="1"/>
        <v>0</v>
      </c>
      <c r="N74" s="1">
        <v>0.62</v>
      </c>
      <c r="O74" s="1">
        <v>36</v>
      </c>
      <c r="P74" s="24">
        <v>0.23250000000000001</v>
      </c>
      <c r="Q74" s="31">
        <f>C74-N74</f>
        <v>0</v>
      </c>
      <c r="R74" s="41">
        <f>D74-O74</f>
        <v>0</v>
      </c>
      <c r="S74" s="41">
        <f>E74-P74</f>
        <v>0</v>
      </c>
    </row>
    <row r="75" spans="1:19" x14ac:dyDescent="0.15">
      <c r="A75" s="1">
        <v>6</v>
      </c>
      <c r="B75" s="1">
        <v>12</v>
      </c>
      <c r="C75" s="10">
        <v>0.62</v>
      </c>
      <c r="D75" s="5">
        <v>36</v>
      </c>
      <c r="E75" s="10">
        <v>0.24249999999999999</v>
      </c>
      <c r="F75" s="5">
        <v>9730</v>
      </c>
      <c r="G75" s="5">
        <v>590</v>
      </c>
      <c r="I75" s="40">
        <v>9730</v>
      </c>
      <c r="J75" s="38">
        <v>590</v>
      </c>
      <c r="K75" s="1">
        <v>9730</v>
      </c>
      <c r="L75" s="1">
        <v>590</v>
      </c>
      <c r="M75">
        <f t="shared" si="1"/>
        <v>0</v>
      </c>
      <c r="N75" s="1">
        <v>0.62</v>
      </c>
      <c r="O75" s="1">
        <v>36</v>
      </c>
      <c r="P75" s="24">
        <v>0.24249999999999999</v>
      </c>
      <c r="Q75" s="31">
        <f>C75-N75</f>
        <v>0</v>
      </c>
      <c r="R75" s="41">
        <f>D75-O75</f>
        <v>0</v>
      </c>
      <c r="S75" s="41">
        <f>E75-P75</f>
        <v>0</v>
      </c>
    </row>
    <row r="76" spans="1:19" x14ac:dyDescent="0.15">
      <c r="A76" s="1">
        <v>6</v>
      </c>
      <c r="B76" s="1">
        <v>12</v>
      </c>
      <c r="C76" s="10">
        <v>0.62</v>
      </c>
      <c r="D76" s="5">
        <v>36</v>
      </c>
      <c r="E76" s="10">
        <v>0.2525</v>
      </c>
      <c r="F76" s="5">
        <v>9880</v>
      </c>
      <c r="G76" s="5">
        <v>600</v>
      </c>
      <c r="I76" s="40">
        <v>9880</v>
      </c>
      <c r="J76" s="38">
        <v>600</v>
      </c>
      <c r="K76" s="1">
        <v>9880</v>
      </c>
      <c r="L76" s="1">
        <v>600</v>
      </c>
      <c r="M76">
        <f t="shared" si="1"/>
        <v>0</v>
      </c>
      <c r="N76" s="1">
        <v>0.62</v>
      </c>
      <c r="O76" s="1">
        <v>36</v>
      </c>
      <c r="P76" s="24">
        <v>0.2525</v>
      </c>
      <c r="Q76" s="31">
        <f>C76-N76</f>
        <v>0</v>
      </c>
      <c r="R76" s="41">
        <f>D76-O76</f>
        <v>0</v>
      </c>
      <c r="S76" s="41">
        <f>E76-P76</f>
        <v>0</v>
      </c>
    </row>
    <row r="77" spans="1:19" x14ac:dyDescent="0.15">
      <c r="A77" s="1">
        <v>6</v>
      </c>
      <c r="B77" s="1">
        <v>12</v>
      </c>
      <c r="C77" s="10">
        <v>0.62</v>
      </c>
      <c r="D77" s="5">
        <v>36</v>
      </c>
      <c r="E77" s="10">
        <v>0.26250000000000001</v>
      </c>
      <c r="F77" s="5">
        <v>10880</v>
      </c>
      <c r="G77" s="5">
        <v>640</v>
      </c>
      <c r="I77" s="40">
        <v>10880</v>
      </c>
      <c r="J77" s="38">
        <v>640</v>
      </c>
      <c r="K77" s="1">
        <v>10880</v>
      </c>
      <c r="L77" s="1">
        <v>640</v>
      </c>
      <c r="M77">
        <f t="shared" si="1"/>
        <v>0</v>
      </c>
      <c r="N77" s="1">
        <v>0.62</v>
      </c>
      <c r="O77" s="1">
        <v>36</v>
      </c>
      <c r="P77" s="24">
        <v>0.26250000000000001</v>
      </c>
      <c r="Q77" s="31">
        <f>C77-N77</f>
        <v>0</v>
      </c>
      <c r="R77" s="41">
        <f>D77-O77</f>
        <v>0</v>
      </c>
      <c r="S77" s="41">
        <f>E77-P77</f>
        <v>0</v>
      </c>
    </row>
    <row r="78" spans="1:19" x14ac:dyDescent="0.15">
      <c r="A78" s="1">
        <v>6</v>
      </c>
      <c r="B78" s="1">
        <v>12</v>
      </c>
      <c r="C78" s="10">
        <v>0.62</v>
      </c>
      <c r="D78" s="5">
        <v>36</v>
      </c>
      <c r="E78" s="10">
        <v>0.27250000000000002</v>
      </c>
      <c r="F78" s="1">
        <v>11160</v>
      </c>
      <c r="G78" s="5">
        <v>610</v>
      </c>
      <c r="I78" s="43">
        <v>11160</v>
      </c>
      <c r="J78" s="38">
        <v>610</v>
      </c>
      <c r="K78" s="1">
        <v>11160</v>
      </c>
      <c r="L78" s="1">
        <v>610</v>
      </c>
      <c r="M78">
        <f t="shared" si="1"/>
        <v>0</v>
      </c>
      <c r="N78" s="1">
        <v>0.62</v>
      </c>
      <c r="O78" s="1">
        <v>36</v>
      </c>
      <c r="P78" s="24">
        <v>0.27250000000000002</v>
      </c>
      <c r="Q78" s="31">
        <f>C78-N78</f>
        <v>0</v>
      </c>
      <c r="R78" s="41">
        <f>D78-O78</f>
        <v>0</v>
      </c>
      <c r="S78" s="41">
        <f>E78-P78</f>
        <v>0</v>
      </c>
    </row>
    <row r="79" spans="1:19" x14ac:dyDescent="0.15">
      <c r="A79" s="1">
        <v>6</v>
      </c>
      <c r="B79" s="1">
        <v>12</v>
      </c>
      <c r="C79" s="10">
        <v>0.62</v>
      </c>
      <c r="D79" s="5">
        <v>36</v>
      </c>
      <c r="E79" s="10">
        <v>0.28249999999999997</v>
      </c>
      <c r="F79" s="1">
        <v>11500</v>
      </c>
      <c r="G79" s="5">
        <v>700</v>
      </c>
      <c r="I79" s="43">
        <v>11500</v>
      </c>
      <c r="J79" s="38">
        <v>700</v>
      </c>
      <c r="K79" s="1">
        <v>11500</v>
      </c>
      <c r="L79" s="1">
        <v>700</v>
      </c>
      <c r="M79">
        <f t="shared" si="1"/>
        <v>0</v>
      </c>
      <c r="N79" s="1">
        <v>0.62</v>
      </c>
      <c r="O79" s="1">
        <v>36</v>
      </c>
      <c r="P79" s="24">
        <v>0.28249999999999997</v>
      </c>
      <c r="Q79" s="31">
        <f>C79-N79</f>
        <v>0</v>
      </c>
      <c r="R79" s="41">
        <f>D79-O79</f>
        <v>0</v>
      </c>
      <c r="S79" s="41">
        <f>E79-P79</f>
        <v>0</v>
      </c>
    </row>
    <row r="80" spans="1:19" x14ac:dyDescent="0.15">
      <c r="A80" s="1">
        <v>6</v>
      </c>
      <c r="B80" s="1">
        <v>12</v>
      </c>
      <c r="C80" s="10">
        <v>0.62</v>
      </c>
      <c r="D80" s="5">
        <v>36</v>
      </c>
      <c r="E80" s="10">
        <v>0.29249999999999998</v>
      </c>
      <c r="F80" s="5">
        <v>12170</v>
      </c>
      <c r="G80" s="5">
        <v>740</v>
      </c>
      <c r="I80" s="40">
        <v>12170</v>
      </c>
      <c r="J80" s="38">
        <v>740</v>
      </c>
      <c r="K80" s="1">
        <v>12170</v>
      </c>
      <c r="L80" s="1">
        <v>740</v>
      </c>
      <c r="M80">
        <f t="shared" si="1"/>
        <v>0</v>
      </c>
      <c r="N80" s="1">
        <v>0.62</v>
      </c>
      <c r="O80" s="1">
        <v>36</v>
      </c>
      <c r="P80" s="24">
        <v>0.29249999999999998</v>
      </c>
      <c r="Q80" s="31">
        <f>C80-N80</f>
        <v>0</v>
      </c>
      <c r="R80" s="41">
        <f>D80-O80</f>
        <v>0</v>
      </c>
      <c r="S80" s="41">
        <f>E80-P80</f>
        <v>0</v>
      </c>
    </row>
    <row r="81" spans="1:23" x14ac:dyDescent="0.15">
      <c r="A81" s="1">
        <v>6</v>
      </c>
      <c r="B81" s="1">
        <v>12</v>
      </c>
      <c r="C81" s="10">
        <v>0.62</v>
      </c>
      <c r="D81" s="5">
        <v>36</v>
      </c>
      <c r="E81" s="10">
        <v>0.30249999999999999</v>
      </c>
      <c r="F81" s="5">
        <v>12420</v>
      </c>
      <c r="G81" s="5">
        <v>770</v>
      </c>
      <c r="I81" s="40">
        <v>12420</v>
      </c>
      <c r="J81" s="38">
        <v>770</v>
      </c>
      <c r="K81" s="1">
        <v>12420</v>
      </c>
      <c r="L81" s="1">
        <v>770</v>
      </c>
      <c r="M81">
        <f t="shared" si="1"/>
        <v>0</v>
      </c>
      <c r="N81" s="1">
        <v>0.62</v>
      </c>
      <c r="O81" s="1">
        <v>36</v>
      </c>
      <c r="P81" s="24">
        <v>0.30249999999999999</v>
      </c>
      <c r="Q81" s="31">
        <f>C81-N81</f>
        <v>0</v>
      </c>
      <c r="R81" s="41">
        <f>D81-O81</f>
        <v>0</v>
      </c>
      <c r="S81" s="41">
        <f>E81-P81</f>
        <v>0</v>
      </c>
    </row>
    <row r="82" spans="1:23" x14ac:dyDescent="0.15">
      <c r="A82" s="1">
        <v>6</v>
      </c>
      <c r="B82" s="1">
        <v>12</v>
      </c>
      <c r="C82" s="10">
        <v>0.62</v>
      </c>
      <c r="D82" s="5">
        <v>36</v>
      </c>
      <c r="E82" s="10">
        <v>0.3125</v>
      </c>
      <c r="F82" s="5">
        <v>12290</v>
      </c>
      <c r="G82" s="5">
        <v>790</v>
      </c>
      <c r="I82" s="40">
        <v>12290</v>
      </c>
      <c r="J82" s="38">
        <v>790</v>
      </c>
      <c r="K82" s="1">
        <v>12290</v>
      </c>
      <c r="L82" s="1">
        <v>790</v>
      </c>
      <c r="M82">
        <f t="shared" si="1"/>
        <v>0</v>
      </c>
      <c r="N82" s="1">
        <v>0.62</v>
      </c>
      <c r="O82" s="1">
        <v>36</v>
      </c>
      <c r="P82" s="24">
        <v>0.3125</v>
      </c>
      <c r="Q82" s="31">
        <f>C82-N82</f>
        <v>0</v>
      </c>
      <c r="R82" s="41">
        <f>D82-O82</f>
        <v>0</v>
      </c>
      <c r="S82" s="41">
        <f>E82-P82</f>
        <v>0</v>
      </c>
    </row>
    <row r="83" spans="1:23" x14ac:dyDescent="0.15">
      <c r="A83" s="1">
        <v>6</v>
      </c>
      <c r="B83" s="1">
        <v>12</v>
      </c>
      <c r="C83" s="10">
        <v>0.62</v>
      </c>
      <c r="D83" s="5">
        <v>36</v>
      </c>
      <c r="E83" s="10">
        <v>0.32250000000000001</v>
      </c>
      <c r="F83" s="5">
        <v>13420</v>
      </c>
      <c r="G83" s="5">
        <v>850</v>
      </c>
      <c r="I83" s="40">
        <v>13420</v>
      </c>
      <c r="J83" s="38">
        <v>850</v>
      </c>
      <c r="K83" s="1">
        <v>13420</v>
      </c>
      <c r="L83" s="1">
        <v>850</v>
      </c>
      <c r="M83">
        <f t="shared" si="1"/>
        <v>0</v>
      </c>
      <c r="N83" s="1">
        <v>0.62</v>
      </c>
      <c r="O83" s="1">
        <v>36</v>
      </c>
      <c r="P83" s="24">
        <v>0.32250000000000001</v>
      </c>
      <c r="Q83" s="31">
        <f>C83-N83</f>
        <v>0</v>
      </c>
      <c r="R83" s="41">
        <f>D83-O83</f>
        <v>0</v>
      </c>
      <c r="S83" s="41">
        <f>E83-P83</f>
        <v>0</v>
      </c>
    </row>
    <row r="84" spans="1:23" x14ac:dyDescent="0.15">
      <c r="A84" s="1">
        <v>6</v>
      </c>
      <c r="B84" s="1">
        <v>12</v>
      </c>
      <c r="C84" s="10">
        <v>0.62</v>
      </c>
      <c r="D84" s="5">
        <v>36</v>
      </c>
      <c r="E84" s="10">
        <v>0.33250000000000002</v>
      </c>
      <c r="F84" s="5">
        <v>13190</v>
      </c>
      <c r="G84" s="5">
        <v>880</v>
      </c>
      <c r="I84" s="40">
        <v>13190</v>
      </c>
      <c r="J84" s="38">
        <v>880</v>
      </c>
      <c r="K84" s="1">
        <v>13190</v>
      </c>
      <c r="L84" s="1">
        <v>880</v>
      </c>
      <c r="M84">
        <f t="shared" si="1"/>
        <v>0</v>
      </c>
      <c r="N84" s="1">
        <v>0.62</v>
      </c>
      <c r="O84" s="1">
        <v>36</v>
      </c>
      <c r="P84" s="24">
        <v>0.33250000000000002</v>
      </c>
      <c r="Q84" s="31">
        <f>C84-N84</f>
        <v>0</v>
      </c>
      <c r="R84" s="41">
        <f>D84-O84</f>
        <v>0</v>
      </c>
      <c r="S84" s="41">
        <f>E84-P84</f>
        <v>0</v>
      </c>
    </row>
    <row r="85" spans="1:23" x14ac:dyDescent="0.15">
      <c r="A85" s="1">
        <v>6</v>
      </c>
      <c r="B85" s="1">
        <v>12</v>
      </c>
      <c r="C85" s="10">
        <v>0.62</v>
      </c>
      <c r="D85" s="5">
        <v>36</v>
      </c>
      <c r="E85" s="10">
        <v>0.34250000000000003</v>
      </c>
      <c r="F85" s="5">
        <v>13440</v>
      </c>
      <c r="G85" s="5">
        <v>860</v>
      </c>
      <c r="I85" s="40">
        <v>13440</v>
      </c>
      <c r="J85" s="38">
        <v>860</v>
      </c>
      <c r="K85" s="1">
        <v>13440</v>
      </c>
      <c r="L85" s="1">
        <v>860</v>
      </c>
      <c r="M85">
        <f t="shared" si="1"/>
        <v>0</v>
      </c>
      <c r="N85" s="1">
        <v>0.62</v>
      </c>
      <c r="O85" s="1">
        <v>36</v>
      </c>
      <c r="P85" s="24">
        <v>0.34250000000000003</v>
      </c>
      <c r="Q85" s="31">
        <f>C85-N85</f>
        <v>0</v>
      </c>
      <c r="R85" s="41">
        <f>D85-O85</f>
        <v>0</v>
      </c>
      <c r="S85" s="41">
        <f>E85-P85</f>
        <v>0</v>
      </c>
    </row>
    <row r="86" spans="1:23" x14ac:dyDescent="0.15">
      <c r="A86" s="1">
        <v>6</v>
      </c>
      <c r="B86" s="1">
        <v>12</v>
      </c>
      <c r="C86" s="10">
        <v>0.62</v>
      </c>
      <c r="D86" s="5">
        <v>36</v>
      </c>
      <c r="E86" s="10">
        <v>0.35249999999999998</v>
      </c>
      <c r="F86" s="5">
        <v>12860</v>
      </c>
      <c r="G86" s="5">
        <v>970</v>
      </c>
      <c r="I86" s="40">
        <v>12860</v>
      </c>
      <c r="J86" s="38">
        <v>970</v>
      </c>
      <c r="K86" s="1">
        <v>12860</v>
      </c>
      <c r="L86" s="1">
        <v>970</v>
      </c>
      <c r="M86">
        <f t="shared" si="1"/>
        <v>0</v>
      </c>
      <c r="N86" s="1">
        <v>0.62</v>
      </c>
      <c r="O86" s="1">
        <v>36</v>
      </c>
      <c r="P86" s="24">
        <v>0.35249999999999998</v>
      </c>
      <c r="Q86" s="31">
        <f>C86-N86</f>
        <v>0</v>
      </c>
      <c r="R86" s="41">
        <f>D86-O86</f>
        <v>0</v>
      </c>
      <c r="S86" s="41">
        <f>E86-P86</f>
        <v>0</v>
      </c>
    </row>
    <row r="87" spans="1:23" x14ac:dyDescent="0.15">
      <c r="A87" s="1">
        <v>6</v>
      </c>
      <c r="B87" s="1">
        <v>12</v>
      </c>
      <c r="C87" s="10">
        <v>0.62</v>
      </c>
      <c r="D87" s="5">
        <v>36</v>
      </c>
      <c r="E87" s="10">
        <v>0.36249999999999999</v>
      </c>
      <c r="F87" s="5">
        <v>12710</v>
      </c>
      <c r="G87" s="5">
        <v>1010</v>
      </c>
      <c r="I87" s="40">
        <v>12710</v>
      </c>
      <c r="J87" s="38">
        <v>1010</v>
      </c>
      <c r="K87" s="1">
        <v>12710</v>
      </c>
      <c r="L87" s="1">
        <v>1010</v>
      </c>
      <c r="M87">
        <f t="shared" si="1"/>
        <v>0</v>
      </c>
      <c r="N87" s="1">
        <v>0.62</v>
      </c>
      <c r="O87" s="1">
        <v>36</v>
      </c>
      <c r="P87" s="24">
        <v>0.36249999999999999</v>
      </c>
      <c r="Q87" s="31">
        <f>C87-N87</f>
        <v>0</v>
      </c>
      <c r="R87" s="41">
        <f>D87-O87</f>
        <v>0</v>
      </c>
      <c r="S87" s="41">
        <f>E87-P87</f>
        <v>0</v>
      </c>
    </row>
    <row r="88" spans="1:23" x14ac:dyDescent="0.15">
      <c r="A88" s="1">
        <v>6</v>
      </c>
      <c r="B88" s="1">
        <v>12</v>
      </c>
      <c r="C88" s="10">
        <v>0.62</v>
      </c>
      <c r="D88" s="5">
        <v>36</v>
      </c>
      <c r="E88" s="10">
        <v>0.3725</v>
      </c>
      <c r="F88" s="5">
        <v>11580</v>
      </c>
      <c r="G88" s="5">
        <v>1030</v>
      </c>
      <c r="I88" s="40">
        <v>11580</v>
      </c>
      <c r="J88" s="38">
        <v>1030</v>
      </c>
      <c r="K88" s="1">
        <v>11580</v>
      </c>
      <c r="L88" s="1">
        <v>1030</v>
      </c>
      <c r="M88">
        <f t="shared" si="1"/>
        <v>0</v>
      </c>
      <c r="N88" s="1">
        <v>0.62</v>
      </c>
      <c r="O88" s="1">
        <v>36</v>
      </c>
      <c r="P88" s="24">
        <v>0.3725</v>
      </c>
      <c r="Q88" s="31">
        <f>C88-N88</f>
        <v>0</v>
      </c>
      <c r="R88" s="41">
        <f>D88-O88</f>
        <v>0</v>
      </c>
      <c r="S88" s="41">
        <f>E88-P88</f>
        <v>0</v>
      </c>
    </row>
    <row r="89" spans="1:23" x14ac:dyDescent="0.15">
      <c r="A89" s="1">
        <v>6</v>
      </c>
      <c r="B89" s="1">
        <v>12</v>
      </c>
      <c r="C89" s="10">
        <v>0.62</v>
      </c>
      <c r="D89" s="5">
        <v>36</v>
      </c>
      <c r="E89" s="10">
        <v>0.38250000000000001</v>
      </c>
      <c r="F89" s="5">
        <v>12510</v>
      </c>
      <c r="G89" s="5">
        <v>1120</v>
      </c>
      <c r="I89" s="40">
        <v>12510</v>
      </c>
      <c r="J89" s="38">
        <v>1120</v>
      </c>
      <c r="K89" s="1">
        <v>12510</v>
      </c>
      <c r="L89" s="1">
        <v>1120</v>
      </c>
      <c r="M89">
        <f t="shared" si="1"/>
        <v>0</v>
      </c>
      <c r="N89" s="1">
        <v>0.62</v>
      </c>
      <c r="O89" s="1">
        <v>36</v>
      </c>
      <c r="P89" s="24">
        <v>0.38250000000000001</v>
      </c>
      <c r="Q89" s="31">
        <f>C89-N89</f>
        <v>0</v>
      </c>
      <c r="R89" s="41">
        <f>D89-O89</f>
        <v>0</v>
      </c>
      <c r="S89" s="41">
        <f>E89-P89</f>
        <v>0</v>
      </c>
    </row>
    <row r="90" spans="1:23" x14ac:dyDescent="0.15">
      <c r="A90" s="1">
        <v>6</v>
      </c>
      <c r="B90" s="1">
        <v>12</v>
      </c>
      <c r="C90" s="10">
        <v>0.62</v>
      </c>
      <c r="D90" s="5">
        <v>36</v>
      </c>
      <c r="E90" s="10">
        <v>0.39250000000000002</v>
      </c>
      <c r="F90" s="5">
        <v>12170</v>
      </c>
      <c r="G90" s="5">
        <v>1180</v>
      </c>
      <c r="I90" s="40">
        <v>12170</v>
      </c>
      <c r="J90" s="38">
        <v>1180</v>
      </c>
      <c r="K90" s="1">
        <v>12170</v>
      </c>
      <c r="L90" s="1">
        <v>1180</v>
      </c>
      <c r="M90">
        <f t="shared" si="1"/>
        <v>0</v>
      </c>
      <c r="N90" s="1">
        <v>0.62</v>
      </c>
      <c r="O90" s="1">
        <v>36</v>
      </c>
      <c r="P90" s="24">
        <v>0.39250000000000002</v>
      </c>
      <c r="Q90" s="31">
        <f>C90-N90</f>
        <v>0</v>
      </c>
      <c r="R90" s="41">
        <f>D90-O90</f>
        <v>0</v>
      </c>
      <c r="S90" s="41">
        <f>E90-P90</f>
        <v>0</v>
      </c>
    </row>
    <row r="91" spans="1:23" x14ac:dyDescent="0.15">
      <c r="A91" s="1">
        <v>6</v>
      </c>
      <c r="B91" s="1">
        <v>12</v>
      </c>
      <c r="C91" s="10">
        <v>0.62</v>
      </c>
      <c r="D91" s="5">
        <v>36</v>
      </c>
      <c r="E91" s="10">
        <v>0.40239999999999998</v>
      </c>
      <c r="F91" s="5">
        <v>11130</v>
      </c>
      <c r="G91" s="5">
        <v>1210</v>
      </c>
      <c r="I91" s="40">
        <v>11130</v>
      </c>
      <c r="J91" s="38">
        <v>1210</v>
      </c>
      <c r="K91" s="1">
        <v>11130</v>
      </c>
      <c r="L91" s="1">
        <v>1210</v>
      </c>
      <c r="M91">
        <f t="shared" si="1"/>
        <v>0</v>
      </c>
      <c r="N91" s="1">
        <v>0.62</v>
      </c>
      <c r="O91" s="1">
        <v>36</v>
      </c>
      <c r="P91" s="24">
        <v>0.40250000000000002</v>
      </c>
      <c r="Q91" s="31">
        <f>C91-N91</f>
        <v>0</v>
      </c>
      <c r="R91" s="41">
        <f>D91-O91</f>
        <v>0</v>
      </c>
      <c r="S91" s="41">
        <f>E91-P91</f>
        <v>-1.000000000000445E-4</v>
      </c>
    </row>
    <row r="92" spans="1:23" x14ac:dyDescent="0.15">
      <c r="A92" s="1">
        <v>6</v>
      </c>
      <c r="B92" s="1">
        <v>12</v>
      </c>
      <c r="C92" s="10">
        <v>0.62</v>
      </c>
      <c r="D92" s="5">
        <v>36</v>
      </c>
      <c r="E92" s="10">
        <v>0.41249999999999998</v>
      </c>
      <c r="F92" s="5">
        <v>11570</v>
      </c>
      <c r="G92" s="5">
        <v>1320</v>
      </c>
      <c r="I92" s="40">
        <v>11570</v>
      </c>
      <c r="J92" s="38">
        <v>1320</v>
      </c>
      <c r="K92" s="1">
        <v>11570</v>
      </c>
      <c r="L92" s="1">
        <v>1320</v>
      </c>
      <c r="M92">
        <f t="shared" si="1"/>
        <v>0</v>
      </c>
      <c r="N92" s="1">
        <v>0.62</v>
      </c>
      <c r="O92" s="1">
        <v>36</v>
      </c>
      <c r="P92" s="24">
        <v>0.41249999999999998</v>
      </c>
      <c r="Q92" s="31">
        <f>C92-N92</f>
        <v>0</v>
      </c>
      <c r="R92" s="41">
        <f>D92-O92</f>
        <v>0</v>
      </c>
      <c r="S92" s="41">
        <f>E92-P92</f>
        <v>0</v>
      </c>
    </row>
    <row r="93" spans="1:23" x14ac:dyDescent="0.15">
      <c r="A93" s="1">
        <v>6</v>
      </c>
      <c r="B93" s="1">
        <v>12</v>
      </c>
      <c r="C93" s="10">
        <v>0.62</v>
      </c>
      <c r="D93" s="5">
        <v>36</v>
      </c>
      <c r="E93" s="10">
        <v>0.42249999999999999</v>
      </c>
      <c r="F93" s="5">
        <v>9990</v>
      </c>
      <c r="G93" s="5">
        <v>1370</v>
      </c>
      <c r="I93" s="40">
        <v>9990</v>
      </c>
      <c r="J93" s="38">
        <v>1370</v>
      </c>
      <c r="K93" s="1">
        <v>9990</v>
      </c>
      <c r="L93" s="1">
        <v>1370</v>
      </c>
      <c r="M93">
        <f t="shared" si="1"/>
        <v>0</v>
      </c>
      <c r="N93" s="1">
        <v>0.62</v>
      </c>
      <c r="O93" s="1">
        <v>36</v>
      </c>
      <c r="P93" s="24">
        <v>0.42249999999999999</v>
      </c>
      <c r="Q93" s="31">
        <f>C93-N93</f>
        <v>0</v>
      </c>
      <c r="R93" s="41">
        <f>D93-O93</f>
        <v>0</v>
      </c>
      <c r="S93" s="41">
        <f>E93-P93</f>
        <v>0</v>
      </c>
    </row>
    <row r="94" spans="1:23" x14ac:dyDescent="0.15">
      <c r="A94" s="1">
        <v>6</v>
      </c>
      <c r="B94" s="1">
        <v>12</v>
      </c>
      <c r="C94" s="10">
        <v>0.62</v>
      </c>
      <c r="D94" s="5">
        <v>36</v>
      </c>
      <c r="E94" s="10">
        <v>0.4325</v>
      </c>
      <c r="F94" s="5">
        <v>9720</v>
      </c>
      <c r="G94" s="5">
        <v>1500</v>
      </c>
      <c r="I94" s="40">
        <v>9720</v>
      </c>
      <c r="J94" s="38">
        <v>1500</v>
      </c>
      <c r="K94" s="1">
        <v>9720</v>
      </c>
      <c r="L94" s="1">
        <v>1500</v>
      </c>
      <c r="M94">
        <f t="shared" si="1"/>
        <v>0</v>
      </c>
      <c r="N94" s="1">
        <v>0.62</v>
      </c>
      <c r="O94" s="1">
        <v>36</v>
      </c>
      <c r="P94" s="24">
        <v>0.4325</v>
      </c>
      <c r="Q94" s="31">
        <f>C94-N94</f>
        <v>0</v>
      </c>
      <c r="R94" s="41">
        <f>D94-O94</f>
        <v>0</v>
      </c>
      <c r="S94" s="41">
        <f>E94-P94</f>
        <v>0</v>
      </c>
    </row>
    <row r="95" spans="1:23" ht="14" thickBot="1" x14ac:dyDescent="0.2">
      <c r="A95" s="1">
        <v>6</v>
      </c>
      <c r="B95" s="1">
        <v>12</v>
      </c>
      <c r="C95" s="10">
        <v>0.62</v>
      </c>
      <c r="D95" s="5">
        <v>36</v>
      </c>
      <c r="E95" s="10">
        <v>0.4425</v>
      </c>
      <c r="F95" s="5">
        <v>10150</v>
      </c>
      <c r="G95" s="5">
        <v>1610</v>
      </c>
      <c r="I95" s="40">
        <v>10150</v>
      </c>
      <c r="J95" s="38">
        <v>1610</v>
      </c>
      <c r="K95" s="1">
        <v>10150</v>
      </c>
      <c r="L95" s="1">
        <v>1610</v>
      </c>
      <c r="M95">
        <f t="shared" si="1"/>
        <v>0</v>
      </c>
      <c r="N95" s="1">
        <v>0.62</v>
      </c>
      <c r="O95" s="1">
        <v>36</v>
      </c>
      <c r="P95" s="44">
        <v>0.4425</v>
      </c>
      <c r="Q95" s="31">
        <f>C95-N95</f>
        <v>0</v>
      </c>
      <c r="R95" s="41">
        <f>D95-O95</f>
        <v>0</v>
      </c>
      <c r="S95" s="41">
        <f>E95-P95</f>
        <v>0</v>
      </c>
    </row>
    <row r="96" spans="1:23" s="15" customFormat="1" ht="14" thickTop="1" x14ac:dyDescent="0.15">
      <c r="A96" s="12">
        <v>6</v>
      </c>
      <c r="B96" s="12">
        <v>12</v>
      </c>
      <c r="C96" s="13">
        <v>0.56000000000000005</v>
      </c>
      <c r="D96" s="14">
        <v>36</v>
      </c>
      <c r="E96" s="13">
        <v>0.1125</v>
      </c>
      <c r="F96" s="14">
        <v>37340</v>
      </c>
      <c r="G96" s="14">
        <v>1770</v>
      </c>
      <c r="H96" s="12"/>
      <c r="I96" s="53">
        <v>37340</v>
      </c>
      <c r="J96" s="54">
        <v>1770</v>
      </c>
      <c r="K96" s="12">
        <v>52550</v>
      </c>
      <c r="L96" s="12">
        <v>1650</v>
      </c>
      <c r="M96" s="52">
        <f t="shared" si="1"/>
        <v>-15090</v>
      </c>
      <c r="N96" s="12">
        <v>0.56000000000000005</v>
      </c>
      <c r="O96" s="12">
        <v>36</v>
      </c>
      <c r="P96" s="55">
        <v>1.2500000000000001E-2</v>
      </c>
      <c r="Q96" s="56">
        <f>C96-N96</f>
        <v>0</v>
      </c>
      <c r="R96" s="51">
        <f>D96-O96</f>
        <v>0</v>
      </c>
      <c r="S96" s="51">
        <f>E96-P96</f>
        <v>0.1</v>
      </c>
      <c r="U96" s="12"/>
      <c r="V96" s="12"/>
      <c r="W96" s="12"/>
    </row>
    <row r="97" spans="1:22" x14ac:dyDescent="0.15">
      <c r="A97" s="1">
        <v>6</v>
      </c>
      <c r="B97" s="1">
        <v>12</v>
      </c>
      <c r="C97" s="10">
        <v>0.56000000000000005</v>
      </c>
      <c r="D97" s="5">
        <v>36</v>
      </c>
      <c r="E97" s="10">
        <v>0.1225</v>
      </c>
      <c r="F97" s="5">
        <v>30420</v>
      </c>
      <c r="G97" s="5">
        <v>1350</v>
      </c>
      <c r="I97" s="53">
        <v>30420</v>
      </c>
      <c r="J97" s="54">
        <v>1350</v>
      </c>
      <c r="K97" s="6">
        <v>30650</v>
      </c>
      <c r="L97" s="6">
        <v>1090</v>
      </c>
      <c r="M97" s="52">
        <f t="shared" si="1"/>
        <v>30</v>
      </c>
      <c r="N97" s="6">
        <v>0.56000000000000005</v>
      </c>
      <c r="O97" s="6">
        <v>36</v>
      </c>
      <c r="P97" s="55">
        <v>2.2499999999999999E-2</v>
      </c>
      <c r="Q97" s="56">
        <f>C97-N97</f>
        <v>0</v>
      </c>
      <c r="R97" s="51">
        <f>D97-O97</f>
        <v>0</v>
      </c>
      <c r="S97" s="51">
        <f>E97-P97</f>
        <v>0.1</v>
      </c>
      <c r="T97" s="52"/>
      <c r="U97" s="6"/>
      <c r="V97" s="6"/>
    </row>
    <row r="98" spans="1:22" x14ac:dyDescent="0.15">
      <c r="A98" s="1">
        <v>6</v>
      </c>
      <c r="B98" s="1">
        <v>12</v>
      </c>
      <c r="C98" s="10">
        <v>0.56000000000000005</v>
      </c>
      <c r="D98" s="5">
        <v>36</v>
      </c>
      <c r="E98" s="10">
        <v>0.13250000000000001</v>
      </c>
      <c r="F98" s="5">
        <v>23200</v>
      </c>
      <c r="G98" s="5">
        <v>1130</v>
      </c>
      <c r="I98" s="53">
        <v>23200</v>
      </c>
      <c r="J98" s="54">
        <v>1130</v>
      </c>
      <c r="K98" s="6">
        <v>35030</v>
      </c>
      <c r="L98" s="6">
        <v>1250</v>
      </c>
      <c r="M98" s="52">
        <f t="shared" si="1"/>
        <v>-11950</v>
      </c>
      <c r="N98" s="6">
        <v>0.56000000000000005</v>
      </c>
      <c r="O98" s="6">
        <v>36</v>
      </c>
      <c r="P98" s="55">
        <v>3.2500000000000001E-2</v>
      </c>
      <c r="Q98" s="56">
        <f>C98-N98</f>
        <v>0</v>
      </c>
      <c r="R98" s="51">
        <f>D98-O98</f>
        <v>0</v>
      </c>
      <c r="S98" s="51">
        <f>E98-P98</f>
        <v>0.1</v>
      </c>
      <c r="T98" s="52"/>
      <c r="U98" s="6"/>
      <c r="V98" s="6"/>
    </row>
    <row r="99" spans="1:22" x14ac:dyDescent="0.15">
      <c r="A99" s="1">
        <v>6</v>
      </c>
      <c r="B99" s="1">
        <v>12</v>
      </c>
      <c r="C99" s="10">
        <v>0.56000000000000005</v>
      </c>
      <c r="D99" s="5">
        <v>36</v>
      </c>
      <c r="E99" s="10">
        <v>0.14250000000000002</v>
      </c>
      <c r="F99" s="5">
        <v>18790</v>
      </c>
      <c r="G99" s="5">
        <v>1040</v>
      </c>
      <c r="I99" s="53">
        <v>18790</v>
      </c>
      <c r="J99" s="54">
        <v>1040</v>
      </c>
      <c r="K99" s="6">
        <v>44090</v>
      </c>
      <c r="L99" s="6">
        <v>1550</v>
      </c>
      <c r="M99" s="52">
        <f t="shared" si="1"/>
        <v>-25810</v>
      </c>
      <c r="N99" s="6">
        <v>0.56000000000000005</v>
      </c>
      <c r="O99" s="6">
        <v>36</v>
      </c>
      <c r="P99" s="55">
        <v>4.2500000000000003E-2</v>
      </c>
      <c r="Q99" s="56">
        <f>C99-N99</f>
        <v>0</v>
      </c>
      <c r="R99" s="51">
        <f>D99-O99</f>
        <v>0</v>
      </c>
      <c r="S99" s="51">
        <f>E99-P99</f>
        <v>0.1</v>
      </c>
      <c r="T99" s="52"/>
      <c r="U99" s="6"/>
      <c r="V99" s="6"/>
    </row>
    <row r="100" spans="1:22" x14ac:dyDescent="0.15">
      <c r="A100" s="1">
        <v>6</v>
      </c>
      <c r="B100" s="1">
        <v>12</v>
      </c>
      <c r="C100" s="10">
        <v>0.56000000000000005</v>
      </c>
      <c r="D100" s="5">
        <v>36</v>
      </c>
      <c r="E100" s="10">
        <v>0.15250000000000002</v>
      </c>
      <c r="F100" s="5">
        <v>15700</v>
      </c>
      <c r="G100" s="5">
        <v>940</v>
      </c>
      <c r="I100" s="53">
        <v>15700</v>
      </c>
      <c r="J100" s="54">
        <v>940</v>
      </c>
      <c r="K100" s="6">
        <v>51190</v>
      </c>
      <c r="L100" s="6">
        <v>2000</v>
      </c>
      <c r="M100" s="52">
        <f t="shared" si="1"/>
        <v>-36550</v>
      </c>
      <c r="N100" s="6">
        <v>0.56000000000000005</v>
      </c>
      <c r="O100" s="6">
        <v>36</v>
      </c>
      <c r="P100" s="55">
        <v>5.2499999999999998E-2</v>
      </c>
      <c r="Q100" s="56">
        <f>C100-N100</f>
        <v>0</v>
      </c>
      <c r="R100" s="51">
        <f>D100-O100</f>
        <v>0</v>
      </c>
      <c r="S100" s="51">
        <f>E100-P100</f>
        <v>0.10000000000000003</v>
      </c>
      <c r="T100" s="52"/>
      <c r="U100" s="6"/>
      <c r="V100" s="6"/>
    </row>
    <row r="101" spans="1:22" x14ac:dyDescent="0.15">
      <c r="A101" s="1">
        <v>6</v>
      </c>
      <c r="B101" s="1">
        <v>12</v>
      </c>
      <c r="C101" s="10">
        <v>0.56000000000000005</v>
      </c>
      <c r="D101" s="5">
        <v>36</v>
      </c>
      <c r="E101" s="10">
        <v>0.16250000000000003</v>
      </c>
      <c r="F101" s="5">
        <v>12760</v>
      </c>
      <c r="G101" s="5">
        <v>840</v>
      </c>
      <c r="I101" s="53">
        <v>12760</v>
      </c>
      <c r="J101" s="54">
        <v>840</v>
      </c>
      <c r="K101" s="6">
        <v>55510</v>
      </c>
      <c r="L101" s="6">
        <v>2170</v>
      </c>
      <c r="M101" s="52">
        <f t="shared" si="1"/>
        <v>-44080</v>
      </c>
      <c r="N101" s="6">
        <v>0.56000000000000005</v>
      </c>
      <c r="O101" s="6">
        <v>36</v>
      </c>
      <c r="P101" s="55">
        <v>6.25E-2</v>
      </c>
      <c r="Q101" s="56">
        <f>C101-N101</f>
        <v>0</v>
      </c>
      <c r="R101" s="51">
        <f>D101-O101</f>
        <v>0</v>
      </c>
      <c r="S101" s="51">
        <f>E101-P101</f>
        <v>0.10000000000000003</v>
      </c>
      <c r="T101" s="52"/>
      <c r="U101" s="6"/>
      <c r="V101" s="6"/>
    </row>
    <row r="102" spans="1:22" x14ac:dyDescent="0.15">
      <c r="A102" s="1">
        <v>6</v>
      </c>
      <c r="B102" s="1">
        <v>12</v>
      </c>
      <c r="C102" s="10">
        <v>0.56000000000000005</v>
      </c>
      <c r="D102" s="5">
        <v>36</v>
      </c>
      <c r="E102" s="10">
        <v>0.17250000000000004</v>
      </c>
      <c r="F102" s="5">
        <v>10740</v>
      </c>
      <c r="G102" s="5">
        <v>760</v>
      </c>
      <c r="I102" s="53">
        <v>10740</v>
      </c>
      <c r="J102" s="54">
        <v>760</v>
      </c>
      <c r="K102" s="6">
        <v>58570</v>
      </c>
      <c r="L102" s="6">
        <v>2300</v>
      </c>
      <c r="M102" s="52">
        <f t="shared" si="1"/>
        <v>-49370</v>
      </c>
      <c r="N102" s="6">
        <v>0.56000000000000005</v>
      </c>
      <c r="O102" s="6">
        <v>36</v>
      </c>
      <c r="P102" s="55">
        <v>7.2499999999999995E-2</v>
      </c>
      <c r="Q102" s="56">
        <f>C102-N102</f>
        <v>0</v>
      </c>
      <c r="R102" s="51">
        <f>D102-O102</f>
        <v>0</v>
      </c>
      <c r="S102" s="51">
        <f>E102-P102</f>
        <v>0.10000000000000005</v>
      </c>
      <c r="T102" s="52"/>
      <c r="U102" s="6"/>
      <c r="V102" s="6"/>
    </row>
    <row r="103" spans="1:22" x14ac:dyDescent="0.15">
      <c r="A103" s="1">
        <v>6</v>
      </c>
      <c r="B103" s="1">
        <v>12</v>
      </c>
      <c r="C103" s="10">
        <v>0.56000000000000005</v>
      </c>
      <c r="D103" s="5">
        <v>36</v>
      </c>
      <c r="E103" s="10">
        <v>0.18250000000000005</v>
      </c>
      <c r="F103" s="5">
        <v>9150</v>
      </c>
      <c r="G103" s="5">
        <v>710</v>
      </c>
      <c r="I103" s="53">
        <v>9150</v>
      </c>
      <c r="J103" s="54">
        <v>710</v>
      </c>
      <c r="K103" s="6">
        <v>55270</v>
      </c>
      <c r="L103" s="6">
        <v>2250</v>
      </c>
      <c r="M103" s="52">
        <f t="shared" si="1"/>
        <v>-47660</v>
      </c>
      <c r="N103" s="6">
        <v>0.56000000000000005</v>
      </c>
      <c r="O103" s="6">
        <v>36</v>
      </c>
      <c r="P103" s="55">
        <v>8.2500000000000004E-2</v>
      </c>
      <c r="Q103" s="56">
        <f>C103-N103</f>
        <v>0</v>
      </c>
      <c r="R103" s="51">
        <f>D103-O103</f>
        <v>0</v>
      </c>
      <c r="S103" s="51">
        <f>E103-P103</f>
        <v>0.10000000000000005</v>
      </c>
      <c r="T103" s="52"/>
      <c r="U103" s="6"/>
      <c r="V103" s="6"/>
    </row>
    <row r="104" spans="1:22" x14ac:dyDescent="0.15">
      <c r="A104" s="1">
        <v>6</v>
      </c>
      <c r="B104" s="1">
        <v>12</v>
      </c>
      <c r="C104" s="10">
        <v>0.56000000000000005</v>
      </c>
      <c r="D104" s="5">
        <v>36</v>
      </c>
      <c r="E104" s="10">
        <v>0.19250000000000006</v>
      </c>
      <c r="F104" s="5">
        <v>9990</v>
      </c>
      <c r="G104" s="5">
        <v>730</v>
      </c>
      <c r="I104" s="53">
        <v>9990</v>
      </c>
      <c r="J104" s="54">
        <v>730</v>
      </c>
      <c r="K104" s="6">
        <v>53500</v>
      </c>
      <c r="L104" s="6">
        <v>2220</v>
      </c>
      <c r="M104" s="52">
        <f t="shared" si="1"/>
        <v>-45000</v>
      </c>
      <c r="N104" s="6">
        <v>0.56000000000000005</v>
      </c>
      <c r="O104" s="6">
        <v>36</v>
      </c>
      <c r="P104" s="55">
        <v>9.2499999999999999E-2</v>
      </c>
      <c r="Q104" s="56">
        <f>C104-N104</f>
        <v>0</v>
      </c>
      <c r="R104" s="51">
        <f>D104-O104</f>
        <v>0</v>
      </c>
      <c r="S104" s="51">
        <f>E104-P104</f>
        <v>0.10000000000000006</v>
      </c>
      <c r="T104" s="52"/>
      <c r="U104" s="6"/>
      <c r="V104" s="6"/>
    </row>
    <row r="105" spans="1:22" x14ac:dyDescent="0.15">
      <c r="A105" s="1">
        <v>6</v>
      </c>
      <c r="B105" s="1">
        <v>12</v>
      </c>
      <c r="C105" s="10">
        <v>0.56000000000000005</v>
      </c>
      <c r="D105" s="5">
        <v>36</v>
      </c>
      <c r="E105" s="10">
        <v>0.20250000000000007</v>
      </c>
      <c r="F105" s="5">
        <v>9560</v>
      </c>
      <c r="G105" s="5">
        <v>720</v>
      </c>
      <c r="I105" s="53">
        <v>9560</v>
      </c>
      <c r="J105" s="54">
        <v>720</v>
      </c>
      <c r="K105" s="6">
        <v>45030</v>
      </c>
      <c r="L105" s="6">
        <v>2000</v>
      </c>
      <c r="M105" s="52">
        <f t="shared" si="1"/>
        <v>-36750</v>
      </c>
      <c r="N105" s="6">
        <v>0.56000000000000005</v>
      </c>
      <c r="O105" s="6">
        <v>36</v>
      </c>
      <c r="P105" s="55">
        <v>0.10249999999999999</v>
      </c>
      <c r="Q105" s="56">
        <f>C105-N105</f>
        <v>0</v>
      </c>
      <c r="R105" s="51">
        <f>D105-O105</f>
        <v>0</v>
      </c>
      <c r="S105" s="51">
        <f>E105-P105</f>
        <v>0.10000000000000007</v>
      </c>
      <c r="T105" s="52"/>
      <c r="U105" s="6"/>
      <c r="V105" s="6"/>
    </row>
    <row r="106" spans="1:22" x14ac:dyDescent="0.15">
      <c r="A106" s="1">
        <v>6</v>
      </c>
      <c r="B106" s="1">
        <v>12</v>
      </c>
      <c r="C106" s="10">
        <v>0.56000000000000005</v>
      </c>
      <c r="D106" s="5">
        <v>36</v>
      </c>
      <c r="E106" s="10">
        <v>0.21250000000000008</v>
      </c>
      <c r="F106" s="5">
        <v>9830</v>
      </c>
      <c r="G106" s="5">
        <v>630</v>
      </c>
      <c r="I106" s="53">
        <v>9830</v>
      </c>
      <c r="J106" s="54">
        <v>630</v>
      </c>
      <c r="K106" s="6">
        <v>37340</v>
      </c>
      <c r="L106" s="6">
        <v>1770</v>
      </c>
      <c r="M106" s="52">
        <f t="shared" si="1"/>
        <v>-28650</v>
      </c>
      <c r="N106" s="6">
        <v>0.56000000000000005</v>
      </c>
      <c r="O106" s="6">
        <v>36</v>
      </c>
      <c r="P106" s="55">
        <v>0.1125</v>
      </c>
      <c r="Q106" s="56">
        <f>C106-N106</f>
        <v>0</v>
      </c>
      <c r="R106" s="51">
        <f>D106-O106</f>
        <v>0</v>
      </c>
      <c r="S106" s="51">
        <f>E106-P106</f>
        <v>0.10000000000000007</v>
      </c>
      <c r="T106" s="52"/>
      <c r="U106" s="6"/>
      <c r="V106" s="6"/>
    </row>
    <row r="107" spans="1:22" x14ac:dyDescent="0.15">
      <c r="A107" s="1">
        <v>6</v>
      </c>
      <c r="B107" s="1">
        <v>12</v>
      </c>
      <c r="C107" s="10">
        <v>0.56000000000000005</v>
      </c>
      <c r="D107" s="5">
        <v>36</v>
      </c>
      <c r="E107" s="10">
        <v>0.22250000000000009</v>
      </c>
      <c r="F107" s="5">
        <v>9760</v>
      </c>
      <c r="G107" s="5">
        <v>670</v>
      </c>
      <c r="I107" s="53">
        <v>9760</v>
      </c>
      <c r="J107" s="54">
        <v>670</v>
      </c>
      <c r="K107" s="6">
        <v>30420</v>
      </c>
      <c r="L107" s="6">
        <v>1350</v>
      </c>
      <c r="M107" s="52">
        <f t="shared" si="1"/>
        <v>-21340</v>
      </c>
      <c r="N107" s="6">
        <v>0.56000000000000005</v>
      </c>
      <c r="O107" s="6">
        <v>36</v>
      </c>
      <c r="P107" s="55">
        <v>0.1225</v>
      </c>
      <c r="Q107" s="56">
        <f>C107-N107</f>
        <v>0</v>
      </c>
      <c r="R107" s="51">
        <f>D107-O107</f>
        <v>0</v>
      </c>
      <c r="S107" s="51">
        <f>E107-P107</f>
        <v>0.10000000000000009</v>
      </c>
      <c r="T107" s="52"/>
      <c r="U107" s="6"/>
      <c r="V107" s="6"/>
    </row>
    <row r="108" spans="1:22" x14ac:dyDescent="0.15">
      <c r="A108" s="1">
        <v>6</v>
      </c>
      <c r="B108" s="1">
        <v>12</v>
      </c>
      <c r="C108" s="10">
        <v>0.56000000000000005</v>
      </c>
      <c r="D108" s="5">
        <v>36</v>
      </c>
      <c r="E108" s="10">
        <v>0.2325000000000001</v>
      </c>
      <c r="F108" s="5">
        <v>10560</v>
      </c>
      <c r="G108" s="5">
        <v>710</v>
      </c>
      <c r="I108" s="53">
        <v>10560</v>
      </c>
      <c r="J108" s="54">
        <v>710</v>
      </c>
      <c r="K108" s="6">
        <v>23200</v>
      </c>
      <c r="L108" s="6">
        <v>1130</v>
      </c>
      <c r="M108" s="52">
        <f t="shared" si="1"/>
        <v>-13060</v>
      </c>
      <c r="N108" s="6">
        <v>0.56000000000000005</v>
      </c>
      <c r="O108" s="6">
        <v>36</v>
      </c>
      <c r="P108" s="55">
        <v>0.13250000000000001</v>
      </c>
      <c r="Q108" s="56">
        <f>C108-N108</f>
        <v>0</v>
      </c>
      <c r="R108" s="51">
        <f>D108-O108</f>
        <v>0</v>
      </c>
      <c r="S108" s="51">
        <f>E108-P108</f>
        <v>0.10000000000000009</v>
      </c>
      <c r="T108" s="52"/>
      <c r="U108" s="6"/>
      <c r="V108" s="6"/>
    </row>
    <row r="109" spans="1:22" x14ac:dyDescent="0.15">
      <c r="A109" s="1">
        <v>6</v>
      </c>
      <c r="B109" s="1">
        <v>12</v>
      </c>
      <c r="C109" s="10">
        <v>0.56000000000000005</v>
      </c>
      <c r="D109" s="5">
        <v>36</v>
      </c>
      <c r="E109" s="10">
        <v>0.2425000000000001</v>
      </c>
      <c r="F109" s="5">
        <v>10890</v>
      </c>
      <c r="G109" s="5">
        <v>740</v>
      </c>
      <c r="I109" s="53">
        <v>10890</v>
      </c>
      <c r="J109" s="54">
        <v>740</v>
      </c>
      <c r="K109" s="6">
        <v>18790</v>
      </c>
      <c r="L109" s="6">
        <v>1040</v>
      </c>
      <c r="M109" s="52">
        <f t="shared" si="1"/>
        <v>-8200</v>
      </c>
      <c r="N109" s="6">
        <v>0.56000000000000005</v>
      </c>
      <c r="O109" s="6">
        <v>36</v>
      </c>
      <c r="P109" s="55">
        <v>0.14249999999999999</v>
      </c>
      <c r="Q109" s="56">
        <f>C109-N109</f>
        <v>0</v>
      </c>
      <c r="R109" s="51">
        <f>D109-O109</f>
        <v>0</v>
      </c>
      <c r="S109" s="51">
        <f>E109-P109</f>
        <v>0.10000000000000012</v>
      </c>
      <c r="T109" s="52"/>
      <c r="U109" s="6"/>
      <c r="V109" s="6"/>
    </row>
    <row r="110" spans="1:22" x14ac:dyDescent="0.15">
      <c r="A110" s="1">
        <v>6</v>
      </c>
      <c r="B110" s="1">
        <v>12</v>
      </c>
      <c r="C110" s="10">
        <v>0.56000000000000005</v>
      </c>
      <c r="D110" s="5">
        <v>36</v>
      </c>
      <c r="E110" s="10">
        <v>0.25250000000000011</v>
      </c>
      <c r="F110" s="5">
        <v>12560</v>
      </c>
      <c r="G110" s="5">
        <v>810</v>
      </c>
      <c r="I110" s="53">
        <v>12560</v>
      </c>
      <c r="J110" s="54">
        <v>810</v>
      </c>
      <c r="K110" s="6">
        <v>15700</v>
      </c>
      <c r="L110" s="6">
        <v>940</v>
      </c>
      <c r="M110" s="52">
        <f t="shared" si="1"/>
        <v>-3270</v>
      </c>
      <c r="N110" s="6">
        <v>0.56000000000000005</v>
      </c>
      <c r="O110" s="6">
        <v>36</v>
      </c>
      <c r="P110" s="55">
        <v>0.1525</v>
      </c>
      <c r="Q110" s="56">
        <f>C110-N110</f>
        <v>0</v>
      </c>
      <c r="R110" s="51">
        <f>D110-O110</f>
        <v>0</v>
      </c>
      <c r="S110" s="51">
        <f>E110-P110</f>
        <v>0.10000000000000012</v>
      </c>
      <c r="T110" s="52"/>
      <c r="U110" s="6"/>
      <c r="V110" s="6"/>
    </row>
    <row r="111" spans="1:22" x14ac:dyDescent="0.15">
      <c r="A111" s="1">
        <v>6</v>
      </c>
      <c r="B111" s="1">
        <v>12</v>
      </c>
      <c r="C111" s="10">
        <v>0.56000000000000005</v>
      </c>
      <c r="D111" s="5">
        <v>36</v>
      </c>
      <c r="E111" s="10">
        <v>0.26250000000000012</v>
      </c>
      <c r="F111" s="5">
        <v>11700</v>
      </c>
      <c r="G111" s="5">
        <v>820</v>
      </c>
      <c r="I111" s="53">
        <v>11700</v>
      </c>
      <c r="J111" s="54">
        <v>820</v>
      </c>
      <c r="K111" s="6">
        <v>12760</v>
      </c>
      <c r="L111" s="6">
        <v>840</v>
      </c>
      <c r="M111" s="52">
        <f t="shared" si="1"/>
        <v>-1080</v>
      </c>
      <c r="N111" s="6">
        <v>0.56000000000000005</v>
      </c>
      <c r="O111" s="6">
        <v>36</v>
      </c>
      <c r="P111" s="55">
        <v>0.16250000000000001</v>
      </c>
      <c r="Q111" s="56">
        <f>C111-N111</f>
        <v>0</v>
      </c>
      <c r="R111" s="51">
        <f>D111-O111</f>
        <v>0</v>
      </c>
      <c r="S111" s="51">
        <f>E111-P111</f>
        <v>0.10000000000000012</v>
      </c>
      <c r="T111" s="52"/>
      <c r="U111" s="6"/>
      <c r="V111" s="6"/>
    </row>
    <row r="112" spans="1:22" ht="14" thickBot="1" x14ac:dyDescent="0.2">
      <c r="A112" s="1">
        <v>6</v>
      </c>
      <c r="B112" s="1">
        <v>12</v>
      </c>
      <c r="C112" s="10">
        <v>0.56000000000000005</v>
      </c>
      <c r="D112" s="5">
        <v>36</v>
      </c>
      <c r="E112" s="10">
        <v>0.27250000000000013</v>
      </c>
      <c r="F112" s="5">
        <v>13180</v>
      </c>
      <c r="G112" s="5">
        <v>900</v>
      </c>
      <c r="I112" s="53">
        <v>13180</v>
      </c>
      <c r="J112" s="54">
        <v>900</v>
      </c>
      <c r="K112" s="6">
        <v>10740</v>
      </c>
      <c r="L112" s="6">
        <v>760</v>
      </c>
      <c r="M112" s="52">
        <f t="shared" si="1"/>
        <v>2580</v>
      </c>
      <c r="N112" s="6">
        <v>0.56000000000000005</v>
      </c>
      <c r="O112" s="6">
        <v>36</v>
      </c>
      <c r="P112" s="57">
        <v>0.17249999999999999</v>
      </c>
      <c r="Q112" s="56">
        <f>C112-N112</f>
        <v>0</v>
      </c>
      <c r="R112" s="51">
        <f>D112-O112</f>
        <v>0</v>
      </c>
      <c r="S112" s="51">
        <f>E112-P112</f>
        <v>0.10000000000000014</v>
      </c>
      <c r="T112" s="52"/>
      <c r="U112" s="6"/>
      <c r="V112" s="6"/>
    </row>
    <row r="113" spans="1:23" ht="14" thickTop="1" x14ac:dyDescent="0.15">
      <c r="A113" s="1">
        <v>6</v>
      </c>
      <c r="B113" s="1">
        <v>12</v>
      </c>
      <c r="C113" s="10">
        <v>0.56000000000000005</v>
      </c>
      <c r="D113" s="5">
        <v>36</v>
      </c>
      <c r="E113" s="10">
        <v>0.28250000000000014</v>
      </c>
      <c r="F113" s="5">
        <v>14010</v>
      </c>
      <c r="G113" s="5">
        <v>920</v>
      </c>
      <c r="I113" s="53">
        <v>14010</v>
      </c>
      <c r="J113" s="54">
        <v>920</v>
      </c>
      <c r="K113" s="6">
        <v>9150</v>
      </c>
      <c r="L113" s="6">
        <v>710</v>
      </c>
      <c r="M113" s="52">
        <f t="shared" si="1"/>
        <v>5070</v>
      </c>
      <c r="N113" s="6">
        <v>0.56000000000000005</v>
      </c>
      <c r="O113" s="6">
        <v>36</v>
      </c>
      <c r="P113" s="55">
        <v>0.1825</v>
      </c>
      <c r="Q113" s="56">
        <f>C113-N113</f>
        <v>0</v>
      </c>
      <c r="R113" s="51">
        <f>D113-O113</f>
        <v>0</v>
      </c>
      <c r="S113" s="51">
        <f>E113-P113</f>
        <v>0.10000000000000014</v>
      </c>
      <c r="T113" s="52"/>
      <c r="U113" s="6"/>
      <c r="V113" s="6"/>
    </row>
    <row r="114" spans="1:23" x14ac:dyDescent="0.15">
      <c r="A114" s="1">
        <v>6</v>
      </c>
      <c r="B114" s="1">
        <v>12</v>
      </c>
      <c r="C114" s="10">
        <v>0.56000000000000005</v>
      </c>
      <c r="D114" s="5">
        <v>36</v>
      </c>
      <c r="E114" s="10">
        <v>0.29250000000000015</v>
      </c>
      <c r="F114" s="5">
        <v>14230</v>
      </c>
      <c r="G114" s="5">
        <v>1050</v>
      </c>
      <c r="I114" s="53">
        <v>14230</v>
      </c>
      <c r="J114" s="54">
        <v>1050</v>
      </c>
      <c r="K114" s="6">
        <v>9990</v>
      </c>
      <c r="L114" s="6">
        <v>730</v>
      </c>
      <c r="M114" s="52">
        <f t="shared" si="1"/>
        <v>4560</v>
      </c>
      <c r="N114" s="6">
        <v>0.56000000000000005</v>
      </c>
      <c r="O114" s="6">
        <v>36</v>
      </c>
      <c r="P114" s="55">
        <v>0.1925</v>
      </c>
      <c r="Q114" s="56">
        <f>C114-N114</f>
        <v>0</v>
      </c>
      <c r="R114" s="51">
        <f>D114-O114</f>
        <v>0</v>
      </c>
      <c r="S114" s="51">
        <f>E114-P114</f>
        <v>0.10000000000000014</v>
      </c>
      <c r="T114" s="52"/>
      <c r="U114" s="6"/>
      <c r="V114" s="6"/>
    </row>
    <row r="115" spans="1:23" x14ac:dyDescent="0.15">
      <c r="A115" s="1">
        <v>6</v>
      </c>
      <c r="B115" s="1">
        <v>12</v>
      </c>
      <c r="C115" s="10">
        <v>0.56000000000000005</v>
      </c>
      <c r="D115" s="5">
        <v>36</v>
      </c>
      <c r="E115" s="10">
        <v>0.30250000000000016</v>
      </c>
      <c r="F115" s="5">
        <v>13360</v>
      </c>
      <c r="G115" s="5">
        <v>1080</v>
      </c>
      <c r="I115" s="53">
        <v>13360</v>
      </c>
      <c r="J115" s="54">
        <v>1080</v>
      </c>
      <c r="K115" s="6">
        <v>9560</v>
      </c>
      <c r="L115" s="6">
        <v>720</v>
      </c>
      <c r="M115" s="52">
        <f t="shared" si="1"/>
        <v>4160</v>
      </c>
      <c r="N115" s="6">
        <v>0.56000000000000005</v>
      </c>
      <c r="O115" s="6">
        <v>36</v>
      </c>
      <c r="P115" s="55">
        <v>0.20250000000000001</v>
      </c>
      <c r="Q115" s="56">
        <f>C115-N115</f>
        <v>0</v>
      </c>
      <c r="R115" s="51">
        <f>D115-O115</f>
        <v>0</v>
      </c>
      <c r="S115" s="51">
        <f>E115-P115</f>
        <v>0.10000000000000014</v>
      </c>
      <c r="T115" s="52"/>
      <c r="U115" s="6"/>
      <c r="V115" s="6"/>
    </row>
    <row r="116" spans="1:23" x14ac:dyDescent="0.15">
      <c r="A116" s="1">
        <v>6</v>
      </c>
      <c r="B116" s="1">
        <v>12</v>
      </c>
      <c r="C116" s="10">
        <v>0.56000000000000005</v>
      </c>
      <c r="D116" s="5">
        <v>36</v>
      </c>
      <c r="E116" s="10">
        <v>0.31250000000000017</v>
      </c>
      <c r="F116" s="5">
        <v>14040</v>
      </c>
      <c r="G116" s="5">
        <v>1160</v>
      </c>
      <c r="I116" s="53">
        <v>14040</v>
      </c>
      <c r="J116" s="54">
        <v>1160</v>
      </c>
      <c r="K116" s="6">
        <v>9830</v>
      </c>
      <c r="L116" s="6">
        <v>630</v>
      </c>
      <c r="M116" s="52">
        <f t="shared" si="1"/>
        <v>4740</v>
      </c>
      <c r="N116" s="6">
        <v>0.56000000000000005</v>
      </c>
      <c r="O116" s="6">
        <v>36</v>
      </c>
      <c r="P116" s="55">
        <v>0.21249999999999999</v>
      </c>
      <c r="Q116" s="56">
        <f>C116-N116</f>
        <v>0</v>
      </c>
      <c r="R116" s="51">
        <f>D116-O116</f>
        <v>0</v>
      </c>
      <c r="S116" s="51">
        <f>E116-P116</f>
        <v>0.10000000000000017</v>
      </c>
      <c r="T116" s="52"/>
      <c r="U116" s="6"/>
      <c r="V116" s="6"/>
    </row>
    <row r="117" spans="1:23" x14ac:dyDescent="0.15">
      <c r="A117" s="1">
        <v>6</v>
      </c>
      <c r="B117" s="1">
        <v>12</v>
      </c>
      <c r="C117" s="10">
        <v>0.56000000000000005</v>
      </c>
      <c r="D117" s="5">
        <v>36</v>
      </c>
      <c r="E117" s="10">
        <v>0.32250000000000018</v>
      </c>
      <c r="F117" s="5">
        <v>13960</v>
      </c>
      <c r="G117" s="5">
        <v>1230</v>
      </c>
      <c r="I117" s="53">
        <v>13960</v>
      </c>
      <c r="J117" s="54">
        <v>1230</v>
      </c>
      <c r="K117" s="6">
        <v>9760</v>
      </c>
      <c r="L117" s="6">
        <v>670</v>
      </c>
      <c r="M117" s="52">
        <f t="shared" si="1"/>
        <v>4760</v>
      </c>
      <c r="N117" s="6">
        <v>0.56000000000000005</v>
      </c>
      <c r="O117" s="6">
        <v>36</v>
      </c>
      <c r="P117" s="55">
        <v>0.2225</v>
      </c>
      <c r="Q117" s="56">
        <f>C117-N117</f>
        <v>0</v>
      </c>
      <c r="R117" s="51">
        <f>D117-O117</f>
        <v>0</v>
      </c>
      <c r="S117" s="51">
        <f>E117-P117</f>
        <v>0.10000000000000017</v>
      </c>
      <c r="T117" s="52"/>
      <c r="U117" s="6"/>
      <c r="V117" s="6"/>
    </row>
    <row r="118" spans="1:23" x14ac:dyDescent="0.15">
      <c r="A118" s="1">
        <v>6</v>
      </c>
      <c r="B118" s="1">
        <v>12</v>
      </c>
      <c r="C118" s="10">
        <v>0.56000000000000005</v>
      </c>
      <c r="D118" s="5">
        <v>36</v>
      </c>
      <c r="E118" s="10">
        <v>0.33250000000000018</v>
      </c>
      <c r="F118" s="5">
        <v>14960</v>
      </c>
      <c r="G118" s="5">
        <v>1350</v>
      </c>
      <c r="I118" s="53">
        <v>14960</v>
      </c>
      <c r="J118" s="54">
        <v>1350</v>
      </c>
      <c r="K118" s="6">
        <v>10560</v>
      </c>
      <c r="L118" s="6">
        <v>710</v>
      </c>
      <c r="M118" s="52">
        <f t="shared" si="1"/>
        <v>5040</v>
      </c>
      <c r="N118" s="6">
        <v>0.56000000000000005</v>
      </c>
      <c r="O118" s="6">
        <v>36</v>
      </c>
      <c r="P118" s="55">
        <v>0.23250000000000001</v>
      </c>
      <c r="Q118" s="56">
        <f>C118-N118</f>
        <v>0</v>
      </c>
      <c r="R118" s="51">
        <f>D118-O118</f>
        <v>0</v>
      </c>
      <c r="S118" s="51">
        <f>E118-P118</f>
        <v>0.10000000000000017</v>
      </c>
      <c r="T118" s="52"/>
      <c r="U118" s="6"/>
      <c r="V118" s="6"/>
    </row>
    <row r="119" spans="1:23" x14ac:dyDescent="0.15">
      <c r="A119" s="1">
        <v>6</v>
      </c>
      <c r="B119" s="1">
        <v>12</v>
      </c>
      <c r="C119" s="10">
        <v>0.56000000000000005</v>
      </c>
      <c r="D119" s="5">
        <v>36</v>
      </c>
      <c r="E119" s="10">
        <v>0.34250000000000019</v>
      </c>
      <c r="F119" s="5">
        <v>14280</v>
      </c>
      <c r="G119" s="5">
        <v>1460</v>
      </c>
      <c r="I119" s="53">
        <v>14280</v>
      </c>
      <c r="J119" s="54">
        <v>1460</v>
      </c>
      <c r="K119" s="6">
        <v>10890</v>
      </c>
      <c r="L119" s="6">
        <v>740</v>
      </c>
      <c r="M119" s="52">
        <f t="shared" si="1"/>
        <v>4110</v>
      </c>
      <c r="N119" s="6">
        <v>0.56000000000000005</v>
      </c>
      <c r="O119" s="6">
        <v>36</v>
      </c>
      <c r="P119" s="55">
        <v>0.24249999999999999</v>
      </c>
      <c r="Q119" s="56">
        <f>C119-N119</f>
        <v>0</v>
      </c>
      <c r="R119" s="51">
        <f>D119-O119</f>
        <v>0</v>
      </c>
      <c r="S119" s="51">
        <f>E119-P119</f>
        <v>0.1000000000000002</v>
      </c>
      <c r="T119" s="52"/>
      <c r="U119" s="6"/>
      <c r="V119" s="6"/>
    </row>
    <row r="120" spans="1:23" x14ac:dyDescent="0.15">
      <c r="A120" s="1">
        <v>6</v>
      </c>
      <c r="B120" s="1">
        <v>12</v>
      </c>
      <c r="C120" s="10">
        <v>0.56000000000000005</v>
      </c>
      <c r="D120" s="5">
        <v>36</v>
      </c>
      <c r="E120" s="10">
        <v>0.3525000000000002</v>
      </c>
      <c r="F120" s="5">
        <v>14780</v>
      </c>
      <c r="G120" s="5">
        <v>1590</v>
      </c>
      <c r="I120" s="53">
        <v>14780</v>
      </c>
      <c r="J120" s="54">
        <v>1590</v>
      </c>
      <c r="K120" s="6">
        <v>12560</v>
      </c>
      <c r="L120" s="6">
        <v>810</v>
      </c>
      <c r="M120" s="52">
        <f t="shared" si="1"/>
        <v>3000</v>
      </c>
      <c r="N120" s="6">
        <v>0.56000000000000005</v>
      </c>
      <c r="O120" s="6">
        <v>36</v>
      </c>
      <c r="P120" s="55">
        <v>0.2525</v>
      </c>
      <c r="Q120" s="56">
        <f>C120-N120</f>
        <v>0</v>
      </c>
      <c r="R120" s="51">
        <f>D120-O120</f>
        <v>0</v>
      </c>
      <c r="S120" s="51">
        <f>E120-P120</f>
        <v>0.1000000000000002</v>
      </c>
      <c r="T120" s="52"/>
      <c r="U120" s="6"/>
      <c r="V120" s="6"/>
    </row>
    <row r="121" spans="1:23" x14ac:dyDescent="0.15">
      <c r="A121" s="1">
        <v>6</v>
      </c>
      <c r="B121" s="1">
        <v>12</v>
      </c>
      <c r="C121" s="10">
        <v>0.56000000000000005</v>
      </c>
      <c r="D121" s="5">
        <v>36</v>
      </c>
      <c r="E121" s="10">
        <v>0.36250000000000021</v>
      </c>
      <c r="F121" s="5">
        <v>13730</v>
      </c>
      <c r="G121" s="5">
        <v>1680</v>
      </c>
      <c r="I121" s="53">
        <v>13730</v>
      </c>
      <c r="J121" s="54">
        <v>1680</v>
      </c>
      <c r="K121" s="6">
        <v>11700</v>
      </c>
      <c r="L121" s="6">
        <v>820</v>
      </c>
      <c r="M121" s="52">
        <f t="shared" si="1"/>
        <v>2890</v>
      </c>
      <c r="N121" s="6">
        <v>0.56000000000000005</v>
      </c>
      <c r="O121" s="6">
        <v>36</v>
      </c>
      <c r="P121" s="55">
        <v>0.26250000000000001</v>
      </c>
      <c r="Q121" s="56">
        <f>C121-N121</f>
        <v>0</v>
      </c>
      <c r="R121" s="51">
        <f>D121-O121</f>
        <v>0</v>
      </c>
      <c r="S121" s="51">
        <f>E121-P121</f>
        <v>0.1000000000000002</v>
      </c>
      <c r="T121" s="52"/>
      <c r="U121" s="6"/>
      <c r="V121" s="6"/>
    </row>
    <row r="122" spans="1:23" x14ac:dyDescent="0.15">
      <c r="A122" s="1">
        <v>6</v>
      </c>
      <c r="B122" s="1">
        <v>12</v>
      </c>
      <c r="C122" s="10">
        <v>0.56000000000000005</v>
      </c>
      <c r="D122" s="5">
        <v>36</v>
      </c>
      <c r="E122" s="10">
        <v>0.37250000000000022</v>
      </c>
      <c r="F122" s="5">
        <v>14170</v>
      </c>
      <c r="G122" s="5">
        <v>1860</v>
      </c>
      <c r="I122" s="53">
        <v>14170</v>
      </c>
      <c r="J122" s="54">
        <v>1860</v>
      </c>
      <c r="K122" s="6">
        <v>13180</v>
      </c>
      <c r="L122" s="6">
        <v>900</v>
      </c>
      <c r="M122" s="52">
        <f t="shared" si="1"/>
        <v>1950</v>
      </c>
      <c r="N122" s="6">
        <v>0.56000000000000005</v>
      </c>
      <c r="O122" s="6">
        <v>36</v>
      </c>
      <c r="P122" s="55">
        <v>0.27250000000000002</v>
      </c>
      <c r="Q122" s="56">
        <f>C122-N122</f>
        <v>0</v>
      </c>
      <c r="R122" s="51">
        <f>D122-O122</f>
        <v>0</v>
      </c>
      <c r="S122" s="51">
        <f>E122-P122</f>
        <v>0.1000000000000002</v>
      </c>
      <c r="T122" s="52"/>
      <c r="U122" s="6"/>
      <c r="V122" s="6"/>
    </row>
    <row r="123" spans="1:23" x14ac:dyDescent="0.15">
      <c r="A123" s="1">
        <v>6</v>
      </c>
      <c r="B123" s="1">
        <v>12</v>
      </c>
      <c r="C123" s="10">
        <v>0.56000000000000005</v>
      </c>
      <c r="D123" s="5">
        <v>36</v>
      </c>
      <c r="E123" s="10">
        <v>0.38250000000000023</v>
      </c>
      <c r="F123" s="5">
        <v>12780</v>
      </c>
      <c r="G123" s="5">
        <v>1920</v>
      </c>
      <c r="I123" s="53">
        <v>12780</v>
      </c>
      <c r="J123" s="54">
        <v>1920</v>
      </c>
      <c r="K123" s="6">
        <v>14010</v>
      </c>
      <c r="L123" s="6">
        <v>920</v>
      </c>
      <c r="M123" s="52">
        <f t="shared" si="1"/>
        <v>-230</v>
      </c>
      <c r="N123" s="6">
        <v>0.56000000000000005</v>
      </c>
      <c r="O123" s="6">
        <v>36</v>
      </c>
      <c r="P123" s="55">
        <v>0.28249999999999997</v>
      </c>
      <c r="Q123" s="56">
        <f>C123-N123</f>
        <v>0</v>
      </c>
      <c r="R123" s="51">
        <f>D123-O123</f>
        <v>0</v>
      </c>
      <c r="S123" s="51">
        <f>E123-P123</f>
        <v>0.10000000000000026</v>
      </c>
      <c r="T123" s="52"/>
      <c r="U123" s="6"/>
      <c r="V123" s="6"/>
    </row>
    <row r="124" spans="1:23" s="15" customFormat="1" x14ac:dyDescent="0.15">
      <c r="A124" s="12">
        <v>6</v>
      </c>
      <c r="B124" s="12">
        <v>12</v>
      </c>
      <c r="C124" s="13">
        <v>0.48</v>
      </c>
      <c r="D124" s="14">
        <v>36</v>
      </c>
      <c r="E124" s="13">
        <v>1.2500000000000001E-2</v>
      </c>
      <c r="F124" s="14">
        <v>101700</v>
      </c>
      <c r="G124" s="14">
        <v>3380</v>
      </c>
      <c r="H124" s="12"/>
      <c r="I124" s="53">
        <v>101700</v>
      </c>
      <c r="J124" s="54">
        <v>3380</v>
      </c>
      <c r="K124" s="6">
        <v>101700</v>
      </c>
      <c r="L124" s="6">
        <v>3380</v>
      </c>
      <c r="M124" s="52">
        <f t="shared" si="1"/>
        <v>0</v>
      </c>
      <c r="N124" s="6">
        <v>0.48</v>
      </c>
      <c r="O124" s="6">
        <v>36</v>
      </c>
      <c r="P124" s="55">
        <v>1.2500000000000001E-2</v>
      </c>
      <c r="Q124" s="56">
        <f>C124-N124</f>
        <v>0</v>
      </c>
      <c r="R124" s="51">
        <f>D124-O124</f>
        <v>0</v>
      </c>
      <c r="S124" s="51">
        <f>E124-P124</f>
        <v>0</v>
      </c>
      <c r="U124" s="12"/>
      <c r="V124" s="12"/>
      <c r="W124" s="12"/>
    </row>
    <row r="125" spans="1:23" x14ac:dyDescent="0.15">
      <c r="A125" s="1">
        <v>6</v>
      </c>
      <c r="B125" s="1">
        <v>12</v>
      </c>
      <c r="C125" s="10">
        <v>0.48</v>
      </c>
      <c r="D125" s="5">
        <v>36</v>
      </c>
      <c r="E125" s="10">
        <f>E124+0.005</f>
        <v>1.7500000000000002E-2</v>
      </c>
      <c r="F125" s="5">
        <v>82540</v>
      </c>
      <c r="G125" s="5">
        <v>2880</v>
      </c>
      <c r="I125" s="53">
        <v>82540</v>
      </c>
      <c r="J125" s="54">
        <v>2880</v>
      </c>
      <c r="K125" s="6">
        <v>82540</v>
      </c>
      <c r="L125" s="6">
        <v>2880</v>
      </c>
      <c r="M125" s="52">
        <f t="shared" si="1"/>
        <v>0</v>
      </c>
      <c r="N125" s="6">
        <v>0.48</v>
      </c>
      <c r="O125" s="6">
        <v>36</v>
      </c>
      <c r="P125" s="55">
        <v>1.7500000000000002E-2</v>
      </c>
      <c r="Q125" s="56">
        <f>C125-N125</f>
        <v>0</v>
      </c>
      <c r="R125" s="51">
        <f>D125-O125</f>
        <v>0</v>
      </c>
      <c r="S125" s="51">
        <f>E125-P125</f>
        <v>0</v>
      </c>
      <c r="T125" s="52"/>
      <c r="U125" s="6"/>
      <c r="V125" s="6"/>
    </row>
    <row r="126" spans="1:23" x14ac:dyDescent="0.15">
      <c r="A126" s="16">
        <v>6</v>
      </c>
      <c r="B126" s="1">
        <v>12</v>
      </c>
      <c r="C126" s="10">
        <v>0.48</v>
      </c>
      <c r="D126" s="5">
        <v>36</v>
      </c>
      <c r="E126" s="10">
        <f t="shared" ref="E126:E189" si="2">E125+0.005</f>
        <v>2.2500000000000003E-2</v>
      </c>
      <c r="F126" s="5">
        <v>62480</v>
      </c>
      <c r="G126" s="5">
        <v>2380</v>
      </c>
      <c r="I126" s="53">
        <v>62480</v>
      </c>
      <c r="J126" s="54">
        <v>2380</v>
      </c>
      <c r="K126" s="6">
        <v>62480</v>
      </c>
      <c r="L126" s="6">
        <v>2380</v>
      </c>
      <c r="M126" s="52">
        <f t="shared" si="1"/>
        <v>0</v>
      </c>
      <c r="N126" s="6">
        <v>0.48</v>
      </c>
      <c r="O126" s="6">
        <v>36</v>
      </c>
      <c r="P126" s="55">
        <v>2.2499999999999999E-2</v>
      </c>
      <c r="Q126" s="56">
        <f>C126-N126</f>
        <v>0</v>
      </c>
      <c r="R126" s="51">
        <f>D126-O126</f>
        <v>0</v>
      </c>
      <c r="S126" s="51">
        <f>E126-P126</f>
        <v>0</v>
      </c>
      <c r="T126" s="52"/>
      <c r="U126" s="6"/>
      <c r="V126" s="6"/>
    </row>
    <row r="127" spans="1:23" x14ac:dyDescent="0.15">
      <c r="A127" s="1">
        <v>6</v>
      </c>
      <c r="B127" s="1">
        <v>12</v>
      </c>
      <c r="C127" s="10">
        <v>0.48</v>
      </c>
      <c r="D127" s="5">
        <v>36</v>
      </c>
      <c r="E127" s="10">
        <f t="shared" si="2"/>
        <v>2.7500000000000004E-2</v>
      </c>
      <c r="F127" s="5">
        <v>60700</v>
      </c>
      <c r="G127" s="5">
        <v>2360</v>
      </c>
      <c r="I127" s="53">
        <v>60700</v>
      </c>
      <c r="J127" s="54">
        <v>2360</v>
      </c>
      <c r="K127" s="6">
        <v>60700</v>
      </c>
      <c r="L127" s="6">
        <v>2360</v>
      </c>
      <c r="M127" s="52">
        <f t="shared" si="1"/>
        <v>0</v>
      </c>
      <c r="N127" s="6">
        <v>0.48</v>
      </c>
      <c r="O127" s="6">
        <v>36</v>
      </c>
      <c r="P127" s="55">
        <v>2.75E-2</v>
      </c>
      <c r="Q127" s="56">
        <f>C127-N127</f>
        <v>0</v>
      </c>
      <c r="R127" s="51">
        <f>D127-O127</f>
        <v>0</v>
      </c>
      <c r="S127" s="51">
        <f>E127-P127</f>
        <v>0</v>
      </c>
      <c r="T127" s="52"/>
      <c r="U127" s="6"/>
      <c r="V127" s="6"/>
    </row>
    <row r="128" spans="1:23" x14ac:dyDescent="0.15">
      <c r="A128" s="1">
        <v>6</v>
      </c>
      <c r="B128" s="1">
        <v>12</v>
      </c>
      <c r="C128" s="10">
        <v>0.48</v>
      </c>
      <c r="D128" s="5">
        <v>36</v>
      </c>
      <c r="E128" s="10">
        <f t="shared" si="2"/>
        <v>3.2500000000000001E-2</v>
      </c>
      <c r="F128" s="5">
        <v>74870</v>
      </c>
      <c r="G128" s="5">
        <v>2790</v>
      </c>
      <c r="I128" s="53">
        <v>74870</v>
      </c>
      <c r="J128" s="54">
        <v>2790</v>
      </c>
      <c r="K128" s="6">
        <v>74870</v>
      </c>
      <c r="L128" s="6">
        <v>2790</v>
      </c>
      <c r="M128" s="52">
        <f t="shared" si="1"/>
        <v>0</v>
      </c>
      <c r="N128" s="6">
        <v>0.48</v>
      </c>
      <c r="O128" s="6">
        <v>36</v>
      </c>
      <c r="P128" s="55">
        <v>3.2500000000000001E-2</v>
      </c>
      <c r="Q128" s="56">
        <f>C128-N128</f>
        <v>0</v>
      </c>
      <c r="R128" s="51">
        <f>D128-O128</f>
        <v>0</v>
      </c>
      <c r="S128" s="51">
        <f>E128-P128</f>
        <v>0</v>
      </c>
      <c r="T128" s="52"/>
      <c r="U128" s="6"/>
      <c r="V128" s="6"/>
    </row>
    <row r="129" spans="1:22" x14ac:dyDescent="0.15">
      <c r="A129" s="1">
        <v>6</v>
      </c>
      <c r="B129" s="1">
        <v>12</v>
      </c>
      <c r="C129" s="10">
        <v>0.48</v>
      </c>
      <c r="D129" s="5">
        <v>36</v>
      </c>
      <c r="E129" s="10">
        <f t="shared" si="2"/>
        <v>3.7499999999999999E-2</v>
      </c>
      <c r="F129" s="5">
        <v>76930</v>
      </c>
      <c r="G129" s="5">
        <v>2880</v>
      </c>
      <c r="I129" s="53">
        <v>76930</v>
      </c>
      <c r="J129" s="54">
        <v>2880</v>
      </c>
      <c r="K129" s="6">
        <v>76930</v>
      </c>
      <c r="L129" s="6">
        <v>2880</v>
      </c>
      <c r="M129" s="52">
        <f t="shared" si="1"/>
        <v>0</v>
      </c>
      <c r="N129" s="6">
        <v>0.48</v>
      </c>
      <c r="O129" s="6">
        <v>36</v>
      </c>
      <c r="P129" s="55">
        <v>3.7499999999999999E-2</v>
      </c>
      <c r="Q129" s="56">
        <f>C129-N129</f>
        <v>0</v>
      </c>
      <c r="R129" s="51">
        <f>D129-O129</f>
        <v>0</v>
      </c>
      <c r="S129" s="51">
        <f>E129-P129</f>
        <v>0</v>
      </c>
      <c r="T129" s="52"/>
      <c r="U129" s="6"/>
      <c r="V129" s="6"/>
    </row>
    <row r="130" spans="1:22" x14ac:dyDescent="0.15">
      <c r="A130" s="1">
        <v>6</v>
      </c>
      <c r="B130" s="1">
        <v>12</v>
      </c>
      <c r="C130" s="10">
        <v>0.48</v>
      </c>
      <c r="D130" s="5">
        <v>36</v>
      </c>
      <c r="E130" s="10">
        <f t="shared" si="2"/>
        <v>4.2499999999999996E-2</v>
      </c>
      <c r="F130" s="5">
        <v>82520</v>
      </c>
      <c r="G130" s="5">
        <v>2820</v>
      </c>
      <c r="I130" s="53">
        <v>82520</v>
      </c>
      <c r="J130" s="54">
        <v>2820</v>
      </c>
      <c r="K130" s="6">
        <v>82520</v>
      </c>
      <c r="L130" s="6">
        <v>2820</v>
      </c>
      <c r="M130" s="52">
        <f t="shared" si="1"/>
        <v>0</v>
      </c>
      <c r="N130" s="6">
        <v>0.48</v>
      </c>
      <c r="O130" s="6">
        <v>36</v>
      </c>
      <c r="P130" s="55">
        <v>4.2500000000000003E-2</v>
      </c>
      <c r="Q130" s="56">
        <f>C130-N130</f>
        <v>0</v>
      </c>
      <c r="R130" s="51">
        <f>D130-O130</f>
        <v>0</v>
      </c>
      <c r="S130" s="51">
        <f>E130-P130</f>
        <v>0</v>
      </c>
      <c r="T130" s="52"/>
      <c r="U130" s="6"/>
      <c r="V130" s="6"/>
    </row>
    <row r="131" spans="1:22" x14ac:dyDescent="0.15">
      <c r="A131" s="1">
        <v>6</v>
      </c>
      <c r="B131" s="1">
        <v>12</v>
      </c>
      <c r="C131" s="10">
        <v>0.48</v>
      </c>
      <c r="D131" s="5">
        <v>36</v>
      </c>
      <c r="E131" s="10">
        <f t="shared" si="2"/>
        <v>4.7499999999999994E-2</v>
      </c>
      <c r="F131" s="7">
        <v>86680</v>
      </c>
      <c r="G131" s="5">
        <v>2970</v>
      </c>
      <c r="I131" s="53">
        <v>86680</v>
      </c>
      <c r="J131" s="54">
        <v>2970</v>
      </c>
      <c r="K131" s="6">
        <v>86860</v>
      </c>
      <c r="L131" s="6">
        <v>2970</v>
      </c>
      <c r="M131" s="52">
        <f t="shared" ref="M131:M194" si="3">I131+J131-K131-L131</f>
        <v>-180</v>
      </c>
      <c r="N131" s="6">
        <v>0.48</v>
      </c>
      <c r="O131" s="6">
        <v>36</v>
      </c>
      <c r="P131" s="55">
        <v>4.7500000000000001E-2</v>
      </c>
      <c r="Q131" s="56">
        <f>C131-N131</f>
        <v>0</v>
      </c>
      <c r="R131" s="51">
        <f>D131-O131</f>
        <v>0</v>
      </c>
      <c r="S131" s="51">
        <f>E131-P131</f>
        <v>0</v>
      </c>
      <c r="T131" s="52"/>
      <c r="U131" s="6"/>
      <c r="V131" s="6"/>
    </row>
    <row r="132" spans="1:22" x14ac:dyDescent="0.15">
      <c r="A132" s="1">
        <v>6</v>
      </c>
      <c r="B132" s="1">
        <v>12</v>
      </c>
      <c r="C132" s="10">
        <v>0.48</v>
      </c>
      <c r="D132" s="5">
        <v>36</v>
      </c>
      <c r="E132" s="10">
        <f t="shared" si="2"/>
        <v>5.2499999999999991E-2</v>
      </c>
      <c r="F132" s="5">
        <v>90870</v>
      </c>
      <c r="G132" s="5">
        <v>3130</v>
      </c>
      <c r="I132" s="53">
        <v>90870</v>
      </c>
      <c r="J132" s="54">
        <v>3130</v>
      </c>
      <c r="K132" s="6">
        <v>90870</v>
      </c>
      <c r="L132" s="6">
        <v>3130</v>
      </c>
      <c r="M132" s="52">
        <f t="shared" si="3"/>
        <v>0</v>
      </c>
      <c r="N132" s="6">
        <v>0.48</v>
      </c>
      <c r="O132" s="6">
        <v>36</v>
      </c>
      <c r="P132" s="55">
        <v>5.2499999999999998E-2</v>
      </c>
      <c r="Q132" s="56">
        <f>C132-N132</f>
        <v>0</v>
      </c>
      <c r="R132" s="51">
        <f>D132-O132</f>
        <v>0</v>
      </c>
      <c r="S132" s="51">
        <f>E132-P132</f>
        <v>0</v>
      </c>
      <c r="T132" s="52"/>
      <c r="U132" s="6"/>
      <c r="V132" s="6"/>
    </row>
    <row r="133" spans="1:22" x14ac:dyDescent="0.15">
      <c r="A133" s="1">
        <v>6</v>
      </c>
      <c r="B133" s="1">
        <v>12</v>
      </c>
      <c r="C133" s="10">
        <v>0.48</v>
      </c>
      <c r="D133" s="5">
        <v>36</v>
      </c>
      <c r="E133" s="10">
        <f t="shared" si="2"/>
        <v>5.7499999999999989E-2</v>
      </c>
      <c r="F133" s="5">
        <v>90590</v>
      </c>
      <c r="G133" s="5">
        <v>3180</v>
      </c>
      <c r="I133" s="53">
        <v>90590</v>
      </c>
      <c r="J133" s="54">
        <v>3180</v>
      </c>
      <c r="K133" s="6">
        <v>90590</v>
      </c>
      <c r="L133" s="6">
        <v>3180</v>
      </c>
      <c r="M133" s="52">
        <f t="shared" si="3"/>
        <v>0</v>
      </c>
      <c r="N133" s="6">
        <v>0.48</v>
      </c>
      <c r="O133" s="6">
        <v>36</v>
      </c>
      <c r="P133" s="55">
        <v>5.7500000000000002E-2</v>
      </c>
      <c r="Q133" s="56">
        <f>C133-N133</f>
        <v>0</v>
      </c>
      <c r="R133" s="51">
        <f>D133-O133</f>
        <v>0</v>
      </c>
      <c r="S133" s="51">
        <f>E133-P133</f>
        <v>0</v>
      </c>
      <c r="T133" s="52"/>
      <c r="U133" s="6"/>
      <c r="V133" s="6"/>
    </row>
    <row r="134" spans="1:22" x14ac:dyDescent="0.15">
      <c r="A134" s="1">
        <v>6</v>
      </c>
      <c r="B134" s="1">
        <v>12</v>
      </c>
      <c r="C134" s="10">
        <v>0.48</v>
      </c>
      <c r="D134" s="5">
        <v>36</v>
      </c>
      <c r="E134" s="10">
        <f t="shared" si="2"/>
        <v>6.2499999999999986E-2</v>
      </c>
      <c r="F134" s="5">
        <v>88260</v>
      </c>
      <c r="G134" s="5">
        <v>3150</v>
      </c>
      <c r="I134" s="53">
        <v>88260</v>
      </c>
      <c r="J134" s="54">
        <v>3150</v>
      </c>
      <c r="K134" s="6">
        <v>88260</v>
      </c>
      <c r="L134" s="6">
        <v>3150</v>
      </c>
      <c r="M134" s="52">
        <f t="shared" si="3"/>
        <v>0</v>
      </c>
      <c r="N134" s="6">
        <v>0.48</v>
      </c>
      <c r="O134" s="6">
        <v>36</v>
      </c>
      <c r="P134" s="55">
        <v>6.25E-2</v>
      </c>
      <c r="Q134" s="56">
        <f>C134-N134</f>
        <v>0</v>
      </c>
      <c r="R134" s="51">
        <f>D134-O134</f>
        <v>0</v>
      </c>
      <c r="S134" s="51">
        <f>E134-P134</f>
        <v>0</v>
      </c>
      <c r="T134" s="52"/>
      <c r="U134" s="6"/>
      <c r="V134" s="6"/>
    </row>
    <row r="135" spans="1:22" x14ac:dyDescent="0.15">
      <c r="A135" s="1">
        <v>6</v>
      </c>
      <c r="B135" s="1">
        <v>12</v>
      </c>
      <c r="C135" s="10">
        <v>0.48</v>
      </c>
      <c r="D135" s="5">
        <v>36</v>
      </c>
      <c r="E135" s="10">
        <f t="shared" si="2"/>
        <v>6.7499999999999991E-2</v>
      </c>
      <c r="F135" s="5">
        <v>86560</v>
      </c>
      <c r="G135" s="5">
        <v>3130</v>
      </c>
      <c r="I135" s="53">
        <v>86560</v>
      </c>
      <c r="J135" s="54">
        <v>3130</v>
      </c>
      <c r="K135" s="6">
        <v>86560</v>
      </c>
      <c r="L135" s="6">
        <v>3130</v>
      </c>
      <c r="M135" s="52">
        <f t="shared" si="3"/>
        <v>0</v>
      </c>
      <c r="N135" s="6">
        <v>0.48</v>
      </c>
      <c r="O135" s="6">
        <v>36</v>
      </c>
      <c r="P135" s="55">
        <v>6.7500000000000004E-2</v>
      </c>
      <c r="Q135" s="56">
        <f>C135-N135</f>
        <v>0</v>
      </c>
      <c r="R135" s="51">
        <f>D135-O135</f>
        <v>0</v>
      </c>
      <c r="S135" s="51">
        <f>E135-P135</f>
        <v>0</v>
      </c>
      <c r="T135" s="52"/>
      <c r="U135" s="6"/>
      <c r="V135" s="6"/>
    </row>
    <row r="136" spans="1:22" ht="14" thickBot="1" x14ac:dyDescent="0.2">
      <c r="A136" s="1">
        <v>6</v>
      </c>
      <c r="B136" s="1">
        <v>12</v>
      </c>
      <c r="C136" s="10">
        <v>0.48</v>
      </c>
      <c r="D136" s="5">
        <v>36</v>
      </c>
      <c r="E136" s="10">
        <f t="shared" si="2"/>
        <v>7.2499999999999995E-2</v>
      </c>
      <c r="F136" s="5">
        <v>80110</v>
      </c>
      <c r="G136" s="5">
        <v>2970</v>
      </c>
      <c r="I136" s="53">
        <v>80110</v>
      </c>
      <c r="J136" s="54">
        <v>2970</v>
      </c>
      <c r="K136" s="6">
        <v>80110</v>
      </c>
      <c r="L136" s="6">
        <v>2970</v>
      </c>
      <c r="M136" s="52">
        <f t="shared" si="3"/>
        <v>0</v>
      </c>
      <c r="N136" s="6">
        <v>0.48</v>
      </c>
      <c r="O136" s="6">
        <v>36</v>
      </c>
      <c r="P136" s="57">
        <v>7.2499999999999995E-2</v>
      </c>
      <c r="Q136" s="56">
        <f>C136-N136</f>
        <v>0</v>
      </c>
      <c r="R136" s="51">
        <f>D136-O136</f>
        <v>0</v>
      </c>
      <c r="S136" s="51">
        <f>E136-P136</f>
        <v>0</v>
      </c>
      <c r="T136" s="52"/>
      <c r="U136" s="6"/>
      <c r="V136" s="6"/>
    </row>
    <row r="137" spans="1:22" ht="14" thickTop="1" x14ac:dyDescent="0.15">
      <c r="A137" s="1">
        <v>6</v>
      </c>
      <c r="B137" s="1">
        <v>12</v>
      </c>
      <c r="C137" s="10">
        <v>0.48</v>
      </c>
      <c r="D137" s="5">
        <v>36</v>
      </c>
      <c r="E137" s="10">
        <f t="shared" si="2"/>
        <v>7.7499999999999999E-2</v>
      </c>
      <c r="F137" s="5">
        <v>74390</v>
      </c>
      <c r="G137" s="5">
        <v>2820</v>
      </c>
      <c r="I137" s="53">
        <v>74390</v>
      </c>
      <c r="J137" s="54">
        <v>2820</v>
      </c>
      <c r="K137" s="6">
        <v>74390</v>
      </c>
      <c r="L137" s="6">
        <v>2820</v>
      </c>
      <c r="M137" s="52">
        <f t="shared" si="3"/>
        <v>0</v>
      </c>
      <c r="N137" s="6">
        <v>0.48</v>
      </c>
      <c r="O137" s="6">
        <v>36</v>
      </c>
      <c r="P137" s="55">
        <v>7.7499999999999999E-2</v>
      </c>
      <c r="Q137" s="56">
        <f>C137-N137</f>
        <v>0</v>
      </c>
      <c r="R137" s="51">
        <f>D137-O137</f>
        <v>0</v>
      </c>
      <c r="S137" s="51">
        <f>E137-P137</f>
        <v>0</v>
      </c>
      <c r="T137" s="52"/>
      <c r="U137" s="6"/>
      <c r="V137" s="6"/>
    </row>
    <row r="138" spans="1:22" x14ac:dyDescent="0.15">
      <c r="A138" s="1">
        <v>6</v>
      </c>
      <c r="B138" s="1">
        <v>12</v>
      </c>
      <c r="C138" s="10">
        <v>0.48</v>
      </c>
      <c r="D138" s="5">
        <v>36</v>
      </c>
      <c r="E138" s="10">
        <f t="shared" si="2"/>
        <v>8.2500000000000004E-2</v>
      </c>
      <c r="F138" s="5">
        <v>68270</v>
      </c>
      <c r="G138" s="5">
        <v>2660</v>
      </c>
      <c r="I138" s="53">
        <v>68270</v>
      </c>
      <c r="J138" s="54">
        <v>2660</v>
      </c>
      <c r="K138" s="6">
        <v>68270</v>
      </c>
      <c r="L138" s="6">
        <v>2660</v>
      </c>
      <c r="M138" s="52">
        <f t="shared" si="3"/>
        <v>0</v>
      </c>
      <c r="N138" s="6">
        <v>0.48</v>
      </c>
      <c r="O138" s="6">
        <v>36</v>
      </c>
      <c r="P138" s="55">
        <v>8.2500000000000004E-2</v>
      </c>
      <c r="Q138" s="56">
        <f>C138-N138</f>
        <v>0</v>
      </c>
      <c r="R138" s="51">
        <f>D138-O138</f>
        <v>0</v>
      </c>
      <c r="S138" s="51">
        <f>E138-P138</f>
        <v>0</v>
      </c>
      <c r="T138" s="52"/>
      <c r="U138" s="6"/>
      <c r="V138" s="6"/>
    </row>
    <row r="139" spans="1:22" x14ac:dyDescent="0.15">
      <c r="A139" s="1">
        <v>6</v>
      </c>
      <c r="B139" s="1">
        <v>12</v>
      </c>
      <c r="C139" s="10">
        <v>0.48</v>
      </c>
      <c r="D139" s="5">
        <v>36</v>
      </c>
      <c r="E139" s="10">
        <f t="shared" si="2"/>
        <v>8.7500000000000008E-2</v>
      </c>
      <c r="F139" s="5">
        <v>62230</v>
      </c>
      <c r="G139" s="5">
        <v>2490</v>
      </c>
      <c r="I139" s="53">
        <v>62230</v>
      </c>
      <c r="J139" s="54">
        <v>2490</v>
      </c>
      <c r="K139" s="6">
        <v>62230</v>
      </c>
      <c r="L139" s="6">
        <v>2490</v>
      </c>
      <c r="M139" s="52">
        <f t="shared" si="3"/>
        <v>0</v>
      </c>
      <c r="N139" s="6">
        <v>0.48</v>
      </c>
      <c r="O139" s="6">
        <v>36</v>
      </c>
      <c r="P139" s="55">
        <v>8.7499999999999994E-2</v>
      </c>
      <c r="Q139" s="56">
        <f>C139-N139</f>
        <v>0</v>
      </c>
      <c r="R139" s="51">
        <f>D139-O139</f>
        <v>0</v>
      </c>
      <c r="S139" s="51">
        <f>E139-P139</f>
        <v>0</v>
      </c>
      <c r="T139" s="52"/>
      <c r="U139" s="6"/>
      <c r="V139" s="6"/>
    </row>
    <row r="140" spans="1:22" x14ac:dyDescent="0.15">
      <c r="A140" s="1">
        <v>6</v>
      </c>
      <c r="B140" s="1">
        <v>12</v>
      </c>
      <c r="C140" s="10">
        <v>0.48</v>
      </c>
      <c r="D140" s="5">
        <v>36</v>
      </c>
      <c r="E140" s="10">
        <f t="shared" si="2"/>
        <v>9.2500000000000013E-2</v>
      </c>
      <c r="F140" s="5">
        <v>55530</v>
      </c>
      <c r="G140" s="5">
        <v>2290</v>
      </c>
      <c r="I140" s="53">
        <v>55530</v>
      </c>
      <c r="J140" s="54">
        <v>2290</v>
      </c>
      <c r="K140" s="6">
        <v>55530</v>
      </c>
      <c r="L140" s="6">
        <v>2290</v>
      </c>
      <c r="M140" s="52">
        <f t="shared" si="3"/>
        <v>0</v>
      </c>
      <c r="N140" s="6">
        <v>0.48</v>
      </c>
      <c r="O140" s="6">
        <v>36</v>
      </c>
      <c r="P140" s="55">
        <v>9.2499999999999999E-2</v>
      </c>
      <c r="Q140" s="56">
        <f>C140-N140</f>
        <v>0</v>
      </c>
      <c r="R140" s="51">
        <f>D140-O140</f>
        <v>0</v>
      </c>
      <c r="S140" s="51">
        <f>E140-P140</f>
        <v>0</v>
      </c>
      <c r="T140" s="52"/>
      <c r="U140" s="6"/>
      <c r="V140" s="6"/>
    </row>
    <row r="141" spans="1:22" x14ac:dyDescent="0.15">
      <c r="A141" s="1">
        <v>6</v>
      </c>
      <c r="B141" s="1">
        <v>12</v>
      </c>
      <c r="C141" s="10">
        <v>0.48</v>
      </c>
      <c r="D141" s="5">
        <v>36</v>
      </c>
      <c r="E141" s="10">
        <f t="shared" si="2"/>
        <v>9.7500000000000017E-2</v>
      </c>
      <c r="F141" s="5">
        <v>48520</v>
      </c>
      <c r="G141" s="5">
        <v>2090</v>
      </c>
      <c r="I141" s="53">
        <v>48520</v>
      </c>
      <c r="J141" s="54">
        <v>2090</v>
      </c>
      <c r="K141" s="6">
        <v>48520</v>
      </c>
      <c r="L141" s="6">
        <v>2090</v>
      </c>
      <c r="M141" s="52">
        <f t="shared" si="3"/>
        <v>0</v>
      </c>
      <c r="N141" s="6">
        <v>0.48</v>
      </c>
      <c r="O141" s="6">
        <v>36</v>
      </c>
      <c r="P141" s="55">
        <v>9.7500000000000003E-2</v>
      </c>
      <c r="Q141" s="56">
        <f>C141-N141</f>
        <v>0</v>
      </c>
      <c r="R141" s="51">
        <f>D141-O141</f>
        <v>0</v>
      </c>
      <c r="S141" s="51">
        <f>E141-P141</f>
        <v>0</v>
      </c>
      <c r="T141" s="52"/>
      <c r="U141" s="6"/>
      <c r="V141" s="6"/>
    </row>
    <row r="142" spans="1:22" x14ac:dyDescent="0.15">
      <c r="A142" s="1">
        <v>6</v>
      </c>
      <c r="B142" s="1">
        <v>12</v>
      </c>
      <c r="C142" s="10">
        <v>0.48</v>
      </c>
      <c r="D142" s="5">
        <v>36</v>
      </c>
      <c r="E142" s="10">
        <f t="shared" si="2"/>
        <v>0.10250000000000002</v>
      </c>
      <c r="F142" s="5">
        <v>42720</v>
      </c>
      <c r="G142" s="5">
        <v>1910</v>
      </c>
      <c r="I142" s="53">
        <v>42720</v>
      </c>
      <c r="J142" s="54">
        <v>1910</v>
      </c>
      <c r="K142" s="6">
        <v>42720</v>
      </c>
      <c r="L142" s="6">
        <v>1910</v>
      </c>
      <c r="M142" s="52">
        <f t="shared" si="3"/>
        <v>0</v>
      </c>
      <c r="N142" s="6">
        <v>0.48</v>
      </c>
      <c r="O142" s="6">
        <v>36</v>
      </c>
      <c r="P142" s="55">
        <v>0.10249999999999999</v>
      </c>
      <c r="Q142" s="56">
        <f>C142-N142</f>
        <v>0</v>
      </c>
      <c r="R142" s="51">
        <f>D142-O142</f>
        <v>0</v>
      </c>
      <c r="S142" s="51">
        <f>E142-P142</f>
        <v>0</v>
      </c>
      <c r="T142" s="52"/>
      <c r="U142" s="6"/>
      <c r="V142" s="6"/>
    </row>
    <row r="143" spans="1:22" x14ac:dyDescent="0.15">
      <c r="A143" s="1">
        <v>6</v>
      </c>
      <c r="B143" s="1">
        <v>12</v>
      </c>
      <c r="C143" s="10">
        <v>0.48</v>
      </c>
      <c r="D143" s="5">
        <v>36</v>
      </c>
      <c r="E143" s="10">
        <f t="shared" si="2"/>
        <v>0.10750000000000003</v>
      </c>
      <c r="F143" s="5">
        <v>36610</v>
      </c>
      <c r="G143" s="5">
        <v>1730</v>
      </c>
      <c r="I143" s="53">
        <v>36610</v>
      </c>
      <c r="J143" s="54">
        <v>1730</v>
      </c>
      <c r="K143" s="6">
        <v>36610</v>
      </c>
      <c r="L143" s="6">
        <v>1730</v>
      </c>
      <c r="M143" s="52">
        <f t="shared" si="3"/>
        <v>0</v>
      </c>
      <c r="N143" s="6">
        <v>0.48</v>
      </c>
      <c r="O143" s="6">
        <v>36</v>
      </c>
      <c r="P143" s="55">
        <v>0.1075</v>
      </c>
      <c r="Q143" s="56">
        <f>C143-N143</f>
        <v>0</v>
      </c>
      <c r="R143" s="51">
        <f>D143-O143</f>
        <v>0</v>
      </c>
      <c r="S143" s="51">
        <f>E143-P143</f>
        <v>0</v>
      </c>
      <c r="T143" s="52"/>
      <c r="U143" s="6"/>
      <c r="V143" s="6"/>
    </row>
    <row r="144" spans="1:22" x14ac:dyDescent="0.15">
      <c r="A144" s="1">
        <v>6</v>
      </c>
      <c r="B144" s="1">
        <v>12</v>
      </c>
      <c r="C144" s="10">
        <v>0.48</v>
      </c>
      <c r="D144" s="5">
        <v>36</v>
      </c>
      <c r="E144" s="10">
        <f t="shared" si="2"/>
        <v>0.11250000000000003</v>
      </c>
      <c r="F144" s="5">
        <v>32870</v>
      </c>
      <c r="G144" s="5">
        <v>1610</v>
      </c>
      <c r="I144" s="53">
        <v>32870</v>
      </c>
      <c r="J144" s="54">
        <v>1610</v>
      </c>
      <c r="K144" s="6">
        <v>32870</v>
      </c>
      <c r="L144" s="6">
        <v>1610</v>
      </c>
      <c r="M144" s="52">
        <f t="shared" si="3"/>
        <v>0</v>
      </c>
      <c r="N144" s="6">
        <v>0.48</v>
      </c>
      <c r="O144" s="6">
        <v>36</v>
      </c>
      <c r="P144" s="55">
        <v>0.1125</v>
      </c>
      <c r="Q144" s="56">
        <f>C144-N144</f>
        <v>0</v>
      </c>
      <c r="R144" s="51">
        <f>D144-O144</f>
        <v>0</v>
      </c>
      <c r="S144" s="51">
        <f>E144-P144</f>
        <v>0</v>
      </c>
      <c r="T144" s="52"/>
      <c r="U144" s="6"/>
      <c r="V144" s="6"/>
    </row>
    <row r="145" spans="1:22" x14ac:dyDescent="0.15">
      <c r="A145" s="1">
        <v>6</v>
      </c>
      <c r="B145" s="1">
        <v>12</v>
      </c>
      <c r="C145" s="10">
        <v>0.48</v>
      </c>
      <c r="D145" s="5">
        <v>36</v>
      </c>
      <c r="E145" s="10">
        <f t="shared" si="2"/>
        <v>0.11750000000000003</v>
      </c>
      <c r="F145" s="5">
        <v>28140</v>
      </c>
      <c r="G145" s="5">
        <v>1460</v>
      </c>
      <c r="I145" s="53">
        <v>28140</v>
      </c>
      <c r="J145" s="54">
        <v>1460</v>
      </c>
      <c r="K145" s="6">
        <v>28140</v>
      </c>
      <c r="L145" s="6">
        <v>1460</v>
      </c>
      <c r="M145" s="52">
        <f t="shared" si="3"/>
        <v>0</v>
      </c>
      <c r="N145" s="6">
        <v>0.48</v>
      </c>
      <c r="O145" s="6">
        <v>36</v>
      </c>
      <c r="P145" s="55">
        <v>0.11749999999999999</v>
      </c>
      <c r="Q145" s="56">
        <f>C145-N145</f>
        <v>0</v>
      </c>
      <c r="R145" s="51">
        <f>D145-O145</f>
        <v>0</v>
      </c>
      <c r="S145" s="51">
        <f>E145-P145</f>
        <v>0</v>
      </c>
      <c r="T145" s="52"/>
      <c r="U145" s="6"/>
      <c r="V145" s="6"/>
    </row>
    <row r="146" spans="1:22" x14ac:dyDescent="0.15">
      <c r="A146" s="1">
        <v>6</v>
      </c>
      <c r="B146" s="1">
        <v>12</v>
      </c>
      <c r="C146" s="10">
        <v>0.48</v>
      </c>
      <c r="D146" s="5">
        <v>36</v>
      </c>
      <c r="E146" s="10">
        <f t="shared" si="2"/>
        <v>0.12250000000000004</v>
      </c>
      <c r="F146" s="5">
        <v>24910</v>
      </c>
      <c r="G146" s="5">
        <v>1360</v>
      </c>
      <c r="I146" s="53">
        <v>24910</v>
      </c>
      <c r="J146" s="54">
        <v>1360</v>
      </c>
      <c r="K146" s="6">
        <v>24910</v>
      </c>
      <c r="L146" s="6">
        <v>1360</v>
      </c>
      <c r="M146" s="52">
        <f t="shared" si="3"/>
        <v>0</v>
      </c>
      <c r="N146" s="6">
        <v>0.48</v>
      </c>
      <c r="O146" s="6">
        <v>36</v>
      </c>
      <c r="P146" s="55">
        <v>0.1225</v>
      </c>
      <c r="Q146" s="56">
        <f>C146-N146</f>
        <v>0</v>
      </c>
      <c r="R146" s="51">
        <f>D146-O146</f>
        <v>0</v>
      </c>
      <c r="S146" s="51">
        <f>E146-P146</f>
        <v>0</v>
      </c>
      <c r="T146" s="52"/>
      <c r="U146" s="6"/>
      <c r="V146" s="6"/>
    </row>
    <row r="147" spans="1:22" x14ac:dyDescent="0.15">
      <c r="A147" s="1">
        <v>6</v>
      </c>
      <c r="B147" s="1">
        <v>12</v>
      </c>
      <c r="C147" s="10">
        <v>0.48</v>
      </c>
      <c r="D147" s="5">
        <v>36</v>
      </c>
      <c r="E147" s="10">
        <f t="shared" si="2"/>
        <v>0.12750000000000003</v>
      </c>
      <c r="F147" s="5">
        <v>22050</v>
      </c>
      <c r="G147" s="5">
        <v>1240</v>
      </c>
      <c r="I147" s="53">
        <v>22050</v>
      </c>
      <c r="J147" s="54">
        <v>1240</v>
      </c>
      <c r="K147" s="6">
        <v>22050</v>
      </c>
      <c r="L147" s="6">
        <v>1240</v>
      </c>
      <c r="M147" s="52">
        <f t="shared" si="3"/>
        <v>0</v>
      </c>
      <c r="N147" s="6">
        <v>0.48</v>
      </c>
      <c r="O147" s="6">
        <v>36</v>
      </c>
      <c r="P147" s="55">
        <v>0.1275</v>
      </c>
      <c r="Q147" s="56">
        <f>C147-N147</f>
        <v>0</v>
      </c>
      <c r="R147" s="51">
        <f>D147-O147</f>
        <v>0</v>
      </c>
      <c r="S147" s="51">
        <f>E147-P147</f>
        <v>0</v>
      </c>
      <c r="T147" s="52"/>
      <c r="U147" s="6"/>
      <c r="V147" s="6"/>
    </row>
    <row r="148" spans="1:22" x14ac:dyDescent="0.15">
      <c r="A148" s="1">
        <v>6</v>
      </c>
      <c r="B148" s="1">
        <v>12</v>
      </c>
      <c r="C148" s="10">
        <v>0.48</v>
      </c>
      <c r="D148" s="5">
        <v>36</v>
      </c>
      <c r="E148" s="10">
        <f t="shared" si="2"/>
        <v>0.13250000000000003</v>
      </c>
      <c r="F148" s="5">
        <v>19570</v>
      </c>
      <c r="G148" s="5">
        <v>1160</v>
      </c>
      <c r="I148" s="53">
        <v>19570</v>
      </c>
      <c r="J148" s="54">
        <v>1160</v>
      </c>
      <c r="K148" s="6">
        <v>19570</v>
      </c>
      <c r="L148" s="6">
        <v>1160</v>
      </c>
      <c r="M148" s="52">
        <f t="shared" si="3"/>
        <v>0</v>
      </c>
      <c r="N148" s="6">
        <v>0.48</v>
      </c>
      <c r="O148" s="6">
        <v>36</v>
      </c>
      <c r="P148" s="55">
        <v>0.13250000000000001</v>
      </c>
      <c r="Q148" s="56">
        <f>C148-N148</f>
        <v>0</v>
      </c>
      <c r="R148" s="51">
        <f>D148-O148</f>
        <v>0</v>
      </c>
      <c r="S148" s="51">
        <f>E148-P148</f>
        <v>0</v>
      </c>
      <c r="T148" s="52"/>
      <c r="U148" s="6"/>
      <c r="V148" s="6"/>
    </row>
    <row r="149" spans="1:22" x14ac:dyDescent="0.15">
      <c r="A149" s="1">
        <v>6</v>
      </c>
      <c r="B149" s="1">
        <v>12</v>
      </c>
      <c r="C149" s="10">
        <v>0.48</v>
      </c>
      <c r="D149" s="5">
        <v>36</v>
      </c>
      <c r="E149" s="10">
        <f t="shared" si="2"/>
        <v>0.13750000000000004</v>
      </c>
      <c r="F149" s="5">
        <v>17090</v>
      </c>
      <c r="G149" s="5">
        <v>1230</v>
      </c>
      <c r="I149" s="53">
        <v>17090</v>
      </c>
      <c r="J149" s="54">
        <v>1230</v>
      </c>
      <c r="K149" s="6">
        <v>17090</v>
      </c>
      <c r="L149" s="6">
        <v>1230</v>
      </c>
      <c r="M149" s="52">
        <f t="shared" si="3"/>
        <v>0</v>
      </c>
      <c r="N149" s="6">
        <v>0.48</v>
      </c>
      <c r="O149" s="6">
        <v>36</v>
      </c>
      <c r="P149" s="55">
        <v>0.13750000000000001</v>
      </c>
      <c r="Q149" s="56">
        <f>C149-N149</f>
        <v>0</v>
      </c>
      <c r="R149" s="51">
        <f>D149-O149</f>
        <v>0</v>
      </c>
      <c r="S149" s="51">
        <f>E149-P149</f>
        <v>0</v>
      </c>
      <c r="T149" s="52"/>
      <c r="U149" s="6"/>
      <c r="V149" s="6"/>
    </row>
    <row r="150" spans="1:22" x14ac:dyDescent="0.15">
      <c r="A150" s="1">
        <v>6</v>
      </c>
      <c r="B150" s="1">
        <v>12</v>
      </c>
      <c r="C150" s="10">
        <v>0.48</v>
      </c>
      <c r="D150" s="5">
        <v>36</v>
      </c>
      <c r="E150" s="10">
        <f t="shared" si="2"/>
        <v>0.14250000000000004</v>
      </c>
      <c r="F150" s="5">
        <v>14850</v>
      </c>
      <c r="G150" s="5">
        <v>1150</v>
      </c>
      <c r="I150" s="53">
        <v>14850</v>
      </c>
      <c r="J150" s="54">
        <v>1150</v>
      </c>
      <c r="K150" s="6">
        <v>14850</v>
      </c>
      <c r="L150" s="6">
        <v>1150</v>
      </c>
      <c r="M150" s="52">
        <f t="shared" si="3"/>
        <v>0</v>
      </c>
      <c r="N150" s="6">
        <v>0.48</v>
      </c>
      <c r="O150" s="6">
        <v>36</v>
      </c>
      <c r="P150" s="55">
        <v>0.14249999999999999</v>
      </c>
      <c r="Q150" s="56">
        <f>C150-N150</f>
        <v>0</v>
      </c>
      <c r="R150" s="51">
        <f>D150-O150</f>
        <v>0</v>
      </c>
      <c r="S150" s="51">
        <f>E150-P150</f>
        <v>0</v>
      </c>
      <c r="T150" s="52"/>
      <c r="U150" s="6"/>
      <c r="V150" s="6"/>
    </row>
    <row r="151" spans="1:22" x14ac:dyDescent="0.15">
      <c r="A151" s="1">
        <v>6</v>
      </c>
      <c r="B151" s="1">
        <v>12</v>
      </c>
      <c r="C151" s="10">
        <v>0.48</v>
      </c>
      <c r="D151" s="5">
        <v>36</v>
      </c>
      <c r="E151" s="10">
        <f t="shared" si="2"/>
        <v>0.14750000000000005</v>
      </c>
      <c r="F151" s="5">
        <v>14320</v>
      </c>
      <c r="G151" s="5">
        <v>1130</v>
      </c>
      <c r="I151" s="53">
        <v>14320</v>
      </c>
      <c r="J151" s="54">
        <v>1130</v>
      </c>
      <c r="K151" s="6">
        <v>14320</v>
      </c>
      <c r="L151" s="6">
        <v>1130</v>
      </c>
      <c r="M151" s="52">
        <f t="shared" si="3"/>
        <v>0</v>
      </c>
      <c r="N151" s="6">
        <v>0.48</v>
      </c>
      <c r="O151" s="6">
        <v>36</v>
      </c>
      <c r="P151" s="55">
        <v>0.14749999999999999</v>
      </c>
      <c r="Q151" s="56">
        <f>C151-N151</f>
        <v>0</v>
      </c>
      <c r="R151" s="51">
        <f>D151-O151</f>
        <v>0</v>
      </c>
      <c r="S151" s="51">
        <f>E151-P151</f>
        <v>0</v>
      </c>
      <c r="T151" s="52"/>
      <c r="U151" s="6"/>
      <c r="V151" s="6"/>
    </row>
    <row r="152" spans="1:22" x14ac:dyDescent="0.15">
      <c r="A152" s="1">
        <v>6</v>
      </c>
      <c r="B152" s="1">
        <v>12</v>
      </c>
      <c r="C152" s="10">
        <v>0.48</v>
      </c>
      <c r="D152" s="5">
        <v>36</v>
      </c>
      <c r="E152" s="10">
        <f t="shared" si="2"/>
        <v>0.15250000000000005</v>
      </c>
      <c r="F152" s="5">
        <v>12820</v>
      </c>
      <c r="G152" s="5">
        <v>1090</v>
      </c>
      <c r="I152" s="53">
        <v>12820</v>
      </c>
      <c r="J152" s="54">
        <v>1090</v>
      </c>
      <c r="K152" s="6">
        <v>12820</v>
      </c>
      <c r="L152" s="6">
        <v>1090</v>
      </c>
      <c r="M152" s="52">
        <f t="shared" si="3"/>
        <v>0</v>
      </c>
      <c r="N152" s="6">
        <v>0.48</v>
      </c>
      <c r="O152" s="6">
        <v>36</v>
      </c>
      <c r="P152" s="55">
        <v>0.1525</v>
      </c>
      <c r="Q152" s="56">
        <f>C152-N152</f>
        <v>0</v>
      </c>
      <c r="R152" s="51">
        <f>D152-O152</f>
        <v>0</v>
      </c>
      <c r="S152" s="51">
        <f>E152-P152</f>
        <v>0</v>
      </c>
      <c r="T152" s="52"/>
      <c r="U152" s="6"/>
      <c r="V152" s="6"/>
    </row>
    <row r="153" spans="1:22" x14ac:dyDescent="0.15">
      <c r="A153" s="1">
        <v>6</v>
      </c>
      <c r="B153" s="1">
        <v>12</v>
      </c>
      <c r="C153" s="10">
        <v>0.48</v>
      </c>
      <c r="D153" s="5">
        <v>36</v>
      </c>
      <c r="E153" s="10">
        <f t="shared" si="2"/>
        <v>0.15750000000000006</v>
      </c>
      <c r="F153" s="5">
        <v>11860</v>
      </c>
      <c r="G153" s="5">
        <v>1060</v>
      </c>
      <c r="I153" s="53">
        <v>11860</v>
      </c>
      <c r="J153" s="54">
        <v>1060</v>
      </c>
      <c r="K153" s="6">
        <v>11860</v>
      </c>
      <c r="L153" s="6">
        <v>1060</v>
      </c>
      <c r="M153" s="52">
        <f t="shared" si="3"/>
        <v>0</v>
      </c>
      <c r="N153" s="6">
        <v>0.48</v>
      </c>
      <c r="O153" s="6">
        <v>36</v>
      </c>
      <c r="P153" s="55">
        <v>0.1575</v>
      </c>
      <c r="Q153" s="56">
        <f>C153-N153</f>
        <v>0</v>
      </c>
      <c r="R153" s="51">
        <f>D153-O153</f>
        <v>0</v>
      </c>
      <c r="S153" s="51">
        <f>E153-P153</f>
        <v>0</v>
      </c>
      <c r="T153" s="52"/>
      <c r="U153" s="6"/>
      <c r="V153" s="6"/>
    </row>
    <row r="154" spans="1:22" x14ac:dyDescent="0.15">
      <c r="A154" s="1">
        <v>6</v>
      </c>
      <c r="B154" s="1">
        <v>12</v>
      </c>
      <c r="C154" s="10">
        <v>0.48</v>
      </c>
      <c r="D154" s="5">
        <v>36</v>
      </c>
      <c r="E154" s="10">
        <f t="shared" si="2"/>
        <v>0.16250000000000006</v>
      </c>
      <c r="F154" s="5">
        <v>11580</v>
      </c>
      <c r="G154" s="5">
        <v>1050</v>
      </c>
      <c r="I154" s="53">
        <v>11580</v>
      </c>
      <c r="J154" s="54">
        <v>1050</v>
      </c>
      <c r="K154" s="6">
        <v>11580</v>
      </c>
      <c r="L154" s="6">
        <v>1050</v>
      </c>
      <c r="M154" s="52">
        <f t="shared" si="3"/>
        <v>0</v>
      </c>
      <c r="N154" s="6">
        <v>0.48</v>
      </c>
      <c r="O154" s="6">
        <v>36</v>
      </c>
      <c r="P154" s="55">
        <v>0.16250000000000001</v>
      </c>
      <c r="Q154" s="56">
        <f>C154-N154</f>
        <v>0</v>
      </c>
      <c r="R154" s="51">
        <f>D154-O154</f>
        <v>0</v>
      </c>
      <c r="S154" s="51">
        <f>E154-P154</f>
        <v>0</v>
      </c>
      <c r="T154" s="52"/>
      <c r="U154" s="6"/>
      <c r="V154" s="6"/>
    </row>
    <row r="155" spans="1:22" x14ac:dyDescent="0.15">
      <c r="A155" s="1">
        <v>6</v>
      </c>
      <c r="B155" s="1">
        <v>12</v>
      </c>
      <c r="C155" s="11">
        <v>0.48</v>
      </c>
      <c r="D155" s="7">
        <v>36</v>
      </c>
      <c r="E155" s="11">
        <f t="shared" si="2"/>
        <v>0.16750000000000007</v>
      </c>
      <c r="F155" s="7">
        <v>11460</v>
      </c>
      <c r="G155" s="7">
        <v>2050</v>
      </c>
      <c r="I155" s="53">
        <v>11460</v>
      </c>
      <c r="J155" s="54">
        <v>2050</v>
      </c>
      <c r="K155" s="6">
        <v>11460</v>
      </c>
      <c r="L155" s="6">
        <v>1050</v>
      </c>
      <c r="M155" s="52">
        <f t="shared" si="3"/>
        <v>1000</v>
      </c>
      <c r="N155" s="6">
        <v>0.48</v>
      </c>
      <c r="O155" s="6">
        <v>36</v>
      </c>
      <c r="P155" s="55">
        <v>0.16750000000000001</v>
      </c>
      <c r="Q155" s="56">
        <f>C155-N155</f>
        <v>0</v>
      </c>
      <c r="R155" s="51">
        <f>D155-O155</f>
        <v>0</v>
      </c>
      <c r="S155" s="51">
        <f>E155-P155</f>
        <v>0</v>
      </c>
      <c r="T155" s="52"/>
      <c r="U155" s="6"/>
      <c r="V155" s="6"/>
    </row>
    <row r="156" spans="1:22" x14ac:dyDescent="0.15">
      <c r="A156" s="1">
        <v>6</v>
      </c>
      <c r="B156" s="1">
        <v>12</v>
      </c>
      <c r="C156" s="10">
        <v>0.48</v>
      </c>
      <c r="D156" s="5">
        <v>36</v>
      </c>
      <c r="E156" s="10">
        <f t="shared" si="2"/>
        <v>0.17250000000000007</v>
      </c>
      <c r="F156" s="5">
        <v>24910</v>
      </c>
      <c r="G156" s="5">
        <v>1360</v>
      </c>
      <c r="I156" s="53">
        <v>24910</v>
      </c>
      <c r="J156" s="54">
        <v>1360</v>
      </c>
      <c r="K156" s="6">
        <v>11510</v>
      </c>
      <c r="L156" s="6">
        <v>1060</v>
      </c>
      <c r="M156" s="52">
        <f t="shared" si="3"/>
        <v>13700</v>
      </c>
      <c r="N156" s="6">
        <v>0.48</v>
      </c>
      <c r="O156" s="6">
        <v>36</v>
      </c>
      <c r="P156" s="55">
        <v>0.17249999999999999</v>
      </c>
      <c r="Q156" s="56">
        <f>C156-N156</f>
        <v>0</v>
      </c>
      <c r="R156" s="51">
        <f>D156-O156</f>
        <v>0</v>
      </c>
      <c r="S156" s="51">
        <f>E156-P156</f>
        <v>0</v>
      </c>
      <c r="T156" s="52"/>
      <c r="U156" s="6"/>
      <c r="V156" s="6"/>
    </row>
    <row r="157" spans="1:22" x14ac:dyDescent="0.15">
      <c r="A157" s="1">
        <v>6</v>
      </c>
      <c r="B157" s="1">
        <v>12</v>
      </c>
      <c r="C157" s="10">
        <v>0.48</v>
      </c>
      <c r="D157" s="5">
        <v>36</v>
      </c>
      <c r="E157" s="10">
        <f t="shared" si="2"/>
        <v>0.17750000000000007</v>
      </c>
      <c r="F157" s="5">
        <v>22050</v>
      </c>
      <c r="G157" s="5">
        <v>1240</v>
      </c>
      <c r="I157" s="53">
        <v>22050</v>
      </c>
      <c r="J157" s="54">
        <v>1240</v>
      </c>
      <c r="K157" s="6">
        <v>11320</v>
      </c>
      <c r="L157" s="6">
        <v>1060</v>
      </c>
      <c r="M157" s="52">
        <f t="shared" si="3"/>
        <v>10910</v>
      </c>
      <c r="N157" s="6">
        <v>0.48</v>
      </c>
      <c r="O157" s="6">
        <v>36</v>
      </c>
      <c r="P157" s="55">
        <v>0.17749999999999999</v>
      </c>
      <c r="Q157" s="56">
        <f>C157-N157</f>
        <v>0</v>
      </c>
      <c r="R157" s="51">
        <f>D157-O157</f>
        <v>0</v>
      </c>
      <c r="S157" s="51">
        <f>E157-P157</f>
        <v>0</v>
      </c>
      <c r="T157" s="52"/>
      <c r="U157" s="6"/>
      <c r="V157" s="6"/>
    </row>
    <row r="158" spans="1:22" x14ac:dyDescent="0.15">
      <c r="A158" s="1">
        <v>6</v>
      </c>
      <c r="B158" s="1">
        <v>12</v>
      </c>
      <c r="C158" s="10">
        <v>0.48</v>
      </c>
      <c r="D158" s="5">
        <v>36</v>
      </c>
      <c r="E158" s="10">
        <f t="shared" si="2"/>
        <v>0.18250000000000008</v>
      </c>
      <c r="F158" s="5">
        <v>19570</v>
      </c>
      <c r="G158" s="5">
        <v>1160</v>
      </c>
      <c r="I158" s="53">
        <v>19570</v>
      </c>
      <c r="J158" s="54">
        <v>1160</v>
      </c>
      <c r="K158" s="6">
        <v>10280</v>
      </c>
      <c r="L158" s="6">
        <v>1040</v>
      </c>
      <c r="M158" s="52">
        <f t="shared" si="3"/>
        <v>9410</v>
      </c>
      <c r="N158" s="6">
        <v>0.48</v>
      </c>
      <c r="O158" s="6">
        <v>36</v>
      </c>
      <c r="P158" s="55">
        <v>0.1825</v>
      </c>
      <c r="Q158" s="56">
        <f>C158-N158</f>
        <v>0</v>
      </c>
      <c r="R158" s="51">
        <f>D158-O158</f>
        <v>0</v>
      </c>
      <c r="S158" s="51">
        <f>E158-P158</f>
        <v>0</v>
      </c>
      <c r="T158" s="52"/>
      <c r="U158" s="6"/>
      <c r="V158" s="6"/>
    </row>
    <row r="159" spans="1:22" x14ac:dyDescent="0.15">
      <c r="A159" s="1">
        <v>6</v>
      </c>
      <c r="B159" s="1">
        <v>12</v>
      </c>
      <c r="C159" s="10">
        <v>0.48</v>
      </c>
      <c r="D159" s="5">
        <v>36</v>
      </c>
      <c r="E159" s="10">
        <f t="shared" si="2"/>
        <v>0.18750000000000008</v>
      </c>
      <c r="F159" s="5">
        <v>17090</v>
      </c>
      <c r="G159" s="5">
        <v>1230</v>
      </c>
      <c r="I159" s="53">
        <v>17090</v>
      </c>
      <c r="J159" s="54">
        <v>1230</v>
      </c>
      <c r="K159" s="6">
        <v>9870</v>
      </c>
      <c r="L159" s="6">
        <v>1040</v>
      </c>
      <c r="M159" s="52">
        <f t="shared" si="3"/>
        <v>7410</v>
      </c>
      <c r="N159" s="6">
        <v>0.48</v>
      </c>
      <c r="O159" s="6">
        <v>36</v>
      </c>
      <c r="P159" s="55">
        <v>0.1875</v>
      </c>
      <c r="Q159" s="56">
        <f>C159-N159</f>
        <v>0</v>
      </c>
      <c r="R159" s="51">
        <f>D159-O159</f>
        <v>0</v>
      </c>
      <c r="S159" s="51">
        <f>E159-P159</f>
        <v>0</v>
      </c>
      <c r="T159" s="52"/>
      <c r="U159" s="6"/>
      <c r="V159" s="6"/>
    </row>
    <row r="160" spans="1:22" x14ac:dyDescent="0.15">
      <c r="A160" s="1">
        <v>6</v>
      </c>
      <c r="B160" s="1">
        <v>12</v>
      </c>
      <c r="C160" s="10">
        <v>0.48</v>
      </c>
      <c r="D160" s="5">
        <v>36</v>
      </c>
      <c r="E160" s="10">
        <f t="shared" si="2"/>
        <v>0.19250000000000009</v>
      </c>
      <c r="F160" s="5">
        <v>14850</v>
      </c>
      <c r="G160" s="5">
        <v>1150</v>
      </c>
      <c r="I160" s="53">
        <v>14850</v>
      </c>
      <c r="J160" s="54">
        <v>1150</v>
      </c>
      <c r="K160" s="6">
        <v>9100</v>
      </c>
      <c r="L160" s="6">
        <v>1030</v>
      </c>
      <c r="M160" s="52">
        <f t="shared" si="3"/>
        <v>5870</v>
      </c>
      <c r="N160" s="6">
        <v>0.48</v>
      </c>
      <c r="O160" s="6">
        <v>36</v>
      </c>
      <c r="P160" s="55">
        <v>0.1925</v>
      </c>
      <c r="Q160" s="56">
        <f>C160-N160</f>
        <v>0</v>
      </c>
      <c r="R160" s="51">
        <f>D160-O160</f>
        <v>0</v>
      </c>
      <c r="S160" s="51">
        <f>E160-P160</f>
        <v>0</v>
      </c>
      <c r="T160" s="52"/>
      <c r="U160" s="6"/>
      <c r="V160" s="6"/>
    </row>
    <row r="161" spans="1:22" x14ac:dyDescent="0.15">
      <c r="A161" s="1">
        <v>6</v>
      </c>
      <c r="B161" s="1">
        <v>12</v>
      </c>
      <c r="C161" s="10">
        <v>0.48</v>
      </c>
      <c r="D161" s="5">
        <v>36</v>
      </c>
      <c r="E161" s="10">
        <f t="shared" si="2"/>
        <v>0.19750000000000009</v>
      </c>
      <c r="F161" s="5">
        <v>14320</v>
      </c>
      <c r="G161" s="5">
        <v>1130</v>
      </c>
      <c r="I161" s="53">
        <v>14320</v>
      </c>
      <c r="J161" s="54">
        <v>1130</v>
      </c>
      <c r="K161" s="6">
        <v>9870</v>
      </c>
      <c r="L161" s="6">
        <v>960</v>
      </c>
      <c r="M161" s="52">
        <f t="shared" si="3"/>
        <v>4620</v>
      </c>
      <c r="N161" s="6">
        <v>0.48</v>
      </c>
      <c r="O161" s="6">
        <v>36</v>
      </c>
      <c r="P161" s="55">
        <v>0.19750000000000001</v>
      </c>
      <c r="Q161" s="56">
        <f>C161-N161</f>
        <v>0</v>
      </c>
      <c r="R161" s="51">
        <f>D161-O161</f>
        <v>0</v>
      </c>
      <c r="S161" s="51">
        <f>E161-P161</f>
        <v>0</v>
      </c>
      <c r="T161" s="52"/>
      <c r="U161" s="6"/>
      <c r="V161" s="6"/>
    </row>
    <row r="162" spans="1:22" x14ac:dyDescent="0.15">
      <c r="A162" s="1">
        <v>6</v>
      </c>
      <c r="B162" s="1">
        <v>12</v>
      </c>
      <c r="C162" s="10">
        <v>0.48</v>
      </c>
      <c r="D162" s="5">
        <v>36</v>
      </c>
      <c r="E162" s="10">
        <f t="shared" si="2"/>
        <v>0.2025000000000001</v>
      </c>
      <c r="F162" s="5">
        <v>12820</v>
      </c>
      <c r="G162" s="5">
        <v>1090</v>
      </c>
      <c r="I162" s="53">
        <v>12820</v>
      </c>
      <c r="J162" s="54">
        <v>1090</v>
      </c>
      <c r="K162" s="6">
        <v>10450</v>
      </c>
      <c r="L162" s="6">
        <v>990</v>
      </c>
      <c r="M162" s="52">
        <f t="shared" si="3"/>
        <v>2470</v>
      </c>
      <c r="N162" s="6">
        <v>0.48</v>
      </c>
      <c r="O162" s="6">
        <v>36</v>
      </c>
      <c r="P162" s="55">
        <v>0.20250000000000001</v>
      </c>
      <c r="Q162" s="56">
        <f>C162-N162</f>
        <v>0</v>
      </c>
      <c r="R162" s="51">
        <f>D162-O162</f>
        <v>0</v>
      </c>
      <c r="S162" s="51">
        <f>E162-P162</f>
        <v>0</v>
      </c>
      <c r="T162" s="52"/>
      <c r="U162" s="6"/>
      <c r="V162" s="6"/>
    </row>
    <row r="163" spans="1:22" x14ac:dyDescent="0.15">
      <c r="A163" s="1">
        <v>6</v>
      </c>
      <c r="B163" s="1">
        <v>12</v>
      </c>
      <c r="C163" s="10">
        <v>0.48</v>
      </c>
      <c r="D163" s="5">
        <v>36</v>
      </c>
      <c r="E163" s="10">
        <f t="shared" si="2"/>
        <v>0.2075000000000001</v>
      </c>
      <c r="F163" s="5">
        <v>11860</v>
      </c>
      <c r="G163" s="5">
        <v>1060</v>
      </c>
      <c r="I163" s="53">
        <v>11860</v>
      </c>
      <c r="J163" s="54">
        <v>1060</v>
      </c>
      <c r="K163" s="6">
        <v>11760</v>
      </c>
      <c r="L163" s="6">
        <v>1130</v>
      </c>
      <c r="M163" s="52">
        <f t="shared" si="3"/>
        <v>30</v>
      </c>
      <c r="N163" s="6">
        <v>0.48</v>
      </c>
      <c r="O163" s="6">
        <v>36</v>
      </c>
      <c r="P163" s="55">
        <v>0.20749999999999999</v>
      </c>
      <c r="Q163" s="56">
        <f>C163-N163</f>
        <v>0</v>
      </c>
      <c r="R163" s="51">
        <f>D163-O163</f>
        <v>0</v>
      </c>
      <c r="S163" s="51">
        <f>E163-P163</f>
        <v>0</v>
      </c>
      <c r="T163" s="52"/>
      <c r="U163" s="6"/>
      <c r="V163" s="6"/>
    </row>
    <row r="164" spans="1:22" x14ac:dyDescent="0.15">
      <c r="A164" s="1">
        <v>6</v>
      </c>
      <c r="B164" s="1">
        <v>12</v>
      </c>
      <c r="C164" s="10">
        <v>0.48</v>
      </c>
      <c r="D164" s="5">
        <v>36</v>
      </c>
      <c r="E164" s="10">
        <f t="shared" si="2"/>
        <v>0.21250000000000011</v>
      </c>
      <c r="F164" s="5">
        <v>11580</v>
      </c>
      <c r="G164" s="5">
        <v>1050</v>
      </c>
      <c r="I164" s="53">
        <v>11580</v>
      </c>
      <c r="J164" s="54">
        <v>1050</v>
      </c>
      <c r="K164" s="6">
        <v>12070</v>
      </c>
      <c r="L164" s="6">
        <v>1170</v>
      </c>
      <c r="M164" s="52">
        <f t="shared" si="3"/>
        <v>-610</v>
      </c>
      <c r="N164" s="6">
        <v>0.48</v>
      </c>
      <c r="O164" s="6">
        <v>36</v>
      </c>
      <c r="P164" s="55">
        <v>0.21249999999999999</v>
      </c>
      <c r="Q164" s="56">
        <f>C164-N164</f>
        <v>0</v>
      </c>
      <c r="R164" s="51">
        <f>D164-O164</f>
        <v>0</v>
      </c>
      <c r="S164" s="51">
        <f>E164-P164</f>
        <v>0</v>
      </c>
      <c r="T164" s="52"/>
      <c r="U164" s="6"/>
      <c r="V164" s="6"/>
    </row>
    <row r="165" spans="1:22" x14ac:dyDescent="0.15">
      <c r="A165" s="1">
        <v>6</v>
      </c>
      <c r="B165" s="1">
        <v>12</v>
      </c>
      <c r="C165" s="10">
        <v>0.48</v>
      </c>
      <c r="D165" s="5">
        <v>36</v>
      </c>
      <c r="E165" s="10">
        <f t="shared" si="2"/>
        <v>0.21750000000000011</v>
      </c>
      <c r="F165" s="5">
        <v>11460</v>
      </c>
      <c r="G165" s="5">
        <v>1050</v>
      </c>
      <c r="I165" s="53">
        <v>11460</v>
      </c>
      <c r="J165" s="54">
        <v>1050</v>
      </c>
      <c r="K165" s="6">
        <v>12000</v>
      </c>
      <c r="L165" s="6">
        <v>1190</v>
      </c>
      <c r="M165" s="52">
        <f t="shared" si="3"/>
        <v>-680</v>
      </c>
      <c r="N165" s="6">
        <v>0.48</v>
      </c>
      <c r="O165" s="6">
        <v>36</v>
      </c>
      <c r="P165" s="55">
        <v>0.2175</v>
      </c>
      <c r="Q165" s="56">
        <f>C165-N165</f>
        <v>0</v>
      </c>
      <c r="R165" s="51">
        <f>D165-O165</f>
        <v>0</v>
      </c>
      <c r="S165" s="51">
        <f>E165-P165</f>
        <v>0</v>
      </c>
      <c r="T165" s="52"/>
      <c r="U165" s="6"/>
      <c r="V165" s="6"/>
    </row>
    <row r="166" spans="1:22" x14ac:dyDescent="0.15">
      <c r="A166" s="1">
        <v>6</v>
      </c>
      <c r="B166" s="1">
        <v>12</v>
      </c>
      <c r="C166" s="10">
        <v>0.48</v>
      </c>
      <c r="D166" s="5">
        <v>36</v>
      </c>
      <c r="E166" s="10">
        <f t="shared" si="2"/>
        <v>0.22250000000000011</v>
      </c>
      <c r="F166" s="5">
        <v>11510</v>
      </c>
      <c r="G166" s="5">
        <v>1060</v>
      </c>
      <c r="I166" s="53">
        <v>11510</v>
      </c>
      <c r="J166" s="54">
        <v>1060</v>
      </c>
      <c r="K166" s="6">
        <v>12410</v>
      </c>
      <c r="L166" s="6">
        <v>1240</v>
      </c>
      <c r="M166" s="52">
        <f t="shared" si="3"/>
        <v>-1080</v>
      </c>
      <c r="N166" s="6">
        <v>0.48</v>
      </c>
      <c r="O166" s="6">
        <v>36</v>
      </c>
      <c r="P166" s="55">
        <v>0.2225</v>
      </c>
      <c r="Q166" s="56">
        <f>C166-N166</f>
        <v>0</v>
      </c>
      <c r="R166" s="51">
        <f>D166-O166</f>
        <v>0</v>
      </c>
      <c r="S166" s="51">
        <f>E166-P166</f>
        <v>0</v>
      </c>
      <c r="T166" s="52"/>
      <c r="U166" s="6"/>
      <c r="V166" s="6"/>
    </row>
    <row r="167" spans="1:22" x14ac:dyDescent="0.15">
      <c r="A167" s="1">
        <v>6</v>
      </c>
      <c r="B167" s="1">
        <v>12</v>
      </c>
      <c r="C167" s="10">
        <v>0.48</v>
      </c>
      <c r="D167" s="5">
        <v>36</v>
      </c>
      <c r="E167" s="10">
        <f t="shared" si="2"/>
        <v>0.22750000000000012</v>
      </c>
      <c r="F167" s="5">
        <v>11320</v>
      </c>
      <c r="G167" s="5">
        <v>1060</v>
      </c>
      <c r="I167" s="53">
        <v>11320</v>
      </c>
      <c r="J167" s="54">
        <v>1060</v>
      </c>
      <c r="K167" s="6">
        <v>13280</v>
      </c>
      <c r="L167" s="6">
        <v>1300</v>
      </c>
      <c r="M167" s="52">
        <f t="shared" si="3"/>
        <v>-2200</v>
      </c>
      <c r="N167" s="6">
        <v>0.48</v>
      </c>
      <c r="O167" s="6">
        <v>36</v>
      </c>
      <c r="P167" s="55">
        <v>0.22750000000000001</v>
      </c>
      <c r="Q167" s="56">
        <f>C167-N167</f>
        <v>0</v>
      </c>
      <c r="R167" s="51">
        <f>D167-O167</f>
        <v>0</v>
      </c>
      <c r="S167" s="51">
        <f>E167-P167</f>
        <v>0</v>
      </c>
      <c r="T167" s="52"/>
      <c r="U167" s="6"/>
      <c r="V167" s="6"/>
    </row>
    <row r="168" spans="1:22" x14ac:dyDescent="0.15">
      <c r="A168" s="1">
        <v>6</v>
      </c>
      <c r="B168" s="1">
        <v>12</v>
      </c>
      <c r="C168" s="10">
        <v>0.48</v>
      </c>
      <c r="D168" s="5">
        <v>36</v>
      </c>
      <c r="E168" s="10">
        <f t="shared" si="2"/>
        <v>0.23250000000000012</v>
      </c>
      <c r="F168" s="5">
        <v>10280</v>
      </c>
      <c r="G168" s="5">
        <v>1040</v>
      </c>
      <c r="I168" s="53">
        <v>10280</v>
      </c>
      <c r="J168" s="54">
        <v>1040</v>
      </c>
      <c r="K168" s="6">
        <v>13460</v>
      </c>
      <c r="L168" s="6">
        <v>1350</v>
      </c>
      <c r="M168" s="52">
        <f t="shared" si="3"/>
        <v>-3490</v>
      </c>
      <c r="N168" s="6">
        <v>0.48</v>
      </c>
      <c r="O168" s="6">
        <v>36</v>
      </c>
      <c r="P168" s="55">
        <v>0.23250000000000001</v>
      </c>
      <c r="Q168" s="56">
        <f>C168-N168</f>
        <v>0</v>
      </c>
      <c r="R168" s="51">
        <f>D168-O168</f>
        <v>0</v>
      </c>
      <c r="S168" s="51">
        <f>E168-P168</f>
        <v>0</v>
      </c>
      <c r="T168" s="52"/>
      <c r="U168" s="6"/>
      <c r="V168" s="6"/>
    </row>
    <row r="169" spans="1:22" x14ac:dyDescent="0.15">
      <c r="A169" s="1">
        <v>6</v>
      </c>
      <c r="B169" s="1">
        <v>12</v>
      </c>
      <c r="C169" s="10">
        <v>0.48</v>
      </c>
      <c r="D169" s="5">
        <v>36</v>
      </c>
      <c r="E169" s="10">
        <f t="shared" si="2"/>
        <v>0.23750000000000013</v>
      </c>
      <c r="F169" s="5">
        <v>9870</v>
      </c>
      <c r="G169" s="5">
        <v>1040</v>
      </c>
      <c r="I169" s="53">
        <v>9870</v>
      </c>
      <c r="J169" s="54">
        <v>1040</v>
      </c>
      <c r="K169" s="6">
        <v>13960</v>
      </c>
      <c r="L169" s="6">
        <v>1410</v>
      </c>
      <c r="M169" s="52">
        <f t="shared" si="3"/>
        <v>-4460</v>
      </c>
      <c r="N169" s="6">
        <v>0.48</v>
      </c>
      <c r="O169" s="6">
        <v>36</v>
      </c>
      <c r="P169" s="55">
        <v>0.23749999999999999</v>
      </c>
      <c r="Q169" s="56">
        <f>C169-N169</f>
        <v>0</v>
      </c>
      <c r="R169" s="51">
        <f>D169-O169</f>
        <v>0</v>
      </c>
      <c r="S169" s="51">
        <f>E169-P169</f>
        <v>0</v>
      </c>
      <c r="T169" s="52"/>
      <c r="U169" s="6"/>
      <c r="V169" s="6"/>
    </row>
    <row r="170" spans="1:22" x14ac:dyDescent="0.15">
      <c r="A170" s="1">
        <v>6</v>
      </c>
      <c r="B170" s="1">
        <v>12</v>
      </c>
      <c r="C170" s="10">
        <v>0.48</v>
      </c>
      <c r="D170" s="5">
        <v>36</v>
      </c>
      <c r="E170" s="10">
        <f t="shared" si="2"/>
        <v>0.24250000000000013</v>
      </c>
      <c r="F170" s="5">
        <v>9100</v>
      </c>
      <c r="G170" s="5">
        <v>1030</v>
      </c>
      <c r="I170" s="53">
        <f>F170</f>
        <v>9100</v>
      </c>
      <c r="J170" s="54">
        <v>1030</v>
      </c>
      <c r="K170" s="6">
        <v>13920</v>
      </c>
      <c r="L170" s="6">
        <v>1450</v>
      </c>
      <c r="M170" s="52">
        <f t="shared" si="3"/>
        <v>-5240</v>
      </c>
      <c r="N170" s="6">
        <v>0.48</v>
      </c>
      <c r="O170" s="6">
        <v>36</v>
      </c>
      <c r="P170" s="55">
        <v>0.24249999999999999</v>
      </c>
      <c r="Q170" s="56">
        <f>C170-N170</f>
        <v>0</v>
      </c>
      <c r="R170" s="51">
        <f>D170-O170</f>
        <v>0</v>
      </c>
      <c r="S170" s="51">
        <f>E170-P170</f>
        <v>0</v>
      </c>
      <c r="T170" s="52"/>
      <c r="U170" s="6"/>
      <c r="V170" s="6"/>
    </row>
    <row r="171" spans="1:22" x14ac:dyDescent="0.15">
      <c r="A171" s="1">
        <v>6</v>
      </c>
      <c r="B171" s="1">
        <v>12</v>
      </c>
      <c r="C171" s="10">
        <v>0.48</v>
      </c>
      <c r="D171" s="5">
        <v>36</v>
      </c>
      <c r="E171" s="10">
        <f t="shared" si="2"/>
        <v>0.24750000000000014</v>
      </c>
      <c r="F171" s="5">
        <v>9870</v>
      </c>
      <c r="G171" s="5">
        <v>960</v>
      </c>
      <c r="I171" s="53">
        <v>9870</v>
      </c>
      <c r="J171" s="54">
        <v>960</v>
      </c>
      <c r="K171" s="6">
        <v>14660</v>
      </c>
      <c r="L171" s="6">
        <v>1520</v>
      </c>
      <c r="M171" s="52">
        <f t="shared" si="3"/>
        <v>-5350</v>
      </c>
      <c r="N171" s="6">
        <v>0.48</v>
      </c>
      <c r="O171" s="6">
        <v>36</v>
      </c>
      <c r="P171" s="55">
        <v>0.2475</v>
      </c>
      <c r="Q171" s="56">
        <f>C171-N171</f>
        <v>0</v>
      </c>
      <c r="R171" s="51">
        <f>D171-O171</f>
        <v>0</v>
      </c>
      <c r="S171" s="51">
        <f>E171-P171</f>
        <v>0</v>
      </c>
      <c r="T171" s="52"/>
      <c r="U171" s="6"/>
      <c r="V171" s="6"/>
    </row>
    <row r="172" spans="1:22" x14ac:dyDescent="0.15">
      <c r="A172" s="1">
        <v>6</v>
      </c>
      <c r="B172" s="1">
        <v>12</v>
      </c>
      <c r="C172" s="10">
        <v>0.48</v>
      </c>
      <c r="D172" s="5">
        <v>36</v>
      </c>
      <c r="E172" s="10">
        <f t="shared" si="2"/>
        <v>0.25250000000000011</v>
      </c>
      <c r="F172" s="5">
        <v>10450</v>
      </c>
      <c r="G172" s="5">
        <v>990</v>
      </c>
      <c r="I172" s="53">
        <v>10450</v>
      </c>
      <c r="J172" s="54">
        <v>990</v>
      </c>
      <c r="K172" s="6">
        <v>15660</v>
      </c>
      <c r="L172" s="6">
        <v>1610</v>
      </c>
      <c r="M172" s="52">
        <f t="shared" si="3"/>
        <v>-5830</v>
      </c>
      <c r="N172" s="6">
        <v>0.48</v>
      </c>
      <c r="O172" s="6">
        <v>36</v>
      </c>
      <c r="P172" s="55">
        <v>0.2525</v>
      </c>
      <c r="Q172" s="56">
        <f>C172-N172</f>
        <v>0</v>
      </c>
      <c r="R172" s="51">
        <f>D172-O172</f>
        <v>0</v>
      </c>
      <c r="S172" s="51">
        <f>E172-P172</f>
        <v>0</v>
      </c>
      <c r="T172" s="52"/>
      <c r="U172" s="6"/>
      <c r="V172" s="6"/>
    </row>
    <row r="173" spans="1:22" x14ac:dyDescent="0.15">
      <c r="A173" s="1">
        <v>6</v>
      </c>
      <c r="B173" s="1">
        <v>12</v>
      </c>
      <c r="C173" s="10">
        <v>0.48</v>
      </c>
      <c r="D173" s="5">
        <v>36</v>
      </c>
      <c r="E173" s="10">
        <f t="shared" si="2"/>
        <v>0.25750000000000012</v>
      </c>
      <c r="F173" s="5">
        <v>11760</v>
      </c>
      <c r="G173" s="5">
        <v>1130</v>
      </c>
      <c r="I173" s="53">
        <v>11760</v>
      </c>
      <c r="J173" s="54">
        <v>1130</v>
      </c>
      <c r="K173" s="6">
        <v>14070</v>
      </c>
      <c r="L173" s="6">
        <v>1610</v>
      </c>
      <c r="M173" s="52">
        <f t="shared" si="3"/>
        <v>-2790</v>
      </c>
      <c r="N173" s="6">
        <v>0.48</v>
      </c>
      <c r="O173" s="6">
        <v>36</v>
      </c>
      <c r="P173" s="55">
        <v>0.25750000000000001</v>
      </c>
      <c r="Q173" s="56">
        <f>C173-N173</f>
        <v>0</v>
      </c>
      <c r="R173" s="51">
        <f>D173-O173</f>
        <v>0</v>
      </c>
      <c r="S173" s="51">
        <f>E173-P173</f>
        <v>0</v>
      </c>
      <c r="T173" s="52"/>
      <c r="U173" s="6"/>
      <c r="V173" s="6"/>
    </row>
    <row r="174" spans="1:22" x14ac:dyDescent="0.15">
      <c r="A174" s="1">
        <v>6</v>
      </c>
      <c r="B174" s="1">
        <v>12</v>
      </c>
      <c r="C174" s="10">
        <v>0.48</v>
      </c>
      <c r="D174" s="5">
        <v>36</v>
      </c>
      <c r="E174" s="10">
        <f t="shared" si="2"/>
        <v>0.26250000000000012</v>
      </c>
      <c r="F174" s="5">
        <v>12070</v>
      </c>
      <c r="G174" s="5">
        <v>1170</v>
      </c>
      <c r="I174" s="53">
        <v>12070</v>
      </c>
      <c r="J174" s="54">
        <v>1170</v>
      </c>
      <c r="K174" s="6">
        <v>15270</v>
      </c>
      <c r="L174" s="6">
        <v>1710</v>
      </c>
      <c r="M174" s="52">
        <f t="shared" si="3"/>
        <v>-3740</v>
      </c>
      <c r="N174" s="6">
        <v>0.48</v>
      </c>
      <c r="O174" s="6">
        <v>36</v>
      </c>
      <c r="P174" s="55">
        <v>0.26250000000000001</v>
      </c>
      <c r="Q174" s="56">
        <f>C174-N174</f>
        <v>0</v>
      </c>
      <c r="R174" s="51">
        <f>D174-O174</f>
        <v>0</v>
      </c>
      <c r="S174" s="51">
        <f>E174-P174</f>
        <v>0</v>
      </c>
      <c r="T174" s="52"/>
      <c r="U174" s="6"/>
      <c r="V174" s="6"/>
    </row>
    <row r="175" spans="1:22" x14ac:dyDescent="0.15">
      <c r="A175" s="1">
        <v>6</v>
      </c>
      <c r="B175" s="1">
        <v>12</v>
      </c>
      <c r="C175" s="10">
        <v>0.48</v>
      </c>
      <c r="D175" s="5">
        <v>36</v>
      </c>
      <c r="E175" s="10">
        <f t="shared" si="2"/>
        <v>0.26750000000000013</v>
      </c>
      <c r="F175" s="5">
        <v>12000</v>
      </c>
      <c r="G175" s="5">
        <v>1190</v>
      </c>
      <c r="I175" s="53">
        <v>12000</v>
      </c>
      <c r="J175" s="54">
        <v>1190</v>
      </c>
      <c r="K175" s="6">
        <v>14210</v>
      </c>
      <c r="L175" s="6">
        <v>1740</v>
      </c>
      <c r="M175" s="52">
        <f t="shared" si="3"/>
        <v>-2760</v>
      </c>
      <c r="N175" s="6">
        <v>0.48</v>
      </c>
      <c r="O175" s="6">
        <v>36</v>
      </c>
      <c r="P175" s="55">
        <v>0.26750000000000002</v>
      </c>
      <c r="Q175" s="56">
        <f>C175-N175</f>
        <v>0</v>
      </c>
      <c r="R175" s="51">
        <f>D175-O175</f>
        <v>0</v>
      </c>
      <c r="S175" s="51">
        <f>E175-P175</f>
        <v>0</v>
      </c>
      <c r="T175" s="52"/>
      <c r="U175" s="6"/>
      <c r="V175" s="6"/>
    </row>
    <row r="176" spans="1:22" x14ac:dyDescent="0.15">
      <c r="A176" s="1">
        <v>6</v>
      </c>
      <c r="B176" s="1">
        <v>12</v>
      </c>
      <c r="C176" s="10">
        <v>0.48</v>
      </c>
      <c r="D176" s="5">
        <v>36</v>
      </c>
      <c r="E176" s="10">
        <f t="shared" si="2"/>
        <v>0.27250000000000013</v>
      </c>
      <c r="F176" s="5">
        <v>12410</v>
      </c>
      <c r="G176" s="5">
        <v>1240</v>
      </c>
      <c r="I176" s="53">
        <v>12410</v>
      </c>
      <c r="J176" s="54">
        <v>1240</v>
      </c>
      <c r="K176" s="6">
        <v>16380</v>
      </c>
      <c r="L176" s="6">
        <v>1980</v>
      </c>
      <c r="M176" s="52">
        <f t="shared" si="3"/>
        <v>-4710</v>
      </c>
      <c r="N176" s="6">
        <v>0.48</v>
      </c>
      <c r="O176" s="6">
        <v>36</v>
      </c>
      <c r="P176" s="55">
        <v>0.27250000000000002</v>
      </c>
      <c r="Q176" s="56">
        <f>C176-N176</f>
        <v>0</v>
      </c>
      <c r="R176" s="51">
        <f>D176-O176</f>
        <v>0</v>
      </c>
      <c r="S176" s="51">
        <f>E176-P176</f>
        <v>0</v>
      </c>
      <c r="T176" s="52"/>
      <c r="U176" s="6"/>
      <c r="V176" s="6"/>
    </row>
    <row r="177" spans="1:22" x14ac:dyDescent="0.15">
      <c r="A177" s="1">
        <v>6</v>
      </c>
      <c r="B177" s="1">
        <v>12</v>
      </c>
      <c r="C177" s="10">
        <v>0.48</v>
      </c>
      <c r="D177" s="5">
        <v>36</v>
      </c>
      <c r="E177" s="10">
        <f t="shared" si="2"/>
        <v>0.27750000000000014</v>
      </c>
      <c r="F177" s="5">
        <v>13280</v>
      </c>
      <c r="G177" s="5">
        <v>1300</v>
      </c>
      <c r="I177" s="53">
        <v>13280</v>
      </c>
      <c r="J177" s="54">
        <v>1300</v>
      </c>
      <c r="K177" s="6">
        <v>16540</v>
      </c>
      <c r="L177" s="6">
        <v>1970</v>
      </c>
      <c r="M177" s="52">
        <f t="shared" si="3"/>
        <v>-3930</v>
      </c>
      <c r="N177" s="6">
        <v>0.48</v>
      </c>
      <c r="O177" s="6">
        <v>36</v>
      </c>
      <c r="P177" s="55">
        <v>0.27750000000000002</v>
      </c>
      <c r="Q177" s="56">
        <f>C177-N177</f>
        <v>0</v>
      </c>
      <c r="R177" s="51">
        <f>D177-O177</f>
        <v>0</v>
      </c>
      <c r="S177" s="51">
        <f>E177-P177</f>
        <v>0</v>
      </c>
      <c r="T177" s="52"/>
      <c r="U177" s="6"/>
      <c r="V177" s="6"/>
    </row>
    <row r="178" spans="1:22" x14ac:dyDescent="0.15">
      <c r="A178" s="1">
        <v>6</v>
      </c>
      <c r="B178" s="1">
        <v>12</v>
      </c>
      <c r="C178" s="10">
        <v>0.48</v>
      </c>
      <c r="D178" s="5">
        <v>36</v>
      </c>
      <c r="E178" s="10">
        <f t="shared" si="2"/>
        <v>0.28250000000000014</v>
      </c>
      <c r="F178" s="5">
        <v>13460</v>
      </c>
      <c r="G178" s="5">
        <v>1350</v>
      </c>
      <c r="I178" s="53">
        <v>13460</v>
      </c>
      <c r="J178" s="54">
        <v>1350</v>
      </c>
      <c r="K178" s="6">
        <v>16230</v>
      </c>
      <c r="L178" s="6">
        <v>2040</v>
      </c>
      <c r="M178" s="52">
        <f t="shared" si="3"/>
        <v>-3460</v>
      </c>
      <c r="N178" s="6">
        <v>0.48</v>
      </c>
      <c r="O178" s="6">
        <v>36</v>
      </c>
      <c r="P178" s="55">
        <v>0.28249999999999997</v>
      </c>
      <c r="Q178" s="56">
        <f>C178-N178</f>
        <v>0</v>
      </c>
      <c r="R178" s="51">
        <f>D178-O178</f>
        <v>0</v>
      </c>
      <c r="S178" s="51">
        <f>E178-P178</f>
        <v>0</v>
      </c>
      <c r="T178" s="52"/>
      <c r="U178" s="6"/>
      <c r="V178" s="6"/>
    </row>
    <row r="179" spans="1:22" x14ac:dyDescent="0.15">
      <c r="A179" s="1">
        <v>6</v>
      </c>
      <c r="B179" s="1">
        <v>12</v>
      </c>
      <c r="C179" s="10">
        <v>0.48</v>
      </c>
      <c r="D179" s="5">
        <v>36</v>
      </c>
      <c r="E179" s="10">
        <f t="shared" si="2"/>
        <v>0.28750000000000014</v>
      </c>
      <c r="F179" s="5">
        <v>13960</v>
      </c>
      <c r="G179" s="5">
        <v>1410</v>
      </c>
      <c r="I179" s="53">
        <v>13960</v>
      </c>
      <c r="J179" s="54">
        <v>1410</v>
      </c>
      <c r="K179" s="6">
        <v>16310</v>
      </c>
      <c r="L179" s="6">
        <v>2140</v>
      </c>
      <c r="M179" s="52">
        <f t="shared" si="3"/>
        <v>-3080</v>
      </c>
      <c r="N179" s="6">
        <v>0.48</v>
      </c>
      <c r="O179" s="6">
        <v>36</v>
      </c>
      <c r="P179" s="55">
        <v>0.28749999999999998</v>
      </c>
      <c r="Q179" s="56">
        <f>C179-N179</f>
        <v>0</v>
      </c>
      <c r="R179" s="51">
        <f>D179-O179</f>
        <v>0</v>
      </c>
      <c r="S179" s="51">
        <f>E179-P179</f>
        <v>0</v>
      </c>
      <c r="T179" s="52"/>
      <c r="U179" s="6"/>
      <c r="V179" s="6"/>
    </row>
    <row r="180" spans="1:22" x14ac:dyDescent="0.15">
      <c r="A180" s="1">
        <v>6</v>
      </c>
      <c r="B180" s="1">
        <v>12</v>
      </c>
      <c r="C180" s="10">
        <v>0.48</v>
      </c>
      <c r="D180" s="5">
        <v>36</v>
      </c>
      <c r="E180" s="10">
        <f t="shared" si="2"/>
        <v>0.29250000000000015</v>
      </c>
      <c r="F180" s="5">
        <v>13920</v>
      </c>
      <c r="G180" s="5">
        <v>1450</v>
      </c>
      <c r="I180" s="53">
        <v>13920</v>
      </c>
      <c r="J180" s="54">
        <v>1450</v>
      </c>
      <c r="K180" s="6">
        <v>16800</v>
      </c>
      <c r="L180" s="6">
        <v>2260</v>
      </c>
      <c r="M180" s="52">
        <f t="shared" si="3"/>
        <v>-3690</v>
      </c>
      <c r="N180" s="6">
        <v>0.48</v>
      </c>
      <c r="O180" s="6">
        <v>36</v>
      </c>
      <c r="P180" s="55">
        <v>0.29249999999999998</v>
      </c>
      <c r="Q180" s="56">
        <f>C180-N180</f>
        <v>0</v>
      </c>
      <c r="R180" s="51">
        <f>D180-O180</f>
        <v>0</v>
      </c>
      <c r="S180" s="51">
        <f>E180-P180</f>
        <v>0</v>
      </c>
      <c r="T180" s="52"/>
      <c r="U180" s="6"/>
      <c r="V180" s="6"/>
    </row>
    <row r="181" spans="1:22" x14ac:dyDescent="0.15">
      <c r="A181" s="1">
        <v>6</v>
      </c>
      <c r="B181" s="1">
        <v>12</v>
      </c>
      <c r="C181" s="10">
        <v>0.48</v>
      </c>
      <c r="D181" s="5">
        <v>36</v>
      </c>
      <c r="E181" s="10">
        <f t="shared" si="2"/>
        <v>0.29750000000000015</v>
      </c>
      <c r="F181" s="5">
        <v>14660</v>
      </c>
      <c r="G181" s="5">
        <v>1520</v>
      </c>
      <c r="I181" s="53">
        <v>14660</v>
      </c>
      <c r="J181" s="54">
        <v>1520</v>
      </c>
      <c r="K181" s="6">
        <v>15240</v>
      </c>
      <c r="L181" s="6">
        <v>2240</v>
      </c>
      <c r="M181" s="52">
        <f t="shared" si="3"/>
        <v>-1300</v>
      </c>
      <c r="N181" s="6">
        <v>0.48</v>
      </c>
      <c r="O181" s="6">
        <v>36</v>
      </c>
      <c r="P181" s="55">
        <v>0.29749999999999999</v>
      </c>
      <c r="Q181" s="56">
        <f>C181-N181</f>
        <v>0</v>
      </c>
      <c r="R181" s="51">
        <f>D181-O181</f>
        <v>0</v>
      </c>
      <c r="S181" s="51">
        <f>E181-P181</f>
        <v>0</v>
      </c>
      <c r="T181" s="52"/>
      <c r="U181" s="6"/>
      <c r="V181" s="6"/>
    </row>
    <row r="182" spans="1:22" ht="14" thickBot="1" x14ac:dyDescent="0.2">
      <c r="A182" s="1">
        <v>6</v>
      </c>
      <c r="B182" s="1">
        <v>12</v>
      </c>
      <c r="C182" s="10">
        <v>0.48</v>
      </c>
      <c r="D182" s="5">
        <v>36</v>
      </c>
      <c r="E182" s="10">
        <f t="shared" si="2"/>
        <v>0.30250000000000016</v>
      </c>
      <c r="F182" s="5">
        <v>15660</v>
      </c>
      <c r="G182" s="5">
        <v>1610</v>
      </c>
      <c r="I182" s="53">
        <v>15660</v>
      </c>
      <c r="J182" s="54">
        <v>1610</v>
      </c>
      <c r="K182" s="6">
        <v>16810</v>
      </c>
      <c r="L182" s="6">
        <v>2420</v>
      </c>
      <c r="M182" s="52">
        <f t="shared" si="3"/>
        <v>-1960</v>
      </c>
      <c r="N182" s="6">
        <v>0.48</v>
      </c>
      <c r="O182" s="6">
        <v>36</v>
      </c>
      <c r="P182" s="57">
        <v>0.30249999999999999</v>
      </c>
      <c r="Q182" s="56">
        <f>C182-N182</f>
        <v>0</v>
      </c>
      <c r="R182" s="51">
        <f>D182-O182</f>
        <v>0</v>
      </c>
      <c r="S182" s="51">
        <f>E182-P182</f>
        <v>0</v>
      </c>
      <c r="T182" s="52"/>
      <c r="U182" s="6"/>
      <c r="V182" s="6"/>
    </row>
    <row r="183" spans="1:22" ht="14" thickTop="1" x14ac:dyDescent="0.15">
      <c r="A183" s="1">
        <v>6</v>
      </c>
      <c r="B183" s="1">
        <v>12</v>
      </c>
      <c r="C183" s="10">
        <v>0.48</v>
      </c>
      <c r="D183" s="5">
        <v>36</v>
      </c>
      <c r="E183" s="10">
        <f t="shared" si="2"/>
        <v>0.30750000000000016</v>
      </c>
      <c r="F183" s="5">
        <v>14070</v>
      </c>
      <c r="G183" s="5">
        <v>1610</v>
      </c>
      <c r="I183" s="53">
        <v>14070</v>
      </c>
      <c r="J183" s="54">
        <v>1610</v>
      </c>
      <c r="K183" s="6">
        <v>19220</v>
      </c>
      <c r="L183" s="6">
        <v>2720</v>
      </c>
      <c r="M183" s="52">
        <f t="shared" si="3"/>
        <v>-6260</v>
      </c>
      <c r="N183" s="6">
        <v>0.48</v>
      </c>
      <c r="O183" s="6">
        <v>36</v>
      </c>
      <c r="P183" s="55">
        <v>0.3075</v>
      </c>
      <c r="Q183" s="56">
        <f>C183-N183</f>
        <v>0</v>
      </c>
      <c r="R183" s="51">
        <f>D183-O183</f>
        <v>0</v>
      </c>
      <c r="S183" s="51">
        <f>E183-P183</f>
        <v>0</v>
      </c>
      <c r="T183" s="52"/>
      <c r="U183" s="6"/>
      <c r="V183" s="6"/>
    </row>
    <row r="184" spans="1:22" x14ac:dyDescent="0.15">
      <c r="A184" s="12">
        <v>6</v>
      </c>
      <c r="B184" s="12">
        <v>12</v>
      </c>
      <c r="C184" s="13">
        <v>0.4</v>
      </c>
      <c r="D184" s="14">
        <v>36</v>
      </c>
      <c r="E184" s="13">
        <v>1.2500000000000001E-2</v>
      </c>
      <c r="F184" s="14">
        <v>181000</v>
      </c>
      <c r="G184" s="14">
        <v>7550</v>
      </c>
      <c r="I184" s="40">
        <f>F184</f>
        <v>181000</v>
      </c>
      <c r="J184" s="40">
        <f>G184</f>
        <v>7550</v>
      </c>
      <c r="K184" s="12">
        <v>181000</v>
      </c>
      <c r="L184" s="12">
        <v>7550</v>
      </c>
      <c r="M184">
        <f t="shared" si="3"/>
        <v>0</v>
      </c>
      <c r="N184" s="12">
        <v>0.4</v>
      </c>
      <c r="O184" s="12">
        <v>36</v>
      </c>
      <c r="P184" s="24">
        <v>1.2500000000000001E-2</v>
      </c>
      <c r="Q184" s="31">
        <f>C184-N184</f>
        <v>0</v>
      </c>
      <c r="R184" s="41">
        <f>D184-O184</f>
        <v>0</v>
      </c>
      <c r="S184" s="41">
        <f>E184-P184</f>
        <v>0</v>
      </c>
    </row>
    <row r="185" spans="1:22" x14ac:dyDescent="0.15">
      <c r="A185" s="1">
        <v>6</v>
      </c>
      <c r="B185" s="1">
        <v>12</v>
      </c>
      <c r="C185" s="10">
        <v>0.4</v>
      </c>
      <c r="D185" s="5">
        <v>36</v>
      </c>
      <c r="E185" s="10">
        <v>1.7500000000000002E-2</v>
      </c>
      <c r="F185" s="5">
        <v>124500</v>
      </c>
      <c r="G185" s="5">
        <v>5700</v>
      </c>
      <c r="I185" s="40">
        <f t="shared" ref="I185:I248" si="4">F185</f>
        <v>124500</v>
      </c>
      <c r="J185" s="40">
        <f t="shared" ref="J185:J248" si="5">G185</f>
        <v>5700</v>
      </c>
      <c r="K185" s="1">
        <v>124500</v>
      </c>
      <c r="L185" s="1">
        <v>5700</v>
      </c>
      <c r="M185">
        <f t="shared" si="3"/>
        <v>0</v>
      </c>
      <c r="N185" s="1">
        <v>0.4</v>
      </c>
      <c r="O185" s="1">
        <v>36</v>
      </c>
      <c r="P185" s="24">
        <v>1.7500000000000002E-2</v>
      </c>
      <c r="Q185" s="31">
        <f>C185-N185</f>
        <v>0</v>
      </c>
      <c r="R185" s="41">
        <f>D185-O185</f>
        <v>0</v>
      </c>
      <c r="S185" s="41">
        <f>E185-P185</f>
        <v>0</v>
      </c>
    </row>
    <row r="186" spans="1:22" x14ac:dyDescent="0.15">
      <c r="A186" s="1">
        <v>6</v>
      </c>
      <c r="B186" s="1">
        <v>12</v>
      </c>
      <c r="C186" s="10">
        <v>0.4</v>
      </c>
      <c r="D186" s="5">
        <v>36</v>
      </c>
      <c r="E186" s="10">
        <v>2.2499999999999999E-2</v>
      </c>
      <c r="F186" s="5">
        <v>110900</v>
      </c>
      <c r="G186" s="5">
        <v>5260</v>
      </c>
      <c r="I186" s="40">
        <f t="shared" si="4"/>
        <v>110900</v>
      </c>
      <c r="J186" s="40">
        <f t="shared" si="5"/>
        <v>5260</v>
      </c>
      <c r="K186" s="1">
        <v>110900</v>
      </c>
      <c r="L186" s="1">
        <v>5260</v>
      </c>
      <c r="M186">
        <f t="shared" si="3"/>
        <v>0</v>
      </c>
      <c r="N186" s="1">
        <v>0.4</v>
      </c>
      <c r="O186" s="1">
        <v>36</v>
      </c>
      <c r="P186" s="24">
        <v>2.2499999999999999E-2</v>
      </c>
      <c r="Q186" s="31">
        <f>C186-N186</f>
        <v>0</v>
      </c>
      <c r="R186" s="41">
        <f>D186-O186</f>
        <v>0</v>
      </c>
      <c r="S186" s="41">
        <f>E186-P186</f>
        <v>0</v>
      </c>
    </row>
    <row r="187" spans="1:22" x14ac:dyDescent="0.15">
      <c r="A187" s="1">
        <v>6</v>
      </c>
      <c r="B187" s="1">
        <v>12</v>
      </c>
      <c r="C187" s="10">
        <v>0.4</v>
      </c>
      <c r="D187" s="5">
        <v>36</v>
      </c>
      <c r="E187" s="10">
        <v>2.75E-2</v>
      </c>
      <c r="F187" s="5">
        <v>125700</v>
      </c>
      <c r="G187" s="5">
        <v>5650</v>
      </c>
      <c r="I187" s="40">
        <f t="shared" si="4"/>
        <v>125700</v>
      </c>
      <c r="J187" s="40">
        <f t="shared" si="5"/>
        <v>5650</v>
      </c>
      <c r="K187" s="1">
        <v>125700</v>
      </c>
      <c r="L187" s="1">
        <v>5650</v>
      </c>
      <c r="M187">
        <f t="shared" si="3"/>
        <v>0</v>
      </c>
      <c r="N187" s="1">
        <v>0.4</v>
      </c>
      <c r="O187" s="1">
        <v>36</v>
      </c>
      <c r="P187" s="24">
        <v>2.75E-2</v>
      </c>
      <c r="Q187" s="31">
        <f>C187-N187</f>
        <v>0</v>
      </c>
      <c r="R187" s="41">
        <f>D187-O187</f>
        <v>0</v>
      </c>
      <c r="S187" s="41">
        <f>E187-P187</f>
        <v>0</v>
      </c>
    </row>
    <row r="188" spans="1:22" x14ac:dyDescent="0.15">
      <c r="A188" s="1">
        <v>6</v>
      </c>
      <c r="B188" s="1">
        <v>12</v>
      </c>
      <c r="C188" s="10">
        <v>0.4</v>
      </c>
      <c r="D188" s="5">
        <v>36</v>
      </c>
      <c r="E188" s="10">
        <v>3.2500000000000001E-2</v>
      </c>
      <c r="F188" s="5">
        <v>137900</v>
      </c>
      <c r="G188" s="5">
        <v>5990</v>
      </c>
      <c r="I188" s="40">
        <f t="shared" si="4"/>
        <v>137900</v>
      </c>
      <c r="J188" s="40">
        <f t="shared" si="5"/>
        <v>5990</v>
      </c>
      <c r="K188" s="1">
        <v>137900</v>
      </c>
      <c r="L188" s="1">
        <v>5990</v>
      </c>
      <c r="M188">
        <f t="shared" si="3"/>
        <v>0</v>
      </c>
      <c r="N188" s="1">
        <v>0.4</v>
      </c>
      <c r="O188" s="1">
        <v>36</v>
      </c>
      <c r="P188" s="24">
        <v>3.2500000000000001E-2</v>
      </c>
      <c r="Q188" s="31">
        <f>C188-N188</f>
        <v>0</v>
      </c>
      <c r="R188" s="41">
        <f>D188-O188</f>
        <v>0</v>
      </c>
      <c r="S188" s="41">
        <f>E188-P188</f>
        <v>0</v>
      </c>
    </row>
    <row r="189" spans="1:22" x14ac:dyDescent="0.15">
      <c r="A189" s="1">
        <v>6</v>
      </c>
      <c r="B189" s="1">
        <v>12</v>
      </c>
      <c r="C189" s="10">
        <v>0.4</v>
      </c>
      <c r="D189" s="5">
        <v>36</v>
      </c>
      <c r="E189" s="10">
        <v>3.7499999999999999E-2</v>
      </c>
      <c r="F189" s="5">
        <v>139800</v>
      </c>
      <c r="G189" s="5">
        <v>6060</v>
      </c>
      <c r="I189" s="40">
        <f t="shared" si="4"/>
        <v>139800</v>
      </c>
      <c r="J189" s="40">
        <f t="shared" si="5"/>
        <v>6060</v>
      </c>
      <c r="K189" s="1">
        <v>139800</v>
      </c>
      <c r="L189" s="1">
        <v>6060</v>
      </c>
      <c r="M189">
        <f t="shared" si="3"/>
        <v>0</v>
      </c>
      <c r="N189" s="1">
        <v>0.4</v>
      </c>
      <c r="O189" s="1">
        <v>36</v>
      </c>
      <c r="P189" s="24">
        <v>3.7499999999999999E-2</v>
      </c>
      <c r="Q189" s="31">
        <f>C189-N189</f>
        <v>0</v>
      </c>
      <c r="R189" s="41">
        <f>D189-O189</f>
        <v>0</v>
      </c>
      <c r="S189" s="41">
        <f>E189-P189</f>
        <v>0</v>
      </c>
    </row>
    <row r="190" spans="1:22" x14ac:dyDescent="0.15">
      <c r="A190" s="1">
        <v>6</v>
      </c>
      <c r="B190" s="1">
        <v>12</v>
      </c>
      <c r="C190" s="10">
        <v>0.4</v>
      </c>
      <c r="D190" s="5">
        <v>36</v>
      </c>
      <c r="E190" s="10">
        <v>4.2500000000000003E-2</v>
      </c>
      <c r="F190" s="5">
        <v>132400</v>
      </c>
      <c r="G190" s="5">
        <v>5870</v>
      </c>
      <c r="I190" s="40">
        <f t="shared" si="4"/>
        <v>132400</v>
      </c>
      <c r="J190" s="40">
        <f t="shared" si="5"/>
        <v>5870</v>
      </c>
      <c r="K190" s="1">
        <v>132400</v>
      </c>
      <c r="L190" s="1">
        <v>5870</v>
      </c>
      <c r="M190">
        <f t="shared" si="3"/>
        <v>0</v>
      </c>
      <c r="N190" s="1">
        <v>0.4</v>
      </c>
      <c r="O190" s="1">
        <v>36</v>
      </c>
      <c r="P190" s="24">
        <v>4.2500000000000003E-2</v>
      </c>
      <c r="Q190" s="31">
        <f>C190-N190</f>
        <v>0</v>
      </c>
      <c r="R190" s="41">
        <f>D190-O190</f>
        <v>0</v>
      </c>
      <c r="S190" s="41">
        <f>E190-P190</f>
        <v>0</v>
      </c>
    </row>
    <row r="191" spans="1:22" x14ac:dyDescent="0.15">
      <c r="A191" s="1">
        <v>6</v>
      </c>
      <c r="B191" s="1">
        <v>12</v>
      </c>
      <c r="C191" s="10">
        <v>0.4</v>
      </c>
      <c r="D191" s="5">
        <v>36</v>
      </c>
      <c r="E191" s="10">
        <v>4.7500000000000001E-2</v>
      </c>
      <c r="F191" s="5">
        <v>134200</v>
      </c>
      <c r="G191" s="5">
        <v>5510</v>
      </c>
      <c r="I191" s="40">
        <f t="shared" si="4"/>
        <v>134200</v>
      </c>
      <c r="J191" s="40">
        <f t="shared" si="5"/>
        <v>5510</v>
      </c>
      <c r="K191" s="1">
        <v>134200</v>
      </c>
      <c r="L191" s="1">
        <v>5510</v>
      </c>
      <c r="M191">
        <f t="shared" si="3"/>
        <v>0</v>
      </c>
      <c r="N191" s="1">
        <v>0.4</v>
      </c>
      <c r="O191" s="1">
        <v>36</v>
      </c>
      <c r="P191" s="24">
        <v>4.7500000000000001E-2</v>
      </c>
      <c r="Q191" s="31">
        <f>C191-N191</f>
        <v>0</v>
      </c>
      <c r="R191" s="41">
        <f>D191-O191</f>
        <v>0</v>
      </c>
      <c r="S191" s="41">
        <f>E191-P191</f>
        <v>0</v>
      </c>
    </row>
    <row r="192" spans="1:22" x14ac:dyDescent="0.15">
      <c r="A192" s="1">
        <v>6</v>
      </c>
      <c r="B192" s="1">
        <v>12</v>
      </c>
      <c r="C192" s="10">
        <v>0.4</v>
      </c>
      <c r="D192" s="5">
        <v>36</v>
      </c>
      <c r="E192" s="10">
        <v>5.2499999999999998E-2</v>
      </c>
      <c r="F192" s="5">
        <v>129900</v>
      </c>
      <c r="G192" s="5">
        <v>5400</v>
      </c>
      <c r="I192" s="40">
        <f t="shared" si="4"/>
        <v>129900</v>
      </c>
      <c r="J192" s="40">
        <f t="shared" si="5"/>
        <v>5400</v>
      </c>
      <c r="K192" s="1">
        <v>129900</v>
      </c>
      <c r="L192" s="1">
        <v>5400</v>
      </c>
      <c r="M192">
        <f t="shared" si="3"/>
        <v>0</v>
      </c>
      <c r="N192" s="1">
        <v>0.4</v>
      </c>
      <c r="O192" s="1">
        <v>36</v>
      </c>
      <c r="P192" s="24">
        <v>5.2499999999999998E-2</v>
      </c>
      <c r="Q192" s="31">
        <f>C192-N192</f>
        <v>0</v>
      </c>
      <c r="R192" s="41">
        <f>D192-O192</f>
        <v>0</v>
      </c>
      <c r="S192" s="41">
        <f>E192-P192</f>
        <v>0</v>
      </c>
    </row>
    <row r="193" spans="1:23" x14ac:dyDescent="0.15">
      <c r="A193" s="1">
        <v>6</v>
      </c>
      <c r="B193" s="1">
        <v>12</v>
      </c>
      <c r="C193" s="10">
        <v>0.4</v>
      </c>
      <c r="D193" s="5">
        <v>36</v>
      </c>
      <c r="E193" s="10">
        <v>5.7500000000000002E-2</v>
      </c>
      <c r="F193" s="5">
        <v>122900</v>
      </c>
      <c r="G193" s="5">
        <v>5190</v>
      </c>
      <c r="I193" s="40">
        <f t="shared" si="4"/>
        <v>122900</v>
      </c>
      <c r="J193" s="40">
        <f t="shared" si="5"/>
        <v>5190</v>
      </c>
      <c r="K193" s="1">
        <v>122900</v>
      </c>
      <c r="L193" s="1">
        <v>5190</v>
      </c>
      <c r="M193">
        <f t="shared" si="3"/>
        <v>0</v>
      </c>
      <c r="N193" s="1">
        <v>0.4</v>
      </c>
      <c r="O193" s="1">
        <v>36</v>
      </c>
      <c r="P193" s="24">
        <v>5.7500000000000002E-2</v>
      </c>
      <c r="Q193" s="31">
        <f>C193-N193</f>
        <v>0</v>
      </c>
      <c r="R193" s="41">
        <f>D193-O193</f>
        <v>0</v>
      </c>
      <c r="S193" s="41">
        <f>E193-P193</f>
        <v>0</v>
      </c>
    </row>
    <row r="194" spans="1:23" s="15" customFormat="1" x14ac:dyDescent="0.15">
      <c r="A194" s="1">
        <v>6</v>
      </c>
      <c r="B194" s="1">
        <v>12</v>
      </c>
      <c r="C194" s="10">
        <v>0.4</v>
      </c>
      <c r="D194" s="5">
        <v>36</v>
      </c>
      <c r="E194" s="10">
        <v>6.25E-2</v>
      </c>
      <c r="F194" s="5">
        <v>115400</v>
      </c>
      <c r="G194" s="5">
        <v>4980</v>
      </c>
      <c r="H194" s="12"/>
      <c r="I194" s="40">
        <f t="shared" si="4"/>
        <v>115400</v>
      </c>
      <c r="J194" s="40">
        <f t="shared" si="5"/>
        <v>4980</v>
      </c>
      <c r="K194" s="1">
        <v>115400</v>
      </c>
      <c r="L194" s="1">
        <v>4980</v>
      </c>
      <c r="M194">
        <f t="shared" si="3"/>
        <v>0</v>
      </c>
      <c r="N194" s="1">
        <v>0.4</v>
      </c>
      <c r="O194" s="1">
        <v>36</v>
      </c>
      <c r="P194" s="24">
        <v>6.25E-2</v>
      </c>
      <c r="Q194" s="31">
        <f>C194-N194</f>
        <v>0</v>
      </c>
      <c r="R194" s="41">
        <f>D194-O194</f>
        <v>0</v>
      </c>
      <c r="S194" s="41">
        <f>E194-P194</f>
        <v>0</v>
      </c>
      <c r="U194" s="12"/>
      <c r="V194" s="12"/>
      <c r="W194" s="12"/>
    </row>
    <row r="195" spans="1:23" x14ac:dyDescent="0.15">
      <c r="A195" s="1">
        <v>6</v>
      </c>
      <c r="B195" s="1">
        <v>12</v>
      </c>
      <c r="C195" s="10">
        <v>0.4</v>
      </c>
      <c r="D195" s="5">
        <v>36</v>
      </c>
      <c r="E195" s="10">
        <v>6.7500000000000004E-2</v>
      </c>
      <c r="F195" s="5">
        <v>96580</v>
      </c>
      <c r="G195" s="5">
        <v>4440</v>
      </c>
      <c r="I195" s="40">
        <f t="shared" si="4"/>
        <v>96580</v>
      </c>
      <c r="J195" s="40">
        <f t="shared" si="5"/>
        <v>4440</v>
      </c>
      <c r="K195" s="1">
        <v>96580</v>
      </c>
      <c r="L195" s="1">
        <v>4440</v>
      </c>
      <c r="M195">
        <f t="shared" ref="M195:M258" si="6">I195+J195-K195-L195</f>
        <v>0</v>
      </c>
      <c r="N195" s="1">
        <v>0.4</v>
      </c>
      <c r="O195" s="1">
        <v>36</v>
      </c>
      <c r="P195" s="24">
        <v>6.7500000000000004E-2</v>
      </c>
      <c r="Q195" s="31">
        <f>C195-N195</f>
        <v>0</v>
      </c>
      <c r="R195" s="41">
        <f>D195-O195</f>
        <v>0</v>
      </c>
      <c r="S195" s="41">
        <f>E195-P195</f>
        <v>0</v>
      </c>
    </row>
    <row r="196" spans="1:23" x14ac:dyDescent="0.15">
      <c r="A196" s="1">
        <v>6</v>
      </c>
      <c r="B196" s="1">
        <v>12</v>
      </c>
      <c r="C196" s="10">
        <v>0.4</v>
      </c>
      <c r="D196" s="5">
        <v>36</v>
      </c>
      <c r="E196" s="10">
        <v>7.2499999999999995E-2</v>
      </c>
      <c r="F196" s="5">
        <v>89120</v>
      </c>
      <c r="G196" s="5">
        <v>4220</v>
      </c>
      <c r="I196" s="40">
        <f t="shared" si="4"/>
        <v>89120</v>
      </c>
      <c r="J196" s="40">
        <f t="shared" si="5"/>
        <v>4220</v>
      </c>
      <c r="K196" s="1">
        <v>89120</v>
      </c>
      <c r="L196" s="1">
        <v>4220</v>
      </c>
      <c r="M196">
        <f t="shared" si="6"/>
        <v>0</v>
      </c>
      <c r="N196" s="1">
        <v>0.4</v>
      </c>
      <c r="O196" s="1">
        <v>36</v>
      </c>
      <c r="P196" s="24">
        <v>7.2499999999999995E-2</v>
      </c>
      <c r="Q196" s="31">
        <f>C196-N196</f>
        <v>0</v>
      </c>
      <c r="R196" s="41">
        <f>D196-O196</f>
        <v>0</v>
      </c>
      <c r="S196" s="41">
        <f>E196-P196</f>
        <v>0</v>
      </c>
    </row>
    <row r="197" spans="1:23" x14ac:dyDescent="0.15">
      <c r="A197" s="1">
        <v>6</v>
      </c>
      <c r="B197" s="1">
        <v>12</v>
      </c>
      <c r="C197" s="10">
        <v>0.4</v>
      </c>
      <c r="D197" s="5">
        <v>36</v>
      </c>
      <c r="E197" s="10">
        <v>7.7499999999999999E-2</v>
      </c>
      <c r="F197" s="5">
        <v>77230</v>
      </c>
      <c r="G197" s="5">
        <v>3850</v>
      </c>
      <c r="I197" s="40">
        <f t="shared" si="4"/>
        <v>77230</v>
      </c>
      <c r="J197" s="40">
        <f t="shared" si="5"/>
        <v>3850</v>
      </c>
      <c r="K197" s="1">
        <v>77230</v>
      </c>
      <c r="L197" s="1">
        <v>3850</v>
      </c>
      <c r="M197">
        <f t="shared" si="6"/>
        <v>0</v>
      </c>
      <c r="N197" s="1">
        <v>0.4</v>
      </c>
      <c r="O197" s="1">
        <v>36</v>
      </c>
      <c r="P197" s="24">
        <v>7.7499999999999999E-2</v>
      </c>
      <c r="Q197" s="31">
        <f>C197-N197</f>
        <v>0</v>
      </c>
      <c r="R197" s="41">
        <f>D197-O197</f>
        <v>0</v>
      </c>
      <c r="S197" s="41">
        <f>E197-P197</f>
        <v>0</v>
      </c>
    </row>
    <row r="198" spans="1:23" x14ac:dyDescent="0.15">
      <c r="A198" s="1">
        <v>6</v>
      </c>
      <c r="B198" s="1">
        <v>12</v>
      </c>
      <c r="C198" s="10">
        <v>0.4</v>
      </c>
      <c r="D198" s="5">
        <v>36</v>
      </c>
      <c r="E198" s="10">
        <v>8.2500000000000004E-2</v>
      </c>
      <c r="F198" s="5">
        <v>63340</v>
      </c>
      <c r="G198" s="5">
        <v>3430</v>
      </c>
      <c r="I198" s="40">
        <f t="shared" si="4"/>
        <v>63340</v>
      </c>
      <c r="J198" s="40">
        <f t="shared" si="5"/>
        <v>3430</v>
      </c>
      <c r="K198" s="1">
        <v>63340</v>
      </c>
      <c r="L198" s="1">
        <v>3430</v>
      </c>
      <c r="M198">
        <f t="shared" si="6"/>
        <v>0</v>
      </c>
      <c r="N198" s="1">
        <v>0.4</v>
      </c>
      <c r="O198" s="1">
        <v>36</v>
      </c>
      <c r="P198" s="24">
        <v>8.2500000000000004E-2</v>
      </c>
      <c r="Q198" s="31">
        <f>C198-N198</f>
        <v>0</v>
      </c>
      <c r="R198" s="41">
        <f>D198-O198</f>
        <v>0</v>
      </c>
      <c r="S198" s="41">
        <f>E198-P198</f>
        <v>0</v>
      </c>
    </row>
    <row r="199" spans="1:23" x14ac:dyDescent="0.15">
      <c r="A199" s="1">
        <v>6</v>
      </c>
      <c r="B199" s="1">
        <v>12</v>
      </c>
      <c r="C199" s="10">
        <v>0.4</v>
      </c>
      <c r="D199" s="5">
        <v>36</v>
      </c>
      <c r="E199" s="10">
        <v>8.7499999999999994E-2</v>
      </c>
      <c r="F199" s="5">
        <v>56660</v>
      </c>
      <c r="G199" s="5">
        <v>3210</v>
      </c>
      <c r="I199" s="40">
        <f t="shared" si="4"/>
        <v>56660</v>
      </c>
      <c r="J199" s="40">
        <f t="shared" si="5"/>
        <v>3210</v>
      </c>
      <c r="K199" s="1">
        <v>56660</v>
      </c>
      <c r="L199" s="1">
        <v>3210</v>
      </c>
      <c r="M199">
        <f t="shared" si="6"/>
        <v>0</v>
      </c>
      <c r="N199" s="1">
        <v>0.4</v>
      </c>
      <c r="O199" s="1">
        <v>36</v>
      </c>
      <c r="P199" s="24">
        <v>8.7499999999999994E-2</v>
      </c>
      <c r="Q199" s="31">
        <f>C199-N199</f>
        <v>0</v>
      </c>
      <c r="R199" s="41">
        <f>D199-O199</f>
        <v>0</v>
      </c>
      <c r="S199" s="41">
        <f>E199-P199</f>
        <v>0</v>
      </c>
    </row>
    <row r="200" spans="1:23" x14ac:dyDescent="0.15">
      <c r="A200" s="1">
        <v>6</v>
      </c>
      <c r="B200" s="1">
        <v>12</v>
      </c>
      <c r="C200" s="10">
        <v>0.4</v>
      </c>
      <c r="D200" s="5">
        <v>36</v>
      </c>
      <c r="E200" s="10">
        <v>9.2499999999999999E-2</v>
      </c>
      <c r="F200" s="5">
        <v>48490</v>
      </c>
      <c r="G200" s="5">
        <v>2950</v>
      </c>
      <c r="I200" s="40">
        <f t="shared" si="4"/>
        <v>48490</v>
      </c>
      <c r="J200" s="40">
        <f t="shared" si="5"/>
        <v>2950</v>
      </c>
      <c r="K200" s="1">
        <v>48490</v>
      </c>
      <c r="L200" s="1">
        <v>2950</v>
      </c>
      <c r="M200">
        <f t="shared" si="6"/>
        <v>0</v>
      </c>
      <c r="N200" s="1">
        <v>0.4</v>
      </c>
      <c r="O200" s="1">
        <v>36</v>
      </c>
      <c r="P200" s="24">
        <v>9.2499999999999999E-2</v>
      </c>
      <c r="Q200" s="31">
        <f>C200-N200</f>
        <v>0</v>
      </c>
      <c r="R200" s="41">
        <f>D200-O200</f>
        <v>0</v>
      </c>
      <c r="S200" s="41">
        <f>E200-P200</f>
        <v>0</v>
      </c>
    </row>
    <row r="201" spans="1:23" x14ac:dyDescent="0.15">
      <c r="A201" s="1">
        <v>6</v>
      </c>
      <c r="B201" s="1">
        <v>12</v>
      </c>
      <c r="C201" s="10">
        <v>0.4</v>
      </c>
      <c r="D201" s="5">
        <v>36</v>
      </c>
      <c r="E201" s="10">
        <v>9.7500000000000003E-2</v>
      </c>
      <c r="F201" s="5">
        <v>41300</v>
      </c>
      <c r="G201" s="5">
        <v>2720</v>
      </c>
      <c r="I201" s="40">
        <f t="shared" si="4"/>
        <v>41300</v>
      </c>
      <c r="J201" s="40">
        <f t="shared" si="5"/>
        <v>2720</v>
      </c>
      <c r="K201" s="1">
        <v>41300</v>
      </c>
      <c r="L201" s="1">
        <v>2720</v>
      </c>
      <c r="M201">
        <f t="shared" si="6"/>
        <v>0</v>
      </c>
      <c r="N201" s="1">
        <v>0.4</v>
      </c>
      <c r="O201" s="1">
        <v>36</v>
      </c>
      <c r="P201" s="24">
        <v>9.7500000000000003E-2</v>
      </c>
      <c r="Q201" s="31">
        <f>C201-N201</f>
        <v>0</v>
      </c>
      <c r="R201" s="41">
        <f>D201-O201</f>
        <v>0</v>
      </c>
      <c r="S201" s="41">
        <f>E201-P201</f>
        <v>0</v>
      </c>
    </row>
    <row r="202" spans="1:23" x14ac:dyDescent="0.15">
      <c r="A202" s="1">
        <v>6</v>
      </c>
      <c r="B202" s="1">
        <v>12</v>
      </c>
      <c r="C202" s="10">
        <v>0.4</v>
      </c>
      <c r="D202" s="5">
        <v>36</v>
      </c>
      <c r="E202" s="10">
        <v>0.10249999999999999</v>
      </c>
      <c r="F202" s="5">
        <v>34030</v>
      </c>
      <c r="G202" s="5">
        <v>2490</v>
      </c>
      <c r="I202" s="40">
        <f t="shared" si="4"/>
        <v>34030</v>
      </c>
      <c r="J202" s="40">
        <f t="shared" si="5"/>
        <v>2490</v>
      </c>
      <c r="K202" s="1">
        <v>34030</v>
      </c>
      <c r="L202" s="1">
        <v>2490</v>
      </c>
      <c r="M202">
        <f t="shared" si="6"/>
        <v>0</v>
      </c>
      <c r="N202" s="1">
        <v>0.4</v>
      </c>
      <c r="O202" s="1">
        <v>36</v>
      </c>
      <c r="P202" s="24">
        <v>0.10249999999999999</v>
      </c>
      <c r="Q202" s="31">
        <f>C202-N202</f>
        <v>0</v>
      </c>
      <c r="R202" s="41">
        <f>D202-O202</f>
        <v>0</v>
      </c>
      <c r="S202" s="41">
        <f>E202-P202</f>
        <v>0</v>
      </c>
    </row>
    <row r="203" spans="1:23" x14ac:dyDescent="0.15">
      <c r="A203" s="1">
        <v>6</v>
      </c>
      <c r="B203" s="1">
        <v>12</v>
      </c>
      <c r="C203" s="10">
        <v>0.4</v>
      </c>
      <c r="D203" s="5">
        <v>36</v>
      </c>
      <c r="E203" s="10">
        <v>0.1075</v>
      </c>
      <c r="F203" s="5">
        <v>30360</v>
      </c>
      <c r="G203" s="5">
        <v>2370</v>
      </c>
      <c r="I203" s="40">
        <f t="shared" si="4"/>
        <v>30360</v>
      </c>
      <c r="J203" s="40">
        <f t="shared" si="5"/>
        <v>2370</v>
      </c>
      <c r="K203" s="1">
        <v>30360</v>
      </c>
      <c r="L203" s="1">
        <v>2370</v>
      </c>
      <c r="M203">
        <f t="shared" si="6"/>
        <v>0</v>
      </c>
      <c r="N203" s="1">
        <v>0.4</v>
      </c>
      <c r="O203" s="1">
        <v>36</v>
      </c>
      <c r="P203" s="24">
        <v>0.1075</v>
      </c>
      <c r="Q203" s="31">
        <f>C203-N203</f>
        <v>0</v>
      </c>
      <c r="R203" s="41">
        <f>D203-O203</f>
        <v>0</v>
      </c>
      <c r="S203" s="41">
        <f>E203-P203</f>
        <v>0</v>
      </c>
    </row>
    <row r="204" spans="1:23" x14ac:dyDescent="0.15">
      <c r="A204" s="1">
        <v>6</v>
      </c>
      <c r="B204" s="1">
        <v>12</v>
      </c>
      <c r="C204" s="10">
        <v>0.4</v>
      </c>
      <c r="D204" s="5">
        <v>36</v>
      </c>
      <c r="E204" s="10">
        <v>0.1125</v>
      </c>
      <c r="F204" s="5">
        <v>24060</v>
      </c>
      <c r="G204" s="5">
        <v>2170</v>
      </c>
      <c r="I204" s="40">
        <f t="shared" si="4"/>
        <v>24060</v>
      </c>
      <c r="J204" s="40">
        <f t="shared" si="5"/>
        <v>2170</v>
      </c>
      <c r="K204" s="1">
        <v>24060</v>
      </c>
      <c r="L204" s="1">
        <v>2170</v>
      </c>
      <c r="M204">
        <f t="shared" si="6"/>
        <v>0</v>
      </c>
      <c r="N204" s="1">
        <v>0.4</v>
      </c>
      <c r="O204" s="1">
        <v>36</v>
      </c>
      <c r="P204" s="24">
        <v>0.1125</v>
      </c>
      <c r="Q204" s="31">
        <f>C204-N204</f>
        <v>0</v>
      </c>
      <c r="R204" s="41">
        <f>D204-O204</f>
        <v>0</v>
      </c>
      <c r="S204" s="41">
        <f>E204-P204</f>
        <v>0</v>
      </c>
    </row>
    <row r="205" spans="1:23" x14ac:dyDescent="0.15">
      <c r="A205" s="1">
        <v>6</v>
      </c>
      <c r="B205" s="1">
        <v>12</v>
      </c>
      <c r="C205" s="10">
        <v>0.4</v>
      </c>
      <c r="D205" s="5">
        <v>36</v>
      </c>
      <c r="E205" s="10">
        <v>0.11749999999999999</v>
      </c>
      <c r="F205" s="5">
        <v>21810</v>
      </c>
      <c r="G205" s="5">
        <v>1970</v>
      </c>
      <c r="I205" s="40">
        <f t="shared" si="4"/>
        <v>21810</v>
      </c>
      <c r="J205" s="40">
        <f t="shared" si="5"/>
        <v>1970</v>
      </c>
      <c r="K205" s="1">
        <v>21810</v>
      </c>
      <c r="L205" s="1">
        <v>1970</v>
      </c>
      <c r="M205">
        <f t="shared" si="6"/>
        <v>0</v>
      </c>
      <c r="N205" s="1">
        <v>0.4</v>
      </c>
      <c r="O205" s="1">
        <v>36</v>
      </c>
      <c r="P205" s="24">
        <v>0.11749999999999999</v>
      </c>
      <c r="Q205" s="31">
        <f>C205-N205</f>
        <v>0</v>
      </c>
      <c r="R205" s="41">
        <f>D205-O205</f>
        <v>0</v>
      </c>
      <c r="S205" s="41">
        <f>E205-P205</f>
        <v>0</v>
      </c>
    </row>
    <row r="206" spans="1:23" x14ac:dyDescent="0.15">
      <c r="A206" s="1">
        <v>6</v>
      </c>
      <c r="B206" s="1">
        <v>12</v>
      </c>
      <c r="C206" s="10">
        <v>0.4</v>
      </c>
      <c r="D206" s="5">
        <v>36</v>
      </c>
      <c r="E206" s="10">
        <v>0.1225</v>
      </c>
      <c r="F206" s="5">
        <v>19590</v>
      </c>
      <c r="G206" s="5">
        <v>2060</v>
      </c>
      <c r="I206" s="40">
        <f t="shared" si="4"/>
        <v>19590</v>
      </c>
      <c r="J206" s="40">
        <f t="shared" si="5"/>
        <v>2060</v>
      </c>
      <c r="K206" s="1">
        <v>19590</v>
      </c>
      <c r="L206" s="1">
        <v>2060</v>
      </c>
      <c r="M206">
        <f t="shared" si="6"/>
        <v>0</v>
      </c>
      <c r="N206" s="1">
        <v>0.4</v>
      </c>
      <c r="O206" s="1">
        <v>36</v>
      </c>
      <c r="P206" s="24">
        <v>0.1225</v>
      </c>
      <c r="Q206" s="31">
        <f>C206-N206</f>
        <v>0</v>
      </c>
      <c r="R206" s="41">
        <f>D206-O206</f>
        <v>0</v>
      </c>
      <c r="S206" s="41">
        <f>E206-P206</f>
        <v>0</v>
      </c>
    </row>
    <row r="207" spans="1:23" x14ac:dyDescent="0.15">
      <c r="A207" s="1">
        <v>6</v>
      </c>
      <c r="B207" s="1">
        <v>12</v>
      </c>
      <c r="C207" s="10">
        <v>0.4</v>
      </c>
      <c r="D207" s="5">
        <v>36</v>
      </c>
      <c r="E207" s="10">
        <v>0.1275</v>
      </c>
      <c r="F207" s="5">
        <v>16400</v>
      </c>
      <c r="G207" s="5">
        <v>1960</v>
      </c>
      <c r="I207" s="40">
        <f t="shared" si="4"/>
        <v>16400</v>
      </c>
      <c r="J207" s="40">
        <f t="shared" si="5"/>
        <v>1960</v>
      </c>
      <c r="K207" s="1">
        <v>16400</v>
      </c>
      <c r="L207" s="1">
        <v>1960</v>
      </c>
      <c r="M207">
        <f t="shared" si="6"/>
        <v>0</v>
      </c>
      <c r="N207" s="1">
        <v>0.4</v>
      </c>
      <c r="O207" s="1">
        <v>36</v>
      </c>
      <c r="P207" s="24">
        <v>0.1275</v>
      </c>
      <c r="Q207" s="31">
        <f>C207-N207</f>
        <v>0</v>
      </c>
      <c r="R207" s="41">
        <f>D207-O207</f>
        <v>0</v>
      </c>
      <c r="S207" s="41">
        <f>E207-P207</f>
        <v>0</v>
      </c>
    </row>
    <row r="208" spans="1:23" x14ac:dyDescent="0.15">
      <c r="A208" s="1">
        <v>6</v>
      </c>
      <c r="B208" s="1">
        <v>12</v>
      </c>
      <c r="C208" s="10">
        <v>0.4</v>
      </c>
      <c r="D208" s="5">
        <v>36</v>
      </c>
      <c r="E208" s="10">
        <v>0.13250000000000001</v>
      </c>
      <c r="F208" s="5">
        <v>15700</v>
      </c>
      <c r="G208" s="5">
        <v>1960</v>
      </c>
      <c r="I208" s="40">
        <f t="shared" si="4"/>
        <v>15700</v>
      </c>
      <c r="J208" s="40">
        <f t="shared" si="5"/>
        <v>1960</v>
      </c>
      <c r="K208" s="1">
        <v>15700</v>
      </c>
      <c r="L208" s="1">
        <v>1960</v>
      </c>
      <c r="M208">
        <f t="shared" si="6"/>
        <v>0</v>
      </c>
      <c r="N208" s="1">
        <v>0.4</v>
      </c>
      <c r="O208" s="1">
        <v>36</v>
      </c>
      <c r="P208" s="24">
        <v>0.13250000000000001</v>
      </c>
      <c r="Q208" s="31">
        <f>C208-N208</f>
        <v>0</v>
      </c>
      <c r="R208" s="41">
        <f>D208-O208</f>
        <v>0</v>
      </c>
      <c r="S208" s="41">
        <f>E208-P208</f>
        <v>0</v>
      </c>
    </row>
    <row r="209" spans="1:23" x14ac:dyDescent="0.15">
      <c r="A209" s="1">
        <v>6</v>
      </c>
      <c r="B209" s="1">
        <v>12</v>
      </c>
      <c r="C209" s="10">
        <v>0.4</v>
      </c>
      <c r="D209" s="5">
        <v>36</v>
      </c>
      <c r="E209" s="10">
        <v>0.13750000000000001</v>
      </c>
      <c r="F209" s="5">
        <v>13260</v>
      </c>
      <c r="G209" s="5">
        <v>1900</v>
      </c>
      <c r="I209" s="40">
        <f t="shared" si="4"/>
        <v>13260</v>
      </c>
      <c r="J209" s="40">
        <f t="shared" si="5"/>
        <v>1900</v>
      </c>
      <c r="K209" s="1">
        <v>13260</v>
      </c>
      <c r="L209" s="1">
        <v>1900</v>
      </c>
      <c r="M209">
        <f t="shared" si="6"/>
        <v>0</v>
      </c>
      <c r="N209" s="1">
        <v>0.4</v>
      </c>
      <c r="O209" s="1">
        <v>36</v>
      </c>
      <c r="P209" s="24">
        <v>0.13750000000000001</v>
      </c>
      <c r="Q209" s="31">
        <f>C209-N209</f>
        <v>0</v>
      </c>
      <c r="R209" s="41">
        <f>D209-O209</f>
        <v>0</v>
      </c>
      <c r="S209" s="41">
        <f>E209-P209</f>
        <v>0</v>
      </c>
    </row>
    <row r="210" spans="1:23" x14ac:dyDescent="0.15">
      <c r="A210" s="1">
        <v>6</v>
      </c>
      <c r="B210" s="1">
        <v>12</v>
      </c>
      <c r="C210" s="10">
        <v>0.4</v>
      </c>
      <c r="D210" s="5">
        <v>36</v>
      </c>
      <c r="E210" s="10">
        <v>0.14249999999999999</v>
      </c>
      <c r="F210" s="5">
        <v>12450</v>
      </c>
      <c r="G210" s="5">
        <v>1900</v>
      </c>
      <c r="I210" s="40">
        <f t="shared" si="4"/>
        <v>12450</v>
      </c>
      <c r="J210" s="40">
        <f t="shared" si="5"/>
        <v>1900</v>
      </c>
      <c r="K210" s="1">
        <v>12450</v>
      </c>
      <c r="L210" s="1">
        <v>1900</v>
      </c>
      <c r="M210">
        <f t="shared" si="6"/>
        <v>0</v>
      </c>
      <c r="N210" s="1">
        <v>0.4</v>
      </c>
      <c r="O210" s="1">
        <v>36</v>
      </c>
      <c r="P210" s="24">
        <v>0.14249999999999999</v>
      </c>
      <c r="Q210" s="31">
        <f>C210-N210</f>
        <v>0</v>
      </c>
      <c r="R210" s="41">
        <f>D210-O210</f>
        <v>0</v>
      </c>
      <c r="S210" s="41">
        <f>E210-P210</f>
        <v>0</v>
      </c>
    </row>
    <row r="211" spans="1:23" x14ac:dyDescent="0.15">
      <c r="A211" s="1">
        <v>6</v>
      </c>
      <c r="B211" s="1">
        <v>12</v>
      </c>
      <c r="C211" s="10">
        <v>0.4</v>
      </c>
      <c r="D211" s="5">
        <v>36</v>
      </c>
      <c r="E211" s="10">
        <v>0.14749999999999999</v>
      </c>
      <c r="F211" s="5">
        <v>13530</v>
      </c>
      <c r="G211" s="5">
        <v>1960</v>
      </c>
      <c r="I211" s="40">
        <f t="shared" si="4"/>
        <v>13530</v>
      </c>
      <c r="J211" s="40">
        <f t="shared" si="5"/>
        <v>1960</v>
      </c>
      <c r="K211" s="1">
        <v>13530</v>
      </c>
      <c r="L211" s="1">
        <v>1960</v>
      </c>
      <c r="M211">
        <f t="shared" si="6"/>
        <v>0</v>
      </c>
      <c r="N211" s="1">
        <v>0.4</v>
      </c>
      <c r="O211" s="1">
        <v>36</v>
      </c>
      <c r="P211" s="24">
        <v>0.14749999999999999</v>
      </c>
      <c r="Q211" s="31">
        <f>C211-N211</f>
        <v>0</v>
      </c>
      <c r="R211" s="41">
        <f>D211-O211</f>
        <v>0</v>
      </c>
      <c r="S211" s="41">
        <f>E211-P211</f>
        <v>0</v>
      </c>
    </row>
    <row r="212" spans="1:23" ht="14" thickBot="1" x14ac:dyDescent="0.2">
      <c r="A212" s="1">
        <v>6</v>
      </c>
      <c r="B212" s="1">
        <v>12</v>
      </c>
      <c r="C212" s="10">
        <v>0.4</v>
      </c>
      <c r="D212" s="5">
        <v>36</v>
      </c>
      <c r="E212" s="10">
        <v>0.1525</v>
      </c>
      <c r="F212" s="5">
        <v>11870</v>
      </c>
      <c r="G212" s="5">
        <v>1940</v>
      </c>
      <c r="I212" s="40">
        <f t="shared" si="4"/>
        <v>11870</v>
      </c>
      <c r="J212" s="40">
        <f t="shared" si="5"/>
        <v>1940</v>
      </c>
      <c r="K212" s="1">
        <v>11870</v>
      </c>
      <c r="L212" s="1">
        <v>1940</v>
      </c>
      <c r="M212">
        <f t="shared" si="6"/>
        <v>0</v>
      </c>
      <c r="N212" s="1">
        <v>0.4</v>
      </c>
      <c r="O212" s="1">
        <v>36</v>
      </c>
      <c r="P212" s="44">
        <v>0.1525</v>
      </c>
      <c r="Q212" s="31">
        <f>C212-N212</f>
        <v>0</v>
      </c>
      <c r="R212" s="41">
        <f>D212-O212</f>
        <v>0</v>
      </c>
      <c r="S212" s="41">
        <f>E212-P212</f>
        <v>0</v>
      </c>
    </row>
    <row r="213" spans="1:23" ht="14" thickTop="1" x14ac:dyDescent="0.15">
      <c r="A213" s="1">
        <v>6</v>
      </c>
      <c r="B213" s="1">
        <v>12</v>
      </c>
      <c r="C213" s="10">
        <v>0.4</v>
      </c>
      <c r="D213" s="5">
        <v>36</v>
      </c>
      <c r="E213" s="10">
        <v>0.1575</v>
      </c>
      <c r="F213" s="5">
        <v>10200</v>
      </c>
      <c r="G213" s="5">
        <v>1920</v>
      </c>
      <c r="I213" s="40">
        <f t="shared" si="4"/>
        <v>10200</v>
      </c>
      <c r="J213" s="40">
        <f t="shared" si="5"/>
        <v>1920</v>
      </c>
      <c r="K213" s="1">
        <v>10200</v>
      </c>
      <c r="L213" s="1">
        <v>1920</v>
      </c>
      <c r="M213">
        <f t="shared" si="6"/>
        <v>0</v>
      </c>
      <c r="N213" s="1">
        <v>0.4</v>
      </c>
      <c r="O213" s="1">
        <v>36</v>
      </c>
      <c r="P213" s="24">
        <v>0.1575</v>
      </c>
      <c r="Q213" s="31">
        <f>C213-N213</f>
        <v>0</v>
      </c>
      <c r="R213" s="41">
        <f>D213-O213</f>
        <v>0</v>
      </c>
      <c r="S213" s="41">
        <f>E213-P213</f>
        <v>0</v>
      </c>
    </row>
    <row r="214" spans="1:23" x14ac:dyDescent="0.15">
      <c r="A214" s="12">
        <v>6</v>
      </c>
      <c r="B214" s="12">
        <v>12</v>
      </c>
      <c r="C214" s="13">
        <v>0.32</v>
      </c>
      <c r="D214" s="14">
        <v>36</v>
      </c>
      <c r="E214" s="13">
        <v>1.2500000000000001E-2</v>
      </c>
      <c r="F214" s="14">
        <v>284100</v>
      </c>
      <c r="G214" s="14">
        <v>17800</v>
      </c>
      <c r="I214" s="40">
        <f t="shared" si="4"/>
        <v>284100</v>
      </c>
      <c r="J214" s="40">
        <f t="shared" si="5"/>
        <v>17800</v>
      </c>
      <c r="K214" s="12">
        <v>284100</v>
      </c>
      <c r="L214" s="12">
        <v>17800</v>
      </c>
      <c r="M214">
        <f t="shared" si="6"/>
        <v>0</v>
      </c>
      <c r="N214" s="12">
        <v>0.32</v>
      </c>
      <c r="O214" s="12">
        <v>36</v>
      </c>
      <c r="P214" s="24">
        <v>1.2500000000000001E-2</v>
      </c>
      <c r="Q214" s="31">
        <f>C214-N214</f>
        <v>0</v>
      </c>
      <c r="R214" s="41">
        <f>D214-O214</f>
        <v>0</v>
      </c>
      <c r="S214" s="41">
        <f>E214-P214</f>
        <v>0</v>
      </c>
    </row>
    <row r="215" spans="1:23" x14ac:dyDescent="0.15">
      <c r="A215" s="1">
        <v>6</v>
      </c>
      <c r="B215" s="1">
        <v>12</v>
      </c>
      <c r="C215" s="10">
        <v>0.32</v>
      </c>
      <c r="D215" s="5">
        <v>36</v>
      </c>
      <c r="E215" s="10">
        <v>1.7500000000000002E-2</v>
      </c>
      <c r="F215" s="5">
        <v>154200</v>
      </c>
      <c r="G215" s="5">
        <v>11790</v>
      </c>
      <c r="I215" s="40">
        <f t="shared" si="4"/>
        <v>154200</v>
      </c>
      <c r="J215" s="40">
        <f t="shared" si="5"/>
        <v>11790</v>
      </c>
      <c r="K215" s="1">
        <v>154200</v>
      </c>
      <c r="L215" s="1">
        <v>11790</v>
      </c>
      <c r="M215">
        <f t="shared" si="6"/>
        <v>0</v>
      </c>
      <c r="N215" s="1">
        <v>0.32</v>
      </c>
      <c r="O215" s="1">
        <v>36</v>
      </c>
      <c r="P215" s="24">
        <v>1.7500000000000002E-2</v>
      </c>
      <c r="Q215" s="31">
        <f>C215-N215</f>
        <v>0</v>
      </c>
      <c r="R215" s="41">
        <f>D215-O215</f>
        <v>0</v>
      </c>
      <c r="S215" s="41">
        <f>E215-P215</f>
        <v>0</v>
      </c>
    </row>
    <row r="216" spans="1:23" x14ac:dyDescent="0.15">
      <c r="A216" s="1">
        <v>6</v>
      </c>
      <c r="B216" s="1">
        <v>12</v>
      </c>
      <c r="C216" s="10">
        <v>0.32</v>
      </c>
      <c r="D216" s="5">
        <v>36</v>
      </c>
      <c r="E216" s="10">
        <v>2.2499999999999999E-2</v>
      </c>
      <c r="F216" s="5">
        <v>187100</v>
      </c>
      <c r="G216" s="5">
        <v>11970</v>
      </c>
      <c r="I216" s="40">
        <f t="shared" si="4"/>
        <v>187100</v>
      </c>
      <c r="J216" s="40">
        <f t="shared" si="5"/>
        <v>11970</v>
      </c>
      <c r="K216" s="1">
        <v>187100</v>
      </c>
      <c r="L216" s="1">
        <v>11970</v>
      </c>
      <c r="M216">
        <f t="shared" si="6"/>
        <v>0</v>
      </c>
      <c r="N216" s="1">
        <v>0.32</v>
      </c>
      <c r="O216" s="1">
        <v>36</v>
      </c>
      <c r="P216" s="24">
        <v>2.2499999999999999E-2</v>
      </c>
      <c r="Q216" s="31">
        <f>C216-N216</f>
        <v>0</v>
      </c>
      <c r="R216" s="41">
        <f>D216-O216</f>
        <v>0</v>
      </c>
      <c r="S216" s="41">
        <f>E216-P216</f>
        <v>0</v>
      </c>
    </row>
    <row r="217" spans="1:23" x14ac:dyDescent="0.15">
      <c r="A217" s="1">
        <v>6</v>
      </c>
      <c r="B217" s="1">
        <v>12</v>
      </c>
      <c r="C217" s="10">
        <v>0.32</v>
      </c>
      <c r="D217" s="5">
        <v>36</v>
      </c>
      <c r="E217" s="10">
        <v>2.75E-2</v>
      </c>
      <c r="F217" s="5">
        <v>260200</v>
      </c>
      <c r="G217" s="5">
        <v>13810</v>
      </c>
      <c r="I217" s="40">
        <f t="shared" si="4"/>
        <v>260200</v>
      </c>
      <c r="J217" s="40">
        <f t="shared" si="5"/>
        <v>13810</v>
      </c>
      <c r="K217" s="1">
        <v>260200</v>
      </c>
      <c r="L217" s="1">
        <v>13810</v>
      </c>
      <c r="M217">
        <f t="shared" si="6"/>
        <v>0</v>
      </c>
      <c r="N217" s="1">
        <v>0.32</v>
      </c>
      <c r="O217" s="1">
        <v>36</v>
      </c>
      <c r="P217" s="24">
        <v>2.75E-2</v>
      </c>
      <c r="Q217" s="31">
        <f>C217-N217</f>
        <v>0</v>
      </c>
      <c r="R217" s="41">
        <f>D217-O217</f>
        <v>0</v>
      </c>
      <c r="S217" s="41">
        <f>E217-P217</f>
        <v>0</v>
      </c>
    </row>
    <row r="218" spans="1:23" x14ac:dyDescent="0.15">
      <c r="A218" s="1">
        <v>6</v>
      </c>
      <c r="B218" s="1">
        <v>12</v>
      </c>
      <c r="C218" s="10">
        <v>0.32</v>
      </c>
      <c r="D218" s="5">
        <v>36</v>
      </c>
      <c r="E218" s="10">
        <v>3.2500000000000001E-2</v>
      </c>
      <c r="F218" s="5">
        <v>227700</v>
      </c>
      <c r="G218" s="5">
        <v>12390</v>
      </c>
      <c r="I218" s="40">
        <f t="shared" si="4"/>
        <v>227700</v>
      </c>
      <c r="J218" s="40">
        <f t="shared" si="5"/>
        <v>12390</v>
      </c>
      <c r="K218" s="1">
        <v>227700</v>
      </c>
      <c r="L218" s="1">
        <v>12390</v>
      </c>
      <c r="M218">
        <f t="shared" si="6"/>
        <v>0</v>
      </c>
      <c r="N218" s="1">
        <v>0.32</v>
      </c>
      <c r="O218" s="1">
        <v>36</v>
      </c>
      <c r="P218" s="24">
        <v>3.2500000000000001E-2</v>
      </c>
      <c r="Q218" s="31">
        <f>C218-N218</f>
        <v>0</v>
      </c>
      <c r="R218" s="41">
        <f>D218-O218</f>
        <v>0</v>
      </c>
      <c r="S218" s="41">
        <f>E218-P218</f>
        <v>0</v>
      </c>
    </row>
    <row r="219" spans="1:23" x14ac:dyDescent="0.15">
      <c r="A219" s="1">
        <v>6</v>
      </c>
      <c r="B219" s="1">
        <v>12</v>
      </c>
      <c r="C219" s="10">
        <v>0.32</v>
      </c>
      <c r="D219" s="5">
        <v>36</v>
      </c>
      <c r="E219" s="10">
        <v>3.7499999999999999E-2</v>
      </c>
      <c r="F219" s="5">
        <v>204300</v>
      </c>
      <c r="G219" s="5">
        <v>11440</v>
      </c>
      <c r="I219" s="40">
        <f t="shared" si="4"/>
        <v>204300</v>
      </c>
      <c r="J219" s="40">
        <f t="shared" si="5"/>
        <v>11440</v>
      </c>
      <c r="K219" s="1">
        <v>204300</v>
      </c>
      <c r="L219" s="1">
        <v>11440</v>
      </c>
      <c r="M219">
        <f t="shared" si="6"/>
        <v>0</v>
      </c>
      <c r="N219" s="1">
        <v>0.32</v>
      </c>
      <c r="O219" s="1">
        <v>36</v>
      </c>
      <c r="P219" s="24">
        <v>3.7499999999999999E-2</v>
      </c>
      <c r="Q219" s="31">
        <f>C219-N219</f>
        <v>0</v>
      </c>
      <c r="R219" s="41">
        <f>D219-O219</f>
        <v>0</v>
      </c>
      <c r="S219" s="41">
        <f>E219-P219</f>
        <v>0</v>
      </c>
    </row>
    <row r="220" spans="1:23" x14ac:dyDescent="0.15">
      <c r="A220" s="1">
        <v>6</v>
      </c>
      <c r="B220" s="1">
        <v>12</v>
      </c>
      <c r="C220" s="10">
        <v>0.32</v>
      </c>
      <c r="D220" s="5">
        <v>36</v>
      </c>
      <c r="E220" s="10">
        <v>4.2500000000000003E-2</v>
      </c>
      <c r="F220" s="5">
        <v>188000</v>
      </c>
      <c r="G220" s="5">
        <v>10770</v>
      </c>
      <c r="I220" s="40">
        <f t="shared" si="4"/>
        <v>188000</v>
      </c>
      <c r="J220" s="40">
        <f t="shared" si="5"/>
        <v>10770</v>
      </c>
      <c r="K220" s="1">
        <v>188000</v>
      </c>
      <c r="L220" s="1">
        <v>10770</v>
      </c>
      <c r="M220">
        <f t="shared" si="6"/>
        <v>0</v>
      </c>
      <c r="N220" s="1">
        <v>0.32</v>
      </c>
      <c r="O220" s="1">
        <v>36</v>
      </c>
      <c r="P220" s="24">
        <v>4.2500000000000003E-2</v>
      </c>
      <c r="Q220" s="31">
        <f>C220-N220</f>
        <v>0</v>
      </c>
      <c r="R220" s="41">
        <f>D220-O220</f>
        <v>0</v>
      </c>
      <c r="S220" s="41">
        <f>E220-P220</f>
        <v>0</v>
      </c>
    </row>
    <row r="221" spans="1:23" x14ac:dyDescent="0.15">
      <c r="A221" s="1">
        <v>6</v>
      </c>
      <c r="B221" s="1">
        <v>12</v>
      </c>
      <c r="C221" s="10">
        <v>0.32</v>
      </c>
      <c r="D221" s="5">
        <v>36</v>
      </c>
      <c r="E221" s="10">
        <v>4.7500000000000001E-2</v>
      </c>
      <c r="F221" s="5">
        <v>175900</v>
      </c>
      <c r="G221" s="5">
        <v>10170</v>
      </c>
      <c r="I221" s="40">
        <f t="shared" si="4"/>
        <v>175900</v>
      </c>
      <c r="J221" s="40">
        <f t="shared" si="5"/>
        <v>10170</v>
      </c>
      <c r="K221" s="1">
        <v>175900</v>
      </c>
      <c r="L221" s="1">
        <v>10270</v>
      </c>
      <c r="M221">
        <f t="shared" si="6"/>
        <v>-100</v>
      </c>
      <c r="N221" s="1">
        <v>0.32</v>
      </c>
      <c r="O221" s="1">
        <v>36</v>
      </c>
      <c r="P221" s="24">
        <v>4.7500000000000001E-2</v>
      </c>
      <c r="Q221" s="31">
        <f>C221-N221</f>
        <v>0</v>
      </c>
      <c r="R221" s="41">
        <f>D221-O221</f>
        <v>0</v>
      </c>
      <c r="S221" s="41">
        <f>E221-P221</f>
        <v>0</v>
      </c>
    </row>
    <row r="222" spans="1:23" x14ac:dyDescent="0.15">
      <c r="A222" s="1">
        <v>6</v>
      </c>
      <c r="B222" s="1">
        <v>12</v>
      </c>
      <c r="C222" s="10">
        <v>0.32</v>
      </c>
      <c r="D222" s="5">
        <v>36</v>
      </c>
      <c r="E222" s="10">
        <v>5.2499999999999998E-2</v>
      </c>
      <c r="F222" s="5">
        <v>151700</v>
      </c>
      <c r="G222" s="5">
        <v>9410</v>
      </c>
      <c r="I222" s="40">
        <f t="shared" si="4"/>
        <v>151700</v>
      </c>
      <c r="J222" s="40">
        <f t="shared" si="5"/>
        <v>9410</v>
      </c>
      <c r="K222" s="1">
        <v>151700</v>
      </c>
      <c r="L222" s="1">
        <v>9410</v>
      </c>
      <c r="M222">
        <f t="shared" si="6"/>
        <v>0</v>
      </c>
      <c r="N222" s="1">
        <v>0.32</v>
      </c>
      <c r="O222" s="1">
        <v>36</v>
      </c>
      <c r="P222" s="24">
        <v>5.2499999999999998E-2</v>
      </c>
      <c r="Q222" s="31">
        <f>C222-N222</f>
        <v>0</v>
      </c>
      <c r="R222" s="41">
        <f>D222-O222</f>
        <v>0</v>
      </c>
      <c r="S222" s="41">
        <f>E222-P222</f>
        <v>0</v>
      </c>
    </row>
    <row r="223" spans="1:23" x14ac:dyDescent="0.15">
      <c r="A223" s="1">
        <v>6</v>
      </c>
      <c r="B223" s="1">
        <v>12</v>
      </c>
      <c r="C223" s="10">
        <v>0.32</v>
      </c>
      <c r="D223" s="5">
        <v>36</v>
      </c>
      <c r="E223" s="10">
        <v>5.7500000000000002E-2</v>
      </c>
      <c r="F223" s="5">
        <v>133700</v>
      </c>
      <c r="G223" s="5">
        <v>8770</v>
      </c>
      <c r="I223" s="40">
        <f t="shared" si="4"/>
        <v>133700</v>
      </c>
      <c r="J223" s="40">
        <f t="shared" si="5"/>
        <v>8770</v>
      </c>
      <c r="K223" s="1">
        <v>133700</v>
      </c>
      <c r="L223" s="1">
        <v>8770</v>
      </c>
      <c r="M223">
        <f t="shared" si="6"/>
        <v>0</v>
      </c>
      <c r="N223" s="1">
        <v>0.32</v>
      </c>
      <c r="O223" s="1">
        <v>36</v>
      </c>
      <c r="P223" s="24">
        <v>5.7500000000000002E-2</v>
      </c>
      <c r="Q223" s="31">
        <f>C223-N223</f>
        <v>0</v>
      </c>
      <c r="R223" s="41">
        <f>D223-O223</f>
        <v>0</v>
      </c>
      <c r="S223" s="41">
        <f>E223-P223</f>
        <v>0</v>
      </c>
    </row>
    <row r="224" spans="1:23" s="15" customFormat="1" x14ac:dyDescent="0.15">
      <c r="A224" s="1">
        <v>6</v>
      </c>
      <c r="B224" s="1">
        <v>12</v>
      </c>
      <c r="C224" s="10">
        <v>0.32</v>
      </c>
      <c r="D224" s="5">
        <v>36</v>
      </c>
      <c r="E224" s="10">
        <v>6.25E-2</v>
      </c>
      <c r="F224" s="5">
        <v>107500</v>
      </c>
      <c r="G224" s="5">
        <v>7860</v>
      </c>
      <c r="H224" s="12"/>
      <c r="I224" s="40">
        <f t="shared" si="4"/>
        <v>107500</v>
      </c>
      <c r="J224" s="40">
        <f t="shared" si="5"/>
        <v>7860</v>
      </c>
      <c r="K224" s="1">
        <v>107500</v>
      </c>
      <c r="L224" s="1">
        <v>7860</v>
      </c>
      <c r="M224">
        <f t="shared" si="6"/>
        <v>0</v>
      </c>
      <c r="N224" s="1">
        <v>0.32</v>
      </c>
      <c r="O224" s="1">
        <v>36</v>
      </c>
      <c r="P224" s="24">
        <v>6.25E-2</v>
      </c>
      <c r="Q224" s="31">
        <f>C224-N224</f>
        <v>0</v>
      </c>
      <c r="R224" s="41">
        <f>D224-O224</f>
        <v>0</v>
      </c>
      <c r="S224" s="41">
        <f>E224-P224</f>
        <v>0</v>
      </c>
      <c r="U224" s="12"/>
      <c r="V224" s="12"/>
      <c r="W224" s="12"/>
    </row>
    <row r="225" spans="1:19" x14ac:dyDescent="0.15">
      <c r="A225" s="1">
        <v>6</v>
      </c>
      <c r="B225" s="1">
        <v>12</v>
      </c>
      <c r="C225" s="10">
        <v>0.32</v>
      </c>
      <c r="D225" s="5">
        <v>36</v>
      </c>
      <c r="E225" s="10">
        <v>6.7500000000000004E-2</v>
      </c>
      <c r="F225" s="5">
        <v>91440</v>
      </c>
      <c r="G225" s="5">
        <v>7170</v>
      </c>
      <c r="I225" s="40">
        <f t="shared" si="4"/>
        <v>91440</v>
      </c>
      <c r="J225" s="40">
        <f t="shared" si="5"/>
        <v>7170</v>
      </c>
      <c r="K225" s="1">
        <v>91440</v>
      </c>
      <c r="L225" s="1">
        <v>7270</v>
      </c>
      <c r="M225">
        <f t="shared" si="6"/>
        <v>-100</v>
      </c>
      <c r="N225" s="1">
        <v>0.32</v>
      </c>
      <c r="O225" s="1">
        <v>36</v>
      </c>
      <c r="P225" s="24">
        <v>6.7500000000000004E-2</v>
      </c>
      <c r="Q225" s="31">
        <f>C225-N225</f>
        <v>0</v>
      </c>
      <c r="R225" s="41">
        <f>D225-O225</f>
        <v>0</v>
      </c>
      <c r="S225" s="41">
        <f>E225-P225</f>
        <v>0</v>
      </c>
    </row>
    <row r="226" spans="1:19" x14ac:dyDescent="0.15">
      <c r="A226" s="1">
        <v>6</v>
      </c>
      <c r="B226" s="1">
        <v>12</v>
      </c>
      <c r="C226" s="10">
        <v>0.32</v>
      </c>
      <c r="D226" s="5">
        <v>36</v>
      </c>
      <c r="E226" s="10">
        <v>7.2499999999999995E-2</v>
      </c>
      <c r="F226" s="5">
        <v>78750</v>
      </c>
      <c r="G226" s="5">
        <v>6800</v>
      </c>
      <c r="I226" s="40">
        <f t="shared" si="4"/>
        <v>78750</v>
      </c>
      <c r="J226" s="40">
        <f t="shared" si="5"/>
        <v>6800</v>
      </c>
      <c r="K226" s="1">
        <v>78750</v>
      </c>
      <c r="L226" s="1">
        <v>6800</v>
      </c>
      <c r="M226">
        <f t="shared" si="6"/>
        <v>0</v>
      </c>
      <c r="N226" s="1">
        <v>0.32</v>
      </c>
      <c r="O226" s="1">
        <v>36</v>
      </c>
      <c r="P226" s="24">
        <v>7.2499999999999995E-2</v>
      </c>
      <c r="Q226" s="31">
        <f>C226-N226</f>
        <v>0</v>
      </c>
      <c r="R226" s="41">
        <f>D226-O226</f>
        <v>0</v>
      </c>
      <c r="S226" s="41">
        <f>E226-P226</f>
        <v>0</v>
      </c>
    </row>
    <row r="227" spans="1:19" x14ac:dyDescent="0.15">
      <c r="A227" s="1">
        <v>6</v>
      </c>
      <c r="B227" s="1">
        <v>12</v>
      </c>
      <c r="C227" s="10">
        <v>0.32</v>
      </c>
      <c r="D227" s="5">
        <v>36</v>
      </c>
      <c r="E227" s="10">
        <v>7.7499999999999999E-2</v>
      </c>
      <c r="F227" s="5">
        <v>61850</v>
      </c>
      <c r="G227" s="5">
        <v>6190</v>
      </c>
      <c r="I227" s="40">
        <f t="shared" si="4"/>
        <v>61850</v>
      </c>
      <c r="J227" s="40">
        <f t="shared" si="5"/>
        <v>6190</v>
      </c>
      <c r="K227" s="1">
        <v>61850</v>
      </c>
      <c r="L227" s="1">
        <v>6190</v>
      </c>
      <c r="M227">
        <f t="shared" si="6"/>
        <v>0</v>
      </c>
      <c r="N227" s="1">
        <v>0.32</v>
      </c>
      <c r="O227" s="1">
        <v>36</v>
      </c>
      <c r="P227" s="24">
        <v>7.7499999999999999E-2</v>
      </c>
      <c r="Q227" s="31">
        <f>C227-N227</f>
        <v>0</v>
      </c>
      <c r="R227" s="41">
        <f>D227-O227</f>
        <v>0</v>
      </c>
      <c r="S227" s="41">
        <f>E227-P227</f>
        <v>0</v>
      </c>
    </row>
    <row r="228" spans="1:19" x14ac:dyDescent="0.15">
      <c r="A228" s="1">
        <v>6</v>
      </c>
      <c r="B228" s="1">
        <v>12</v>
      </c>
      <c r="C228" s="10">
        <v>0.32</v>
      </c>
      <c r="D228" s="5">
        <v>36</v>
      </c>
      <c r="E228" s="10">
        <v>8.2500000000000004E-2</v>
      </c>
      <c r="F228" s="5" t="e">
        <v>#VALUE!</v>
      </c>
      <c r="G228" s="5">
        <v>5810</v>
      </c>
      <c r="I228" s="40" t="e">
        <f t="shared" si="4"/>
        <v>#VALUE!</v>
      </c>
      <c r="J228" s="40">
        <f t="shared" si="5"/>
        <v>5810</v>
      </c>
      <c r="K228" s="1">
        <v>51520</v>
      </c>
      <c r="L228" s="1">
        <v>5810</v>
      </c>
      <c r="M228" t="e">
        <f t="shared" si="6"/>
        <v>#VALUE!</v>
      </c>
      <c r="N228" s="1">
        <v>0.32</v>
      </c>
      <c r="O228" s="1">
        <v>36</v>
      </c>
      <c r="P228" s="24">
        <v>8.2500000000000004E-2</v>
      </c>
      <c r="Q228" s="31">
        <f>C228-N228</f>
        <v>0</v>
      </c>
      <c r="R228" s="41">
        <f>D228-O228</f>
        <v>0</v>
      </c>
      <c r="S228" s="41">
        <f>E228-P228</f>
        <v>0</v>
      </c>
    </row>
    <row r="229" spans="1:19" x14ac:dyDescent="0.15">
      <c r="A229" s="1">
        <v>6</v>
      </c>
      <c r="B229" s="1">
        <v>12</v>
      </c>
      <c r="C229" s="10">
        <v>0.32</v>
      </c>
      <c r="D229" s="5">
        <v>36</v>
      </c>
      <c r="E229" s="10">
        <v>8.7499999999999994E-2</v>
      </c>
      <c r="F229" s="5">
        <v>43880</v>
      </c>
      <c r="G229" s="5">
        <v>5520</v>
      </c>
      <c r="I229" s="40">
        <f t="shared" si="4"/>
        <v>43880</v>
      </c>
      <c r="J229" s="40">
        <f t="shared" si="5"/>
        <v>5520</v>
      </c>
      <c r="K229" s="1">
        <v>43880</v>
      </c>
      <c r="L229" s="1">
        <v>5520</v>
      </c>
      <c r="M229">
        <f t="shared" si="6"/>
        <v>0</v>
      </c>
      <c r="N229" s="1">
        <v>0.32</v>
      </c>
      <c r="O229" s="1">
        <v>36</v>
      </c>
      <c r="P229" s="24">
        <v>8.7499999999999994E-2</v>
      </c>
      <c r="Q229" s="31">
        <f>C229-N229</f>
        <v>0</v>
      </c>
      <c r="R229" s="41">
        <f>D229-O229</f>
        <v>0</v>
      </c>
      <c r="S229" s="41">
        <f>E229-P229</f>
        <v>0</v>
      </c>
    </row>
    <row r="230" spans="1:19" x14ac:dyDescent="0.15">
      <c r="A230" s="1">
        <v>6</v>
      </c>
      <c r="B230" s="1">
        <v>12</v>
      </c>
      <c r="C230" s="10">
        <v>0.32</v>
      </c>
      <c r="D230" s="5">
        <v>36</v>
      </c>
      <c r="E230" s="10">
        <v>9.2499999999999999E-2</v>
      </c>
      <c r="F230" s="5">
        <v>32750</v>
      </c>
      <c r="G230" s="5">
        <v>4790</v>
      </c>
      <c r="I230" s="40">
        <f t="shared" si="4"/>
        <v>32750</v>
      </c>
      <c r="J230" s="40">
        <f t="shared" si="5"/>
        <v>4790</v>
      </c>
      <c r="K230" s="1">
        <v>32750</v>
      </c>
      <c r="L230" s="1">
        <v>4790</v>
      </c>
      <c r="M230">
        <f t="shared" si="6"/>
        <v>0</v>
      </c>
      <c r="N230" s="1">
        <v>0.32</v>
      </c>
      <c r="O230" s="1">
        <v>36</v>
      </c>
      <c r="P230" s="24">
        <v>9.2499999999999999E-2</v>
      </c>
      <c r="Q230" s="31">
        <f>C230-N230</f>
        <v>0</v>
      </c>
      <c r="R230" s="41">
        <f>D230-O230</f>
        <v>0</v>
      </c>
      <c r="S230" s="41">
        <f>E230-P230</f>
        <v>0</v>
      </c>
    </row>
    <row r="231" spans="1:19" x14ac:dyDescent="0.15">
      <c r="A231" s="12">
        <v>6</v>
      </c>
      <c r="B231" s="12">
        <v>12</v>
      </c>
      <c r="C231" s="13">
        <v>0.24</v>
      </c>
      <c r="D231" s="14">
        <v>36</v>
      </c>
      <c r="E231" s="13">
        <v>1.2500000000000001E-2</v>
      </c>
      <c r="F231" s="14" t="e">
        <v>#VALUE!</v>
      </c>
      <c r="G231" s="14">
        <v>50450</v>
      </c>
      <c r="I231" s="40" t="e">
        <f t="shared" si="4"/>
        <v>#VALUE!</v>
      </c>
      <c r="J231" s="40">
        <f t="shared" si="5"/>
        <v>50450</v>
      </c>
      <c r="K231" s="12">
        <v>361300</v>
      </c>
      <c r="L231" s="12">
        <v>50450</v>
      </c>
      <c r="M231" t="e">
        <f t="shared" si="6"/>
        <v>#VALUE!</v>
      </c>
      <c r="N231" s="12">
        <v>0.24</v>
      </c>
      <c r="O231" s="12">
        <v>36</v>
      </c>
      <c r="P231" s="24">
        <v>1.2500000000000001E-2</v>
      </c>
      <c r="Q231" s="31">
        <f>C231-N231</f>
        <v>0</v>
      </c>
      <c r="R231" s="41">
        <f>D231-O231</f>
        <v>0</v>
      </c>
      <c r="S231" s="41">
        <f>E231-P231</f>
        <v>0</v>
      </c>
    </row>
    <row r="232" spans="1:19" x14ac:dyDescent="0.15">
      <c r="A232" s="1">
        <v>6</v>
      </c>
      <c r="B232" s="1">
        <v>12</v>
      </c>
      <c r="C232" s="10">
        <v>0.24</v>
      </c>
      <c r="D232" s="5">
        <v>36</v>
      </c>
      <c r="E232" s="10">
        <v>1.7500000000000002E-2</v>
      </c>
      <c r="F232" s="5">
        <v>304100</v>
      </c>
      <c r="G232" s="5">
        <v>41200</v>
      </c>
      <c r="I232" s="40">
        <f t="shared" si="4"/>
        <v>304100</v>
      </c>
      <c r="J232" s="40">
        <f t="shared" si="5"/>
        <v>41200</v>
      </c>
      <c r="K232" s="1">
        <v>304100</v>
      </c>
      <c r="L232" s="1">
        <v>41200</v>
      </c>
      <c r="M232">
        <f t="shared" si="6"/>
        <v>0</v>
      </c>
      <c r="N232" s="1">
        <v>0.24</v>
      </c>
      <c r="O232" s="1">
        <v>36</v>
      </c>
      <c r="P232" s="24">
        <v>1.7500000000000002E-2</v>
      </c>
      <c r="Q232" s="31">
        <f>C232-N232</f>
        <v>0</v>
      </c>
      <c r="R232" s="41">
        <f>D232-O232</f>
        <v>0</v>
      </c>
      <c r="S232" s="41">
        <f>E232-P232</f>
        <v>0</v>
      </c>
    </row>
    <row r="233" spans="1:19" x14ac:dyDescent="0.15">
      <c r="A233" s="1">
        <v>6</v>
      </c>
      <c r="B233" s="1">
        <v>12</v>
      </c>
      <c r="C233" s="10">
        <v>0.24</v>
      </c>
      <c r="D233" s="5">
        <v>36</v>
      </c>
      <c r="E233" s="10">
        <v>2.2499999999999999E-2</v>
      </c>
      <c r="F233" s="5">
        <v>497200</v>
      </c>
      <c r="G233" s="5">
        <v>43530</v>
      </c>
      <c r="I233" s="40">
        <f t="shared" si="4"/>
        <v>497200</v>
      </c>
      <c r="J233" s="40">
        <f t="shared" si="5"/>
        <v>43530</v>
      </c>
      <c r="K233" s="1">
        <v>497200</v>
      </c>
      <c r="L233" s="1">
        <v>43530</v>
      </c>
      <c r="M233">
        <f t="shared" si="6"/>
        <v>0</v>
      </c>
      <c r="N233" s="1">
        <v>0.24</v>
      </c>
      <c r="O233" s="1">
        <v>36</v>
      </c>
      <c r="P233" s="24">
        <v>2.2499999999999999E-2</v>
      </c>
      <c r="Q233" s="31">
        <f>C233-N233</f>
        <v>0</v>
      </c>
      <c r="R233" s="41">
        <f>D233-O233</f>
        <v>0</v>
      </c>
      <c r="S233" s="41">
        <f>E233-P233</f>
        <v>0</v>
      </c>
    </row>
    <row r="234" spans="1:19" x14ac:dyDescent="0.15">
      <c r="A234" s="1">
        <v>6</v>
      </c>
      <c r="B234" s="1">
        <v>12</v>
      </c>
      <c r="C234" s="10">
        <v>0.24</v>
      </c>
      <c r="D234" s="5">
        <v>36</v>
      </c>
      <c r="E234" s="10">
        <v>2.75E-2</v>
      </c>
      <c r="F234" s="5">
        <v>462100</v>
      </c>
      <c r="G234" s="5">
        <v>39490</v>
      </c>
      <c r="I234" s="40">
        <f t="shared" si="4"/>
        <v>462100</v>
      </c>
      <c r="J234" s="40">
        <f t="shared" si="5"/>
        <v>39490</v>
      </c>
      <c r="K234" s="1">
        <v>462100</v>
      </c>
      <c r="L234" s="1">
        <v>39490</v>
      </c>
      <c r="M234">
        <f t="shared" si="6"/>
        <v>0</v>
      </c>
      <c r="N234" s="1">
        <v>0.24</v>
      </c>
      <c r="O234" s="1">
        <v>36</v>
      </c>
      <c r="P234" s="24">
        <v>2.75E-2</v>
      </c>
      <c r="Q234" s="31">
        <f>C234-N234</f>
        <v>0</v>
      </c>
      <c r="R234" s="41">
        <f>D234-O234</f>
        <v>0</v>
      </c>
      <c r="S234" s="41">
        <f>E234-P234</f>
        <v>0</v>
      </c>
    </row>
    <row r="235" spans="1:19" x14ac:dyDescent="0.15">
      <c r="A235" s="1">
        <v>6</v>
      </c>
      <c r="B235" s="1">
        <v>12</v>
      </c>
      <c r="C235" s="10">
        <v>0.24</v>
      </c>
      <c r="D235" s="5">
        <v>36</v>
      </c>
      <c r="E235" s="10">
        <v>3.2500000000000001E-2</v>
      </c>
      <c r="F235" s="5">
        <v>562500</v>
      </c>
      <c r="G235" s="5">
        <v>34100</v>
      </c>
      <c r="I235" s="40">
        <f t="shared" si="4"/>
        <v>562500</v>
      </c>
      <c r="J235" s="40">
        <f t="shared" si="5"/>
        <v>34100</v>
      </c>
      <c r="K235" s="1">
        <v>361500</v>
      </c>
      <c r="L235" s="1">
        <v>34100</v>
      </c>
      <c r="M235">
        <f t="shared" si="6"/>
        <v>201000</v>
      </c>
      <c r="N235" s="1">
        <v>0.24</v>
      </c>
      <c r="O235" s="1">
        <v>36</v>
      </c>
      <c r="P235" s="24">
        <v>3.2500000000000001E-2</v>
      </c>
      <c r="Q235" s="31">
        <f>C235-N235</f>
        <v>0</v>
      </c>
      <c r="R235" s="41">
        <f>D235-O235</f>
        <v>0</v>
      </c>
      <c r="S235" s="41">
        <f>E235-P235</f>
        <v>0</v>
      </c>
    </row>
    <row r="236" spans="1:19" x14ac:dyDescent="0.15">
      <c r="A236" s="1">
        <v>6</v>
      </c>
      <c r="B236" s="1">
        <v>12</v>
      </c>
      <c r="C236" s="10">
        <v>0.24</v>
      </c>
      <c r="D236" s="5">
        <v>36</v>
      </c>
      <c r="E236" s="10">
        <v>3.7499999999999999E-2</v>
      </c>
      <c r="F236" s="5">
        <v>291200</v>
      </c>
      <c r="G236" s="5">
        <v>30290</v>
      </c>
      <c r="I236" s="40">
        <f t="shared" si="4"/>
        <v>291200</v>
      </c>
      <c r="J236" s="40">
        <f t="shared" si="5"/>
        <v>30290</v>
      </c>
      <c r="K236" s="1">
        <v>291200</v>
      </c>
      <c r="L236" s="1">
        <v>30190</v>
      </c>
      <c r="M236">
        <f t="shared" si="6"/>
        <v>100</v>
      </c>
      <c r="N236" s="1">
        <v>0.24</v>
      </c>
      <c r="O236" s="1">
        <v>36</v>
      </c>
      <c r="P236" s="24">
        <v>3.7499999999999999E-2</v>
      </c>
      <c r="Q236" s="31">
        <f>C236-N236</f>
        <v>0</v>
      </c>
      <c r="R236" s="41">
        <f>D236-O236</f>
        <v>0</v>
      </c>
      <c r="S236" s="41">
        <f>E236-P236</f>
        <v>0</v>
      </c>
    </row>
    <row r="237" spans="1:19" x14ac:dyDescent="0.15">
      <c r="A237" s="1">
        <v>6</v>
      </c>
      <c r="B237" s="1">
        <v>12</v>
      </c>
      <c r="C237" s="10">
        <v>0.24</v>
      </c>
      <c r="D237" s="5">
        <v>36</v>
      </c>
      <c r="E237" s="10">
        <v>4.2500000000000003E-2</v>
      </c>
      <c r="F237" s="5">
        <v>260000</v>
      </c>
      <c r="G237" s="5">
        <v>28030</v>
      </c>
      <c r="I237" s="40">
        <f t="shared" si="4"/>
        <v>260000</v>
      </c>
      <c r="J237" s="40">
        <f t="shared" si="5"/>
        <v>28030</v>
      </c>
      <c r="K237" s="1">
        <v>260000</v>
      </c>
      <c r="L237" s="1">
        <v>28030</v>
      </c>
      <c r="M237">
        <f t="shared" si="6"/>
        <v>0</v>
      </c>
      <c r="N237" s="1">
        <v>0.24</v>
      </c>
      <c r="O237" s="1">
        <v>36</v>
      </c>
      <c r="P237" s="24">
        <v>4.2500000000000003E-2</v>
      </c>
      <c r="Q237" s="31">
        <f>C237-N237</f>
        <v>0</v>
      </c>
      <c r="R237" s="41">
        <f>D237-O237</f>
        <v>0</v>
      </c>
      <c r="S237" s="41">
        <f>E237-P237</f>
        <v>0</v>
      </c>
    </row>
    <row r="238" spans="1:19" x14ac:dyDescent="0.15">
      <c r="A238" s="1">
        <v>6</v>
      </c>
      <c r="B238" s="1">
        <v>12</v>
      </c>
      <c r="C238" s="10">
        <v>0.24</v>
      </c>
      <c r="D238" s="5">
        <v>36</v>
      </c>
      <c r="E238" s="10">
        <v>4.7500000000000001E-2</v>
      </c>
      <c r="F238" s="5">
        <v>206600</v>
      </c>
      <c r="G238" s="5">
        <v>25240</v>
      </c>
      <c r="I238" s="40">
        <f t="shared" si="4"/>
        <v>206600</v>
      </c>
      <c r="J238" s="40">
        <f t="shared" si="5"/>
        <v>25240</v>
      </c>
      <c r="K238" s="1">
        <v>206600</v>
      </c>
      <c r="L238" s="1">
        <v>25240</v>
      </c>
      <c r="M238">
        <f t="shared" si="6"/>
        <v>0</v>
      </c>
      <c r="N238" s="1">
        <v>0.24</v>
      </c>
      <c r="O238" s="1">
        <v>36</v>
      </c>
      <c r="P238" s="24">
        <v>4.7500000000000001E-2</v>
      </c>
      <c r="Q238" s="31">
        <f>C238-N238</f>
        <v>0</v>
      </c>
      <c r="R238" s="41">
        <f>D238-O238</f>
        <v>0</v>
      </c>
      <c r="S238" s="41">
        <f>E238-P238</f>
        <v>0</v>
      </c>
    </row>
    <row r="239" spans="1:19" x14ac:dyDescent="0.15">
      <c r="A239" s="1">
        <v>6</v>
      </c>
      <c r="B239" s="1">
        <v>12</v>
      </c>
      <c r="C239" s="10">
        <v>0.24</v>
      </c>
      <c r="D239" s="5">
        <v>36</v>
      </c>
      <c r="E239" s="10">
        <v>5.2499999999999998E-2</v>
      </c>
      <c r="F239" s="5">
        <v>137900</v>
      </c>
      <c r="G239" s="5">
        <v>24360</v>
      </c>
      <c r="I239" s="40">
        <f t="shared" si="4"/>
        <v>137900</v>
      </c>
      <c r="J239" s="40">
        <f t="shared" si="5"/>
        <v>24360</v>
      </c>
      <c r="K239" s="1">
        <v>197900</v>
      </c>
      <c r="L239" s="1">
        <v>24360</v>
      </c>
      <c r="M239">
        <f t="shared" si="6"/>
        <v>-60000</v>
      </c>
      <c r="N239" s="1">
        <v>0.24</v>
      </c>
      <c r="O239" s="1">
        <v>36</v>
      </c>
      <c r="P239" s="24">
        <v>5.2499999999999998E-2</v>
      </c>
      <c r="Q239" s="31">
        <f>C239-N239</f>
        <v>0</v>
      </c>
      <c r="R239" s="41">
        <f>D239-O239</f>
        <v>0</v>
      </c>
      <c r="S239" s="41">
        <f>E239-P239</f>
        <v>0</v>
      </c>
    </row>
    <row r="240" spans="1:19" x14ac:dyDescent="0.15">
      <c r="A240" s="1">
        <v>6</v>
      </c>
      <c r="B240" s="1">
        <v>12</v>
      </c>
      <c r="C240" s="10">
        <v>0.24</v>
      </c>
      <c r="D240" s="5">
        <v>36</v>
      </c>
      <c r="E240" s="10">
        <v>5.7500000000000002E-2</v>
      </c>
      <c r="F240" s="5">
        <v>138300</v>
      </c>
      <c r="G240" s="5">
        <v>19810</v>
      </c>
      <c r="I240" s="40">
        <f t="shared" si="4"/>
        <v>138300</v>
      </c>
      <c r="J240" s="40">
        <f t="shared" si="5"/>
        <v>19810</v>
      </c>
      <c r="K240" s="1">
        <v>138300</v>
      </c>
      <c r="L240" s="1">
        <v>19810</v>
      </c>
      <c r="M240">
        <f t="shared" si="6"/>
        <v>0</v>
      </c>
      <c r="N240" s="1">
        <v>0.24</v>
      </c>
      <c r="O240" s="1">
        <v>36</v>
      </c>
      <c r="P240" s="24">
        <v>5.7500000000000002E-2</v>
      </c>
      <c r="Q240" s="31">
        <f>C240-N240</f>
        <v>0</v>
      </c>
      <c r="R240" s="41">
        <f>D240-O240</f>
        <v>0</v>
      </c>
      <c r="S240" s="41">
        <f>E240-P240</f>
        <v>0</v>
      </c>
    </row>
    <row r="241" spans="1:23" s="15" customFormat="1" x14ac:dyDescent="0.15">
      <c r="A241" s="1">
        <v>6</v>
      </c>
      <c r="B241" s="1">
        <v>12</v>
      </c>
      <c r="C241" s="10">
        <v>0.24</v>
      </c>
      <c r="D241" s="5">
        <v>36</v>
      </c>
      <c r="E241" s="10">
        <v>6.25E-2</v>
      </c>
      <c r="F241" s="5">
        <v>102200</v>
      </c>
      <c r="G241" s="5">
        <v>18420</v>
      </c>
      <c r="H241" s="12"/>
      <c r="I241" s="40">
        <f t="shared" si="4"/>
        <v>102200</v>
      </c>
      <c r="J241" s="40">
        <f t="shared" si="5"/>
        <v>18420</v>
      </c>
      <c r="K241" s="1">
        <v>102200</v>
      </c>
      <c r="L241" s="1">
        <v>18420</v>
      </c>
      <c r="M241">
        <f t="shared" si="6"/>
        <v>0</v>
      </c>
      <c r="N241" s="1">
        <v>0.24</v>
      </c>
      <c r="O241" s="1">
        <v>36</v>
      </c>
      <c r="P241" s="24">
        <v>6.25E-2</v>
      </c>
      <c r="Q241" s="31">
        <f>C241-N241</f>
        <v>0</v>
      </c>
      <c r="R241" s="41">
        <f>D241-O241</f>
        <v>0</v>
      </c>
      <c r="S241" s="41">
        <f>E241-P241</f>
        <v>0</v>
      </c>
      <c r="U241" s="12"/>
      <c r="V241" s="12"/>
      <c r="W241" s="12"/>
    </row>
    <row r="242" spans="1:23" ht="16" x14ac:dyDescent="0.2">
      <c r="A242" s="12">
        <v>6</v>
      </c>
      <c r="B242" s="12">
        <v>12</v>
      </c>
      <c r="C242" s="13">
        <v>0.2</v>
      </c>
      <c r="D242" s="14">
        <v>36</v>
      </c>
      <c r="E242" s="13">
        <v>1.7500000000000002E-2</v>
      </c>
      <c r="F242" s="14">
        <v>435600</v>
      </c>
      <c r="G242" s="14">
        <v>78230</v>
      </c>
      <c r="I242" s="40">
        <f t="shared" si="4"/>
        <v>435600</v>
      </c>
      <c r="J242" s="40">
        <f t="shared" si="5"/>
        <v>78230</v>
      </c>
      <c r="K242" s="12">
        <v>435600</v>
      </c>
      <c r="L242" s="12">
        <v>78200</v>
      </c>
      <c r="M242">
        <f t="shared" si="6"/>
        <v>30</v>
      </c>
      <c r="N242" s="12">
        <v>0.2</v>
      </c>
      <c r="O242" s="12">
        <v>36</v>
      </c>
      <c r="P242" s="45">
        <v>1.7500000000000002E-2</v>
      </c>
      <c r="Q242" s="31">
        <f>C242-N242</f>
        <v>0</v>
      </c>
      <c r="R242" s="41">
        <f>D242-O242</f>
        <v>0</v>
      </c>
      <c r="S242" s="41">
        <f>E242-P242</f>
        <v>0</v>
      </c>
    </row>
    <row r="243" spans="1:23" ht="16" x14ac:dyDescent="0.2">
      <c r="A243" s="1">
        <v>6</v>
      </c>
      <c r="B243" s="1">
        <v>12</v>
      </c>
      <c r="C243" s="10">
        <v>0.2</v>
      </c>
      <c r="D243" s="5">
        <v>36</v>
      </c>
      <c r="E243" s="10">
        <v>2.2499999999999999E-2</v>
      </c>
      <c r="F243" s="5">
        <v>601100</v>
      </c>
      <c r="G243" s="5">
        <v>75240</v>
      </c>
      <c r="I243" s="40">
        <f t="shared" si="4"/>
        <v>601100</v>
      </c>
      <c r="J243" s="40">
        <f t="shared" si="5"/>
        <v>75240</v>
      </c>
      <c r="K243" s="1">
        <v>601100</v>
      </c>
      <c r="L243" s="1">
        <v>75400</v>
      </c>
      <c r="M243">
        <f t="shared" si="6"/>
        <v>-160</v>
      </c>
      <c r="N243" s="1">
        <v>0.2</v>
      </c>
      <c r="O243" s="1">
        <v>36</v>
      </c>
      <c r="P243" s="45">
        <v>2.2499999999999999E-2</v>
      </c>
      <c r="Q243" s="31">
        <f>C243-N243</f>
        <v>0</v>
      </c>
      <c r="R243" s="41">
        <f>D243-O243</f>
        <v>0</v>
      </c>
      <c r="S243" s="41">
        <f>E243-P243</f>
        <v>0</v>
      </c>
    </row>
    <row r="244" spans="1:23" ht="16" x14ac:dyDescent="0.2">
      <c r="A244" s="1">
        <v>6</v>
      </c>
      <c r="B244" s="1">
        <v>12</v>
      </c>
      <c r="C244" s="10">
        <v>0.2</v>
      </c>
      <c r="D244" s="5">
        <v>36</v>
      </c>
      <c r="E244" s="10">
        <v>2.75E-2</v>
      </c>
      <c r="F244" s="5">
        <v>650100</v>
      </c>
      <c r="G244" s="5">
        <v>70570</v>
      </c>
      <c r="I244" s="40">
        <f t="shared" si="4"/>
        <v>650100</v>
      </c>
      <c r="J244" s="40">
        <f t="shared" si="5"/>
        <v>70570</v>
      </c>
      <c r="K244" s="1">
        <v>650100</v>
      </c>
      <c r="L244" s="1">
        <v>70570</v>
      </c>
      <c r="M244">
        <f t="shared" si="6"/>
        <v>0</v>
      </c>
      <c r="N244" s="1">
        <v>0.2</v>
      </c>
      <c r="O244" s="1">
        <v>36</v>
      </c>
      <c r="P244" s="45">
        <v>2.75E-2</v>
      </c>
      <c r="Q244" s="31">
        <f>C244-N244</f>
        <v>0</v>
      </c>
      <c r="R244" s="41">
        <f>D244-O244</f>
        <v>0</v>
      </c>
      <c r="S244" s="41">
        <f>E244-P244</f>
        <v>0</v>
      </c>
    </row>
    <row r="245" spans="1:23" ht="16" x14ac:dyDescent="0.2">
      <c r="A245" s="1">
        <v>6</v>
      </c>
      <c r="B245" s="1">
        <v>12</v>
      </c>
      <c r="C245" s="10">
        <v>0.2</v>
      </c>
      <c r="D245" s="5">
        <v>36</v>
      </c>
      <c r="E245" s="10">
        <v>3.2500000000000001E-2</v>
      </c>
      <c r="F245" s="5">
        <v>455800</v>
      </c>
      <c r="G245" s="5">
        <v>58990</v>
      </c>
      <c r="I245" s="40">
        <f t="shared" si="4"/>
        <v>455800</v>
      </c>
      <c r="J245" s="40">
        <f t="shared" si="5"/>
        <v>58990</v>
      </c>
      <c r="K245" s="1">
        <v>455800</v>
      </c>
      <c r="L245" s="1">
        <v>58990</v>
      </c>
      <c r="M245">
        <f t="shared" si="6"/>
        <v>0</v>
      </c>
      <c r="N245" s="1">
        <v>0.2</v>
      </c>
      <c r="O245" s="1">
        <v>36</v>
      </c>
      <c r="P245" s="45">
        <v>3.2500000000000001E-2</v>
      </c>
      <c r="Q245" s="31">
        <f>C245-N245</f>
        <v>0</v>
      </c>
      <c r="R245" s="41">
        <f>D245-O245</f>
        <v>0</v>
      </c>
      <c r="S245" s="41">
        <f>E245-P245</f>
        <v>0</v>
      </c>
    </row>
    <row r="246" spans="1:23" ht="16" x14ac:dyDescent="0.2">
      <c r="A246" s="1">
        <v>6</v>
      </c>
      <c r="B246" s="1">
        <v>12</v>
      </c>
      <c r="C246" s="10">
        <v>0.2</v>
      </c>
      <c r="D246" s="5">
        <v>36</v>
      </c>
      <c r="E246" s="10">
        <v>3.7499999999999999E-2</v>
      </c>
      <c r="F246" s="5">
        <v>375600</v>
      </c>
      <c r="G246" s="5">
        <v>53380</v>
      </c>
      <c r="I246" s="40">
        <f t="shared" si="4"/>
        <v>375600</v>
      </c>
      <c r="J246" s="40">
        <f t="shared" si="5"/>
        <v>53380</v>
      </c>
      <c r="K246" s="1">
        <v>375600</v>
      </c>
      <c r="L246" s="1">
        <v>53380</v>
      </c>
      <c r="M246">
        <f t="shared" si="6"/>
        <v>0</v>
      </c>
      <c r="N246" s="1">
        <v>0.2</v>
      </c>
      <c r="O246" s="1">
        <v>36</v>
      </c>
      <c r="P246" s="45">
        <v>3.7499999999999999E-2</v>
      </c>
      <c r="Q246" s="31">
        <f>C246-N246</f>
        <v>0</v>
      </c>
      <c r="R246" s="41">
        <f>D246-O246</f>
        <v>0</v>
      </c>
      <c r="S246" s="41">
        <f>E246-P246</f>
        <v>0</v>
      </c>
    </row>
    <row r="247" spans="1:23" ht="16" x14ac:dyDescent="0.2">
      <c r="A247" s="1">
        <v>6</v>
      </c>
      <c r="B247" s="1">
        <v>12</v>
      </c>
      <c r="C247" s="10">
        <v>0.2</v>
      </c>
      <c r="D247" s="5">
        <v>36</v>
      </c>
      <c r="E247" s="10">
        <v>4.2500000000000003E-2</v>
      </c>
      <c r="F247" s="5">
        <v>276200</v>
      </c>
      <c r="G247" s="5">
        <v>47410</v>
      </c>
      <c r="I247" s="40">
        <f t="shared" si="4"/>
        <v>276200</v>
      </c>
      <c r="J247" s="40">
        <f t="shared" si="5"/>
        <v>47410</v>
      </c>
      <c r="K247" s="1">
        <v>276200</v>
      </c>
      <c r="L247" s="1">
        <v>47410</v>
      </c>
      <c r="M247">
        <f t="shared" si="6"/>
        <v>0</v>
      </c>
      <c r="N247" s="1">
        <v>0.2</v>
      </c>
      <c r="O247" s="1">
        <v>36</v>
      </c>
      <c r="P247" s="45">
        <v>4.2500000000000003E-2</v>
      </c>
      <c r="Q247" s="31">
        <f>C247-N247</f>
        <v>0</v>
      </c>
      <c r="R247" s="41">
        <f>D247-O247</f>
        <v>0</v>
      </c>
      <c r="S247" s="41">
        <f>E247-P247</f>
        <v>0</v>
      </c>
    </row>
    <row r="248" spans="1:23" ht="16" x14ac:dyDescent="0.2">
      <c r="A248" s="1">
        <v>6</v>
      </c>
      <c r="B248" s="1">
        <v>12</v>
      </c>
      <c r="C248" s="10">
        <v>0.2</v>
      </c>
      <c r="D248" s="5">
        <v>36</v>
      </c>
      <c r="E248" s="10">
        <v>4.7500000000000001E-2</v>
      </c>
      <c r="F248" s="5">
        <v>200300</v>
      </c>
      <c r="G248" s="5">
        <v>42920</v>
      </c>
      <c r="I248" s="40">
        <f t="shared" si="4"/>
        <v>200300</v>
      </c>
      <c r="J248" s="40">
        <f t="shared" si="5"/>
        <v>42920</v>
      </c>
      <c r="K248" s="1">
        <v>200300</v>
      </c>
      <c r="L248" s="1">
        <v>42920</v>
      </c>
      <c r="M248">
        <f t="shared" si="6"/>
        <v>0</v>
      </c>
      <c r="N248" s="1">
        <v>0.2</v>
      </c>
      <c r="O248" s="1">
        <v>36</v>
      </c>
      <c r="P248" s="45">
        <v>4.7500000000000001E-2</v>
      </c>
      <c r="Q248" s="31">
        <f>C248-N248</f>
        <v>0</v>
      </c>
      <c r="R248" s="41">
        <f>D248-O248</f>
        <v>0</v>
      </c>
      <c r="S248" s="41">
        <f>E248-P248</f>
        <v>0</v>
      </c>
    </row>
    <row r="249" spans="1:23" ht="16" x14ac:dyDescent="0.2">
      <c r="A249" s="12">
        <v>6</v>
      </c>
      <c r="B249" s="12">
        <v>12</v>
      </c>
      <c r="C249" s="13">
        <v>0.16</v>
      </c>
      <c r="D249" s="14">
        <v>36</v>
      </c>
      <c r="E249" s="13">
        <v>1.2500000000000001E-2</v>
      </c>
      <c r="F249" s="14">
        <v>410600</v>
      </c>
      <c r="G249" s="14">
        <v>183200</v>
      </c>
      <c r="I249" s="40">
        <f t="shared" ref="I249:I312" si="7">F249</f>
        <v>410600</v>
      </c>
      <c r="J249" s="40">
        <f t="shared" ref="J249:J312" si="8">G249</f>
        <v>183200</v>
      </c>
      <c r="K249" s="12">
        <v>410600</v>
      </c>
      <c r="L249" s="12">
        <v>183200</v>
      </c>
      <c r="M249">
        <f t="shared" si="6"/>
        <v>0</v>
      </c>
      <c r="N249" s="12">
        <v>0.16</v>
      </c>
      <c r="O249" s="12">
        <v>36</v>
      </c>
      <c r="P249" s="46">
        <v>1.2500000000000001E-2</v>
      </c>
      <c r="Q249" s="31">
        <f>C249-N249</f>
        <v>0</v>
      </c>
      <c r="R249" s="41">
        <f>D249-O249</f>
        <v>0</v>
      </c>
      <c r="S249" s="41">
        <f>E249-P249</f>
        <v>0</v>
      </c>
    </row>
    <row r="250" spans="1:23" ht="16" x14ac:dyDescent="0.2">
      <c r="A250" s="1">
        <v>6</v>
      </c>
      <c r="B250" s="1">
        <v>12</v>
      </c>
      <c r="C250" s="10">
        <v>0.16</v>
      </c>
      <c r="D250" s="5">
        <v>36</v>
      </c>
      <c r="E250" s="10">
        <v>1.7500000000000002E-2</v>
      </c>
      <c r="F250" s="5">
        <v>409000</v>
      </c>
      <c r="G250" s="5">
        <v>147500</v>
      </c>
      <c r="I250" s="40">
        <f t="shared" si="7"/>
        <v>409000</v>
      </c>
      <c r="J250" s="40">
        <f t="shared" si="8"/>
        <v>147500</v>
      </c>
      <c r="K250" s="1">
        <v>409000</v>
      </c>
      <c r="L250" s="1">
        <v>147500</v>
      </c>
      <c r="M250">
        <f t="shared" si="6"/>
        <v>0</v>
      </c>
      <c r="N250" s="1">
        <v>0.16</v>
      </c>
      <c r="O250" s="1">
        <v>36</v>
      </c>
      <c r="P250" s="46">
        <v>1.7500000000000002E-2</v>
      </c>
      <c r="Q250" s="31">
        <f>C250-N250</f>
        <v>0</v>
      </c>
      <c r="R250" s="41">
        <f>D250-O250</f>
        <v>0</v>
      </c>
      <c r="S250" s="41">
        <f>E250-P250</f>
        <v>0</v>
      </c>
    </row>
    <row r="251" spans="1:23" ht="16" x14ac:dyDescent="0.2">
      <c r="A251" s="1">
        <v>6</v>
      </c>
      <c r="B251" s="1">
        <v>12</v>
      </c>
      <c r="C251" s="10">
        <v>0.16</v>
      </c>
      <c r="D251" s="5">
        <v>36</v>
      </c>
      <c r="E251" s="10">
        <v>2.2499999999999999E-2</v>
      </c>
      <c r="F251" s="5">
        <v>790800</v>
      </c>
      <c r="G251" s="5">
        <v>146500</v>
      </c>
      <c r="I251" s="40">
        <f t="shared" si="7"/>
        <v>790800</v>
      </c>
      <c r="J251" s="40">
        <f t="shared" si="8"/>
        <v>146500</v>
      </c>
      <c r="K251" s="1">
        <v>790800</v>
      </c>
      <c r="L251" s="1">
        <v>146500</v>
      </c>
      <c r="M251">
        <f t="shared" si="6"/>
        <v>0</v>
      </c>
      <c r="N251" s="1">
        <v>0.16</v>
      </c>
      <c r="O251" s="1">
        <v>36</v>
      </c>
      <c r="P251" s="46">
        <v>2.2499999999999999E-2</v>
      </c>
      <c r="Q251" s="31">
        <f>C251-N251</f>
        <v>0</v>
      </c>
      <c r="R251" s="41">
        <f>D251-O251</f>
        <v>0</v>
      </c>
      <c r="S251" s="41">
        <f>E251-P251</f>
        <v>0</v>
      </c>
    </row>
    <row r="252" spans="1:23" s="15" customFormat="1" ht="16" x14ac:dyDescent="0.2">
      <c r="A252" s="1">
        <v>6</v>
      </c>
      <c r="B252" s="1">
        <v>12</v>
      </c>
      <c r="C252" s="10">
        <v>0.16</v>
      </c>
      <c r="D252" s="5">
        <v>36</v>
      </c>
      <c r="E252" s="10">
        <v>2.75E-2</v>
      </c>
      <c r="F252" s="5">
        <v>542100</v>
      </c>
      <c r="G252" s="5">
        <v>123000</v>
      </c>
      <c r="H252" s="12"/>
      <c r="I252" s="40">
        <f t="shared" si="7"/>
        <v>542100</v>
      </c>
      <c r="J252" s="40">
        <f t="shared" si="8"/>
        <v>123000</v>
      </c>
      <c r="K252" s="1">
        <v>542100</v>
      </c>
      <c r="L252" s="1">
        <v>123000</v>
      </c>
      <c r="M252">
        <f t="shared" si="6"/>
        <v>0</v>
      </c>
      <c r="N252" s="1">
        <v>0.16</v>
      </c>
      <c r="O252" s="1">
        <v>36</v>
      </c>
      <c r="P252" s="46">
        <v>2.75E-2</v>
      </c>
      <c r="Q252" s="31">
        <f>C252-N252</f>
        <v>0</v>
      </c>
      <c r="R252" s="41">
        <f>D252-O252</f>
        <v>0</v>
      </c>
      <c r="S252" s="41">
        <f>E252-P252</f>
        <v>0</v>
      </c>
      <c r="U252" s="12"/>
      <c r="V252" s="12"/>
      <c r="W252" s="12"/>
    </row>
    <row r="253" spans="1:23" x14ac:dyDescent="0.15">
      <c r="A253" s="12">
        <v>6</v>
      </c>
      <c r="B253" s="12">
        <v>12</v>
      </c>
      <c r="C253" s="13">
        <v>0.68</v>
      </c>
      <c r="D253" s="14">
        <v>60</v>
      </c>
      <c r="E253" s="13">
        <v>4.7500000000000001E-2</v>
      </c>
      <c r="F253" s="14">
        <v>50</v>
      </c>
      <c r="G253" s="14">
        <v>10</v>
      </c>
      <c r="I253" s="40">
        <f t="shared" si="7"/>
        <v>50</v>
      </c>
      <c r="J253" s="40">
        <f t="shared" si="8"/>
        <v>10</v>
      </c>
      <c r="K253" s="12">
        <v>50</v>
      </c>
      <c r="L253" s="12">
        <v>10</v>
      </c>
      <c r="M253">
        <f t="shared" si="6"/>
        <v>0</v>
      </c>
      <c r="N253" s="12">
        <v>0.68</v>
      </c>
      <c r="O253" s="12">
        <v>60</v>
      </c>
      <c r="P253" s="24">
        <v>4.7500000000000001E-2</v>
      </c>
      <c r="Q253" s="31">
        <f>C253-N253</f>
        <v>0</v>
      </c>
      <c r="R253" s="41">
        <f>D253-O253</f>
        <v>0</v>
      </c>
      <c r="S253" s="41">
        <f>E253-P253</f>
        <v>0</v>
      </c>
    </row>
    <row r="254" spans="1:23" x14ac:dyDescent="0.15">
      <c r="A254" s="1">
        <v>6</v>
      </c>
      <c r="B254" s="1">
        <v>12</v>
      </c>
      <c r="C254" s="10">
        <v>0.68</v>
      </c>
      <c r="D254" s="5">
        <v>60</v>
      </c>
      <c r="E254" s="10">
        <v>5.7500000000000002E-2</v>
      </c>
      <c r="F254" s="5">
        <v>40</v>
      </c>
      <c r="G254" s="5">
        <v>10</v>
      </c>
      <c r="I254" s="40">
        <f t="shared" si="7"/>
        <v>40</v>
      </c>
      <c r="J254" s="40">
        <f t="shared" si="8"/>
        <v>10</v>
      </c>
      <c r="K254" s="1">
        <v>40</v>
      </c>
      <c r="L254" s="1">
        <v>10</v>
      </c>
      <c r="M254">
        <f t="shared" si="6"/>
        <v>0</v>
      </c>
      <c r="N254" s="1">
        <v>0.68</v>
      </c>
      <c r="O254" s="1">
        <v>60</v>
      </c>
      <c r="P254" s="24">
        <v>5.7500000000000002E-2</v>
      </c>
      <c r="Q254" s="31">
        <f>C254-N254</f>
        <v>0</v>
      </c>
      <c r="R254" s="41">
        <f>D254-O254</f>
        <v>0</v>
      </c>
      <c r="S254" s="41">
        <f>E254-P254</f>
        <v>0</v>
      </c>
    </row>
    <row r="255" spans="1:23" x14ac:dyDescent="0.15">
      <c r="A255" s="1">
        <v>6</v>
      </c>
      <c r="B255" s="1">
        <v>12</v>
      </c>
      <c r="C255" s="10">
        <v>0.68</v>
      </c>
      <c r="D255" s="5">
        <v>60</v>
      </c>
      <c r="E255" s="10">
        <v>6.7500000000000004E-2</v>
      </c>
      <c r="F255" s="5">
        <v>120</v>
      </c>
      <c r="G255" s="5">
        <v>10</v>
      </c>
      <c r="I255" s="40">
        <f t="shared" si="7"/>
        <v>120</v>
      </c>
      <c r="J255" s="40">
        <f t="shared" si="8"/>
        <v>10</v>
      </c>
      <c r="K255" s="1">
        <v>120</v>
      </c>
      <c r="L255" s="1">
        <v>10</v>
      </c>
      <c r="M255">
        <f t="shared" si="6"/>
        <v>0</v>
      </c>
      <c r="N255" s="1">
        <v>0.68</v>
      </c>
      <c r="O255" s="1">
        <v>60</v>
      </c>
      <c r="P255" s="24">
        <v>6.7500000000000004E-2</v>
      </c>
      <c r="Q255" s="31">
        <f>C255-N255</f>
        <v>0</v>
      </c>
      <c r="R255" s="41">
        <f>D255-O255</f>
        <v>0</v>
      </c>
      <c r="S255" s="41">
        <f>E255-P255</f>
        <v>0</v>
      </c>
    </row>
    <row r="256" spans="1:23" x14ac:dyDescent="0.15">
      <c r="A256" s="1">
        <v>6</v>
      </c>
      <c r="B256" s="1">
        <v>12</v>
      </c>
      <c r="C256" s="10">
        <v>0.68</v>
      </c>
      <c r="D256" s="5">
        <v>60</v>
      </c>
      <c r="E256" s="10">
        <v>7.7499999999999999E-2</v>
      </c>
      <c r="F256" s="5">
        <v>160</v>
      </c>
      <c r="G256" s="5">
        <v>20</v>
      </c>
      <c r="I256" s="40">
        <f t="shared" si="7"/>
        <v>160</v>
      </c>
      <c r="J256" s="40">
        <f t="shared" si="8"/>
        <v>20</v>
      </c>
      <c r="K256" s="1">
        <v>160</v>
      </c>
      <c r="L256" s="1">
        <v>20</v>
      </c>
      <c r="M256">
        <f t="shared" si="6"/>
        <v>0</v>
      </c>
      <c r="N256" s="1">
        <v>0.68</v>
      </c>
      <c r="O256" s="1">
        <v>60</v>
      </c>
      <c r="P256" s="24">
        <v>7.7499999999999999E-2</v>
      </c>
      <c r="Q256" s="31">
        <f>C256-N256</f>
        <v>0</v>
      </c>
      <c r="R256" s="41">
        <f>D256-O256</f>
        <v>0</v>
      </c>
      <c r="S256" s="41">
        <f>E256-P256</f>
        <v>0</v>
      </c>
    </row>
    <row r="257" spans="1:23" x14ac:dyDescent="0.15">
      <c r="A257" s="1">
        <v>6</v>
      </c>
      <c r="B257" s="1">
        <v>12</v>
      </c>
      <c r="C257" s="10">
        <v>0.68</v>
      </c>
      <c r="D257" s="5">
        <v>60</v>
      </c>
      <c r="E257" s="10">
        <v>8.7499999999999994E-2</v>
      </c>
      <c r="F257" s="5">
        <v>310</v>
      </c>
      <c r="G257" s="5">
        <v>20</v>
      </c>
      <c r="I257" s="40">
        <f t="shared" si="7"/>
        <v>310</v>
      </c>
      <c r="J257" s="40">
        <f t="shared" si="8"/>
        <v>20</v>
      </c>
      <c r="K257" s="1">
        <v>310</v>
      </c>
      <c r="L257" s="1">
        <v>20</v>
      </c>
      <c r="M257">
        <f t="shared" si="6"/>
        <v>0</v>
      </c>
      <c r="N257" s="1">
        <v>0.68</v>
      </c>
      <c r="O257" s="1">
        <v>60</v>
      </c>
      <c r="P257" s="24">
        <v>8.7499999999999994E-2</v>
      </c>
      <c r="Q257" s="31">
        <f>C257-N257</f>
        <v>0</v>
      </c>
      <c r="R257" s="41">
        <f>D257-O257</f>
        <v>0</v>
      </c>
      <c r="S257" s="41">
        <f>E257-P257</f>
        <v>0</v>
      </c>
    </row>
    <row r="258" spans="1:23" x14ac:dyDescent="0.15">
      <c r="A258" s="1">
        <v>6</v>
      </c>
      <c r="B258" s="1">
        <v>12</v>
      </c>
      <c r="C258" s="10">
        <v>0.68</v>
      </c>
      <c r="D258" s="5">
        <v>60</v>
      </c>
      <c r="E258" s="10">
        <v>9.7500000000000003E-2</v>
      </c>
      <c r="F258" s="5">
        <v>450</v>
      </c>
      <c r="G258" s="5">
        <v>30</v>
      </c>
      <c r="I258" s="40">
        <f t="shared" si="7"/>
        <v>450</v>
      </c>
      <c r="J258" s="40">
        <f t="shared" si="8"/>
        <v>30</v>
      </c>
      <c r="K258" s="1">
        <v>450</v>
      </c>
      <c r="L258" s="1">
        <v>30</v>
      </c>
      <c r="M258">
        <f t="shared" si="6"/>
        <v>0</v>
      </c>
      <c r="N258" s="1">
        <v>0.68</v>
      </c>
      <c r="O258" s="1">
        <v>60</v>
      </c>
      <c r="P258" s="24">
        <v>9.7500000000000003E-2</v>
      </c>
      <c r="Q258" s="31">
        <f>C258-N258</f>
        <v>0</v>
      </c>
      <c r="R258" s="41">
        <f>D258-O258</f>
        <v>0</v>
      </c>
      <c r="S258" s="41">
        <f>E258-P258</f>
        <v>0</v>
      </c>
    </row>
    <row r="259" spans="1:23" s="15" customFormat="1" x14ac:dyDescent="0.15">
      <c r="A259" s="1">
        <v>6</v>
      </c>
      <c r="B259" s="1">
        <v>12</v>
      </c>
      <c r="C259" s="10">
        <v>0.68</v>
      </c>
      <c r="D259" s="5">
        <v>60</v>
      </c>
      <c r="E259" s="10">
        <v>0.1075</v>
      </c>
      <c r="F259" s="5">
        <v>610</v>
      </c>
      <c r="G259" s="5">
        <v>40</v>
      </c>
      <c r="H259" s="12"/>
      <c r="I259" s="40">
        <f t="shared" si="7"/>
        <v>610</v>
      </c>
      <c r="J259" s="40">
        <f t="shared" si="8"/>
        <v>40</v>
      </c>
      <c r="K259" s="1">
        <v>610</v>
      </c>
      <c r="L259" s="1">
        <v>40</v>
      </c>
      <c r="M259">
        <f t="shared" ref="M259:M322" si="9">I259+J259-K259-L259</f>
        <v>0</v>
      </c>
      <c r="N259" s="1">
        <v>0.68</v>
      </c>
      <c r="O259" s="1">
        <v>60</v>
      </c>
      <c r="P259" s="24">
        <v>0.1075</v>
      </c>
      <c r="Q259" s="31">
        <f>C259-N259</f>
        <v>0</v>
      </c>
      <c r="R259" s="41">
        <f>D259-O259</f>
        <v>0</v>
      </c>
      <c r="S259" s="41">
        <f>E259-P259</f>
        <v>0</v>
      </c>
      <c r="U259" s="12"/>
      <c r="V259" s="12"/>
      <c r="W259" s="12"/>
    </row>
    <row r="260" spans="1:23" x14ac:dyDescent="0.15">
      <c r="A260" s="1">
        <v>6</v>
      </c>
      <c r="B260" s="1">
        <v>12</v>
      </c>
      <c r="C260" s="10">
        <v>0.68</v>
      </c>
      <c r="D260" s="5">
        <v>60</v>
      </c>
      <c r="E260" s="10">
        <v>0.11749999999999999</v>
      </c>
      <c r="F260" s="5">
        <v>770</v>
      </c>
      <c r="G260" s="5">
        <v>40</v>
      </c>
      <c r="I260" s="40">
        <f t="shared" si="7"/>
        <v>770</v>
      </c>
      <c r="J260" s="40">
        <f t="shared" si="8"/>
        <v>40</v>
      </c>
      <c r="K260" s="1">
        <v>770</v>
      </c>
      <c r="L260" s="1">
        <v>40</v>
      </c>
      <c r="M260">
        <f t="shared" si="9"/>
        <v>0</v>
      </c>
      <c r="N260" s="1">
        <v>0.68</v>
      </c>
      <c r="O260" s="1">
        <v>60</v>
      </c>
      <c r="P260" s="24">
        <v>0.11749999999999999</v>
      </c>
      <c r="Q260" s="31">
        <f>C260-N260</f>
        <v>0</v>
      </c>
      <c r="R260" s="41">
        <f>D260-O260</f>
        <v>0</v>
      </c>
      <c r="S260" s="41">
        <f>E260-P260</f>
        <v>0</v>
      </c>
    </row>
    <row r="261" spans="1:23" x14ac:dyDescent="0.15">
      <c r="A261" s="1">
        <v>6</v>
      </c>
      <c r="B261" s="1">
        <v>12</v>
      </c>
      <c r="C261" s="10">
        <v>0.68</v>
      </c>
      <c r="D261" s="5">
        <v>60</v>
      </c>
      <c r="E261" s="10">
        <v>0.1275</v>
      </c>
      <c r="F261" s="5">
        <v>1020</v>
      </c>
      <c r="G261" s="5">
        <v>100</v>
      </c>
      <c r="I261" s="40">
        <f t="shared" si="7"/>
        <v>1020</v>
      </c>
      <c r="J261" s="40">
        <f t="shared" si="8"/>
        <v>100</v>
      </c>
      <c r="K261" s="1">
        <v>1020</v>
      </c>
      <c r="L261" s="1">
        <v>100</v>
      </c>
      <c r="M261">
        <f t="shared" si="9"/>
        <v>0</v>
      </c>
      <c r="N261" s="1">
        <v>0.68</v>
      </c>
      <c r="O261" s="1">
        <v>60</v>
      </c>
      <c r="P261" s="24">
        <v>0.1275</v>
      </c>
      <c r="Q261" s="31">
        <f>C261-N261</f>
        <v>0</v>
      </c>
      <c r="R261" s="41">
        <f>D261-O261</f>
        <v>0</v>
      </c>
      <c r="S261" s="41">
        <f>E261-P261</f>
        <v>0</v>
      </c>
    </row>
    <row r="262" spans="1:23" x14ac:dyDescent="0.15">
      <c r="A262" s="1">
        <v>6</v>
      </c>
      <c r="B262" s="1">
        <v>12</v>
      </c>
      <c r="C262" s="10">
        <v>0.68</v>
      </c>
      <c r="D262" s="5">
        <v>60</v>
      </c>
      <c r="E262" s="10">
        <v>0.13750000000000001</v>
      </c>
      <c r="F262" s="5">
        <v>1220</v>
      </c>
      <c r="G262" s="5">
        <v>50</v>
      </c>
      <c r="I262" s="40">
        <f t="shared" si="7"/>
        <v>1220</v>
      </c>
      <c r="J262" s="40">
        <f t="shared" si="8"/>
        <v>50</v>
      </c>
      <c r="K262" s="1">
        <v>1220</v>
      </c>
      <c r="L262" s="1">
        <v>50</v>
      </c>
      <c r="M262">
        <f t="shared" si="9"/>
        <v>0</v>
      </c>
      <c r="N262" s="1">
        <v>0.68</v>
      </c>
      <c r="O262" s="1">
        <v>60</v>
      </c>
      <c r="P262" s="24">
        <v>0.13750000000000001</v>
      </c>
      <c r="Q262" s="31">
        <f>C262-N262</f>
        <v>0</v>
      </c>
      <c r="R262" s="41">
        <f>D262-O262</f>
        <v>0</v>
      </c>
      <c r="S262" s="41">
        <f>E262-P262</f>
        <v>0</v>
      </c>
    </row>
    <row r="263" spans="1:23" s="15" customFormat="1" x14ac:dyDescent="0.15">
      <c r="A263" s="1">
        <v>6</v>
      </c>
      <c r="B263" s="1">
        <v>12</v>
      </c>
      <c r="C263" s="10">
        <v>0.68</v>
      </c>
      <c r="D263" s="5">
        <v>60</v>
      </c>
      <c r="E263" s="10">
        <v>0.14749999999999999</v>
      </c>
      <c r="F263" s="5">
        <v>1570</v>
      </c>
      <c r="G263" s="5">
        <v>60</v>
      </c>
      <c r="H263" s="12"/>
      <c r="I263" s="40">
        <f t="shared" si="7"/>
        <v>1570</v>
      </c>
      <c r="J263" s="40">
        <f t="shared" si="8"/>
        <v>60</v>
      </c>
      <c r="K263" s="1">
        <v>1570</v>
      </c>
      <c r="L263" s="1">
        <v>60</v>
      </c>
      <c r="M263">
        <f t="shared" si="9"/>
        <v>0</v>
      </c>
      <c r="N263" s="1">
        <v>0.68</v>
      </c>
      <c r="O263" s="1">
        <v>60</v>
      </c>
      <c r="P263" s="24">
        <v>0.14749999999999999</v>
      </c>
      <c r="Q263" s="31">
        <f>C263-N263</f>
        <v>0</v>
      </c>
      <c r="R263" s="41">
        <f>D263-O263</f>
        <v>0</v>
      </c>
      <c r="S263" s="41">
        <f>E263-P263</f>
        <v>0</v>
      </c>
      <c r="U263" s="12"/>
      <c r="V263" s="12"/>
      <c r="W263" s="12"/>
    </row>
    <row r="264" spans="1:23" x14ac:dyDescent="0.15">
      <c r="A264" s="1">
        <v>6</v>
      </c>
      <c r="B264" s="1">
        <v>12</v>
      </c>
      <c r="C264" s="10">
        <v>0.68</v>
      </c>
      <c r="D264" s="5">
        <v>60</v>
      </c>
      <c r="E264" s="10">
        <v>0.1575</v>
      </c>
      <c r="F264" s="5">
        <v>1830</v>
      </c>
      <c r="G264" s="5">
        <v>70</v>
      </c>
      <c r="I264" s="40">
        <f t="shared" si="7"/>
        <v>1830</v>
      </c>
      <c r="J264" s="40">
        <f t="shared" si="8"/>
        <v>70</v>
      </c>
      <c r="K264" s="1">
        <v>1830</v>
      </c>
      <c r="L264" s="1">
        <v>70</v>
      </c>
      <c r="M264">
        <f t="shared" si="9"/>
        <v>0</v>
      </c>
      <c r="N264" s="1">
        <v>0.68</v>
      </c>
      <c r="O264" s="1">
        <v>60</v>
      </c>
      <c r="P264" s="24">
        <v>0.1575</v>
      </c>
      <c r="Q264" s="31">
        <f>C264-N264</f>
        <v>0</v>
      </c>
      <c r="R264" s="41">
        <f>D264-O264</f>
        <v>0</v>
      </c>
      <c r="S264" s="41">
        <f>E264-P264</f>
        <v>0</v>
      </c>
    </row>
    <row r="265" spans="1:23" ht="14" thickBot="1" x14ac:dyDescent="0.2">
      <c r="A265" s="1">
        <v>6</v>
      </c>
      <c r="B265" s="1">
        <v>12</v>
      </c>
      <c r="C265" s="10">
        <v>0.68</v>
      </c>
      <c r="D265" s="5">
        <v>60</v>
      </c>
      <c r="E265" s="10">
        <v>0.16750000000000001</v>
      </c>
      <c r="F265" s="5">
        <v>1990</v>
      </c>
      <c r="G265" s="5">
        <v>80</v>
      </c>
      <c r="I265" s="40">
        <f t="shared" si="7"/>
        <v>1990</v>
      </c>
      <c r="J265" s="40">
        <f t="shared" si="8"/>
        <v>80</v>
      </c>
      <c r="K265" s="1">
        <v>1990</v>
      </c>
      <c r="L265" s="1">
        <v>80</v>
      </c>
      <c r="M265">
        <f t="shared" si="9"/>
        <v>0</v>
      </c>
      <c r="N265" s="1">
        <v>0.68</v>
      </c>
      <c r="O265" s="1">
        <v>60</v>
      </c>
      <c r="P265" s="44">
        <v>0.16750000000000001</v>
      </c>
      <c r="Q265" s="31">
        <f>C265-N265</f>
        <v>0</v>
      </c>
      <c r="R265" s="41">
        <f>D265-O265</f>
        <v>0</v>
      </c>
      <c r="S265" s="41">
        <f>E265-P265</f>
        <v>0</v>
      </c>
    </row>
    <row r="266" spans="1:23" ht="14" thickTop="1" x14ac:dyDescent="0.15">
      <c r="A266" s="1">
        <v>6</v>
      </c>
      <c r="B266" s="1">
        <v>12</v>
      </c>
      <c r="C266" s="10">
        <v>0.68</v>
      </c>
      <c r="D266" s="5">
        <v>60</v>
      </c>
      <c r="E266" s="10">
        <v>0.17749999999999999</v>
      </c>
      <c r="F266" s="5">
        <v>2240</v>
      </c>
      <c r="G266" s="5">
        <v>90</v>
      </c>
      <c r="I266" s="40">
        <f t="shared" si="7"/>
        <v>2240</v>
      </c>
      <c r="J266" s="40">
        <f t="shared" si="8"/>
        <v>90</v>
      </c>
      <c r="K266" s="1">
        <v>2240</v>
      </c>
      <c r="L266" s="1">
        <v>90</v>
      </c>
      <c r="M266">
        <f t="shared" si="9"/>
        <v>0</v>
      </c>
      <c r="N266" s="1">
        <v>0.68</v>
      </c>
      <c r="O266" s="1">
        <v>60</v>
      </c>
      <c r="P266" s="24">
        <v>0.17749999999999999</v>
      </c>
      <c r="Q266" s="31">
        <f>C266-N266</f>
        <v>0</v>
      </c>
      <c r="R266" s="41">
        <f>D266-O266</f>
        <v>0</v>
      </c>
      <c r="S266" s="41">
        <f>E266-P266</f>
        <v>0</v>
      </c>
    </row>
    <row r="267" spans="1:23" x14ac:dyDescent="0.15">
      <c r="A267" s="1">
        <v>6</v>
      </c>
      <c r="B267" s="1">
        <v>12</v>
      </c>
      <c r="C267" s="10">
        <v>0.68</v>
      </c>
      <c r="D267" s="5">
        <v>60</v>
      </c>
      <c r="E267" s="10">
        <v>0.1875</v>
      </c>
      <c r="F267" s="5">
        <v>2400</v>
      </c>
      <c r="G267" s="5">
        <v>100</v>
      </c>
      <c r="I267" s="40">
        <f t="shared" si="7"/>
        <v>2400</v>
      </c>
      <c r="J267" s="40">
        <f t="shared" si="8"/>
        <v>100</v>
      </c>
      <c r="K267" s="1">
        <v>2400</v>
      </c>
      <c r="L267" s="1">
        <v>100</v>
      </c>
      <c r="M267">
        <f t="shared" si="9"/>
        <v>0</v>
      </c>
      <c r="N267" s="1">
        <v>0.68</v>
      </c>
      <c r="O267" s="1">
        <v>60</v>
      </c>
      <c r="P267" s="24">
        <v>0.1875</v>
      </c>
      <c r="Q267" s="31">
        <f>C267-N267</f>
        <v>0</v>
      </c>
      <c r="R267" s="41">
        <f>D267-O267</f>
        <v>0</v>
      </c>
      <c r="S267" s="41">
        <f>E267-P267</f>
        <v>0</v>
      </c>
    </row>
    <row r="268" spans="1:23" x14ac:dyDescent="0.15">
      <c r="A268" s="1">
        <v>6</v>
      </c>
      <c r="B268" s="1">
        <v>12</v>
      </c>
      <c r="C268" s="10">
        <v>0.68</v>
      </c>
      <c r="D268" s="5">
        <v>60</v>
      </c>
      <c r="E268" s="10">
        <v>0.19750000000000001</v>
      </c>
      <c r="F268" s="5">
        <v>2510</v>
      </c>
      <c r="G268" s="5">
        <v>100</v>
      </c>
      <c r="I268" s="40">
        <f t="shared" si="7"/>
        <v>2510</v>
      </c>
      <c r="J268" s="40">
        <f t="shared" si="8"/>
        <v>100</v>
      </c>
      <c r="K268" s="1">
        <v>2510</v>
      </c>
      <c r="L268" s="1">
        <v>100</v>
      </c>
      <c r="M268">
        <f t="shared" si="9"/>
        <v>0</v>
      </c>
      <c r="N268" s="1">
        <v>0.68</v>
      </c>
      <c r="O268" s="1">
        <v>60</v>
      </c>
      <c r="P268" s="24">
        <v>0.19750000000000001</v>
      </c>
      <c r="Q268" s="31">
        <f>C268-N268</f>
        <v>0</v>
      </c>
      <c r="R268" s="41">
        <f>D268-O268</f>
        <v>0</v>
      </c>
      <c r="S268" s="41">
        <f>E268-P268</f>
        <v>0</v>
      </c>
    </row>
    <row r="269" spans="1:23" x14ac:dyDescent="0.15">
      <c r="A269" s="1">
        <v>6</v>
      </c>
      <c r="B269" s="1">
        <v>12</v>
      </c>
      <c r="C269" s="10">
        <v>0.68</v>
      </c>
      <c r="D269" s="5">
        <v>60</v>
      </c>
      <c r="E269" s="10">
        <v>0.20749999999999999</v>
      </c>
      <c r="F269" s="5">
        <v>2450</v>
      </c>
      <c r="G269" s="5">
        <v>100</v>
      </c>
      <c r="I269" s="40">
        <f t="shared" si="7"/>
        <v>2450</v>
      </c>
      <c r="J269" s="40">
        <f t="shared" si="8"/>
        <v>100</v>
      </c>
      <c r="K269" s="1">
        <v>2450</v>
      </c>
      <c r="L269" s="1">
        <v>100</v>
      </c>
      <c r="M269">
        <f t="shared" si="9"/>
        <v>0</v>
      </c>
      <c r="N269" s="1">
        <v>0.68</v>
      </c>
      <c r="O269" s="1">
        <v>60</v>
      </c>
      <c r="P269" s="24">
        <v>0.20749999999999999</v>
      </c>
      <c r="Q269" s="31">
        <f>C269-N269</f>
        <v>0</v>
      </c>
      <c r="R269" s="41">
        <f>D269-O269</f>
        <v>0</v>
      </c>
      <c r="S269" s="41">
        <f>E269-P269</f>
        <v>0</v>
      </c>
    </row>
    <row r="270" spans="1:23" x14ac:dyDescent="0.15">
      <c r="A270" s="1">
        <v>6</v>
      </c>
      <c r="B270" s="1">
        <v>12</v>
      </c>
      <c r="C270" s="10">
        <v>0.68</v>
      </c>
      <c r="D270" s="5">
        <v>60</v>
      </c>
      <c r="E270" s="10">
        <v>0.2175</v>
      </c>
      <c r="F270" s="5">
        <v>2530</v>
      </c>
      <c r="G270" s="5">
        <v>100</v>
      </c>
      <c r="I270" s="40">
        <f t="shared" si="7"/>
        <v>2530</v>
      </c>
      <c r="J270" s="40">
        <f t="shared" si="8"/>
        <v>100</v>
      </c>
      <c r="K270" s="1">
        <v>2530</v>
      </c>
      <c r="L270" s="1">
        <v>100</v>
      </c>
      <c r="M270">
        <f t="shared" si="9"/>
        <v>0</v>
      </c>
      <c r="N270" s="1">
        <v>0.68</v>
      </c>
      <c r="O270" s="1">
        <v>60</v>
      </c>
      <c r="P270" s="24">
        <v>0.2175</v>
      </c>
      <c r="Q270" s="31">
        <f>C270-N270</f>
        <v>0</v>
      </c>
      <c r="R270" s="41">
        <f>D270-O270</f>
        <v>0</v>
      </c>
      <c r="S270" s="41">
        <f>E270-P270</f>
        <v>0</v>
      </c>
    </row>
    <row r="271" spans="1:23" x14ac:dyDescent="0.15">
      <c r="A271" s="1">
        <v>6</v>
      </c>
      <c r="B271" s="1">
        <v>12</v>
      </c>
      <c r="C271" s="10">
        <v>0.68</v>
      </c>
      <c r="D271" s="5">
        <v>60</v>
      </c>
      <c r="E271" s="10">
        <v>0.22750000000000001</v>
      </c>
      <c r="F271" s="5">
        <v>2430</v>
      </c>
      <c r="G271" s="5">
        <v>100</v>
      </c>
      <c r="I271" s="40">
        <f t="shared" si="7"/>
        <v>2430</v>
      </c>
      <c r="J271" s="40">
        <f t="shared" si="8"/>
        <v>100</v>
      </c>
      <c r="K271" s="1">
        <v>2430</v>
      </c>
      <c r="L271" s="1">
        <v>100</v>
      </c>
      <c r="M271">
        <f t="shared" si="9"/>
        <v>0</v>
      </c>
      <c r="N271" s="1">
        <v>0.68</v>
      </c>
      <c r="O271" s="1">
        <v>60</v>
      </c>
      <c r="P271" s="24">
        <v>0.22750000000000001</v>
      </c>
      <c r="Q271" s="31">
        <f>C271-N271</f>
        <v>0</v>
      </c>
      <c r="R271" s="41">
        <f>D271-O271</f>
        <v>0</v>
      </c>
      <c r="S271" s="41">
        <f>E271-P271</f>
        <v>0</v>
      </c>
    </row>
    <row r="272" spans="1:23" x14ac:dyDescent="0.15">
      <c r="A272" s="1">
        <v>6</v>
      </c>
      <c r="B272" s="1">
        <v>12</v>
      </c>
      <c r="C272" s="10">
        <v>0.68</v>
      </c>
      <c r="D272" s="5">
        <v>60</v>
      </c>
      <c r="E272" s="10">
        <v>0.23749999999999999</v>
      </c>
      <c r="F272" s="5">
        <v>2290</v>
      </c>
      <c r="G272" s="5">
        <v>100</v>
      </c>
      <c r="I272" s="40">
        <f t="shared" si="7"/>
        <v>2290</v>
      </c>
      <c r="J272" s="40">
        <f t="shared" si="8"/>
        <v>100</v>
      </c>
      <c r="K272" s="1">
        <v>2290</v>
      </c>
      <c r="L272" s="1">
        <v>100</v>
      </c>
      <c r="M272">
        <f t="shared" si="9"/>
        <v>0</v>
      </c>
      <c r="N272" s="1">
        <v>0.68</v>
      </c>
      <c r="O272" s="1">
        <v>60</v>
      </c>
      <c r="P272" s="24">
        <v>0.23749999999999999</v>
      </c>
      <c r="Q272" s="31">
        <f>C272-N272</f>
        <v>0</v>
      </c>
      <c r="R272" s="41">
        <f>D272-O272</f>
        <v>0</v>
      </c>
      <c r="S272" s="41">
        <f>E272-P272</f>
        <v>0</v>
      </c>
    </row>
    <row r="273" spans="1:19" x14ac:dyDescent="0.15">
      <c r="A273" s="1">
        <v>6</v>
      </c>
      <c r="B273" s="1">
        <v>12</v>
      </c>
      <c r="C273" s="10">
        <v>0.68</v>
      </c>
      <c r="D273" s="5">
        <v>60</v>
      </c>
      <c r="E273" s="10">
        <v>0.2475</v>
      </c>
      <c r="F273" s="5">
        <v>2130</v>
      </c>
      <c r="G273" s="5">
        <v>90</v>
      </c>
      <c r="I273" s="40">
        <f t="shared" si="7"/>
        <v>2130</v>
      </c>
      <c r="J273" s="40">
        <f t="shared" si="8"/>
        <v>90</v>
      </c>
      <c r="K273" s="1">
        <v>2130</v>
      </c>
      <c r="L273" s="1">
        <v>90</v>
      </c>
      <c r="M273">
        <f t="shared" si="9"/>
        <v>0</v>
      </c>
      <c r="N273" s="1">
        <v>0.68</v>
      </c>
      <c r="O273" s="1">
        <v>60</v>
      </c>
      <c r="P273" s="24">
        <v>0.2475</v>
      </c>
      <c r="Q273" s="31">
        <f>C273-N273</f>
        <v>0</v>
      </c>
      <c r="R273" s="41">
        <f>D273-O273</f>
        <v>0</v>
      </c>
      <c r="S273" s="41">
        <f>E273-P273</f>
        <v>0</v>
      </c>
    </row>
    <row r="274" spans="1:19" x14ac:dyDescent="0.15">
      <c r="A274" s="1">
        <v>6</v>
      </c>
      <c r="B274" s="1">
        <v>12</v>
      </c>
      <c r="C274" s="10">
        <v>0.68</v>
      </c>
      <c r="D274" s="5">
        <v>60</v>
      </c>
      <c r="E274" s="10">
        <v>0.25750000000000001</v>
      </c>
      <c r="F274" s="5">
        <v>1950</v>
      </c>
      <c r="G274" s="5">
        <v>90</v>
      </c>
      <c r="I274" s="40">
        <f t="shared" si="7"/>
        <v>1950</v>
      </c>
      <c r="J274" s="40">
        <f t="shared" si="8"/>
        <v>90</v>
      </c>
      <c r="K274" s="1">
        <v>1950</v>
      </c>
      <c r="L274" s="1">
        <v>90</v>
      </c>
      <c r="M274">
        <f t="shared" si="9"/>
        <v>0</v>
      </c>
      <c r="N274" s="1">
        <v>0.68</v>
      </c>
      <c r="O274" s="1">
        <v>60</v>
      </c>
      <c r="P274" s="24">
        <v>0.25750000000000001</v>
      </c>
      <c r="Q274" s="31">
        <f>C274-N274</f>
        <v>0</v>
      </c>
      <c r="R274" s="41">
        <f>D274-O274</f>
        <v>0</v>
      </c>
      <c r="S274" s="41">
        <f>E274-P274</f>
        <v>0</v>
      </c>
    </row>
    <row r="275" spans="1:19" x14ac:dyDescent="0.15">
      <c r="A275" s="1">
        <v>6</v>
      </c>
      <c r="B275" s="1">
        <v>12</v>
      </c>
      <c r="C275" s="10">
        <v>0.68</v>
      </c>
      <c r="D275" s="5">
        <v>60</v>
      </c>
      <c r="E275" s="10">
        <v>0.26750000000000002</v>
      </c>
      <c r="F275" s="5">
        <v>1620</v>
      </c>
      <c r="G275" s="5">
        <v>80</v>
      </c>
      <c r="I275" s="40">
        <f t="shared" si="7"/>
        <v>1620</v>
      </c>
      <c r="J275" s="40">
        <f t="shared" si="8"/>
        <v>80</v>
      </c>
      <c r="K275" s="1">
        <v>1620</v>
      </c>
      <c r="L275" s="1">
        <v>80</v>
      </c>
      <c r="M275">
        <f t="shared" si="9"/>
        <v>0</v>
      </c>
      <c r="N275" s="1">
        <v>0.68</v>
      </c>
      <c r="O275" s="1">
        <v>60</v>
      </c>
      <c r="P275" s="24">
        <v>0.26750000000000002</v>
      </c>
      <c r="Q275" s="31">
        <f>C275-N275</f>
        <v>0</v>
      </c>
      <c r="R275" s="41">
        <f>D275-O275</f>
        <v>0</v>
      </c>
      <c r="S275" s="41">
        <f>E275-P275</f>
        <v>0</v>
      </c>
    </row>
    <row r="276" spans="1:19" x14ac:dyDescent="0.15">
      <c r="A276" s="1">
        <v>6</v>
      </c>
      <c r="B276" s="1">
        <v>12</v>
      </c>
      <c r="C276" s="10">
        <v>0.68</v>
      </c>
      <c r="D276" s="5">
        <v>60</v>
      </c>
      <c r="E276" s="10">
        <v>0.27750000000000002</v>
      </c>
      <c r="F276" s="5">
        <v>1600</v>
      </c>
      <c r="G276" s="5">
        <v>80</v>
      </c>
      <c r="I276" s="40">
        <f t="shared" si="7"/>
        <v>1600</v>
      </c>
      <c r="J276" s="40">
        <f t="shared" si="8"/>
        <v>80</v>
      </c>
      <c r="K276" s="1">
        <v>1600</v>
      </c>
      <c r="L276" s="1">
        <v>80</v>
      </c>
      <c r="M276">
        <f t="shared" si="9"/>
        <v>0</v>
      </c>
      <c r="N276" s="1">
        <v>0.68</v>
      </c>
      <c r="O276" s="1">
        <v>60</v>
      </c>
      <c r="P276" s="24">
        <v>0.27750000000000002</v>
      </c>
      <c r="Q276" s="31">
        <f>C276-N276</f>
        <v>0</v>
      </c>
      <c r="R276" s="41">
        <f>D276-O276</f>
        <v>0</v>
      </c>
      <c r="S276" s="41">
        <f>E276-P276</f>
        <v>0</v>
      </c>
    </row>
    <row r="277" spans="1:19" x14ac:dyDescent="0.15">
      <c r="A277" s="1">
        <v>6</v>
      </c>
      <c r="B277" s="1">
        <v>12</v>
      </c>
      <c r="C277" s="10">
        <v>0.68</v>
      </c>
      <c r="D277" s="5">
        <v>60</v>
      </c>
      <c r="E277" s="10">
        <v>0.28749999999999998</v>
      </c>
      <c r="F277" s="5">
        <v>1470</v>
      </c>
      <c r="G277" s="5">
        <v>80</v>
      </c>
      <c r="I277" s="40">
        <f t="shared" si="7"/>
        <v>1470</v>
      </c>
      <c r="J277" s="40">
        <f t="shared" si="8"/>
        <v>80</v>
      </c>
      <c r="K277" s="1">
        <v>1470</v>
      </c>
      <c r="L277" s="1">
        <v>80</v>
      </c>
      <c r="M277">
        <f t="shared" si="9"/>
        <v>0</v>
      </c>
      <c r="N277" s="1">
        <v>0.68</v>
      </c>
      <c r="O277" s="1">
        <v>60</v>
      </c>
      <c r="P277" s="24">
        <v>0.28749999999999998</v>
      </c>
      <c r="Q277" s="31">
        <f>C277-N277</f>
        <v>0</v>
      </c>
      <c r="R277" s="41">
        <f>D277-O277</f>
        <v>0</v>
      </c>
      <c r="S277" s="41">
        <f>E277-P277</f>
        <v>0</v>
      </c>
    </row>
    <row r="278" spans="1:19" x14ac:dyDescent="0.15">
      <c r="A278" s="1">
        <v>6</v>
      </c>
      <c r="B278" s="1">
        <v>12</v>
      </c>
      <c r="C278" s="10">
        <v>0.68</v>
      </c>
      <c r="D278" s="5">
        <v>60</v>
      </c>
      <c r="E278" s="10">
        <v>0.29749999999999999</v>
      </c>
      <c r="F278" s="5">
        <v>1440</v>
      </c>
      <c r="G278" s="5">
        <v>70</v>
      </c>
      <c r="I278" s="40">
        <f t="shared" si="7"/>
        <v>1440</v>
      </c>
      <c r="J278" s="40">
        <f t="shared" si="8"/>
        <v>70</v>
      </c>
      <c r="K278" s="1">
        <v>1440</v>
      </c>
      <c r="L278" s="1">
        <v>70</v>
      </c>
      <c r="M278">
        <f t="shared" si="9"/>
        <v>0</v>
      </c>
      <c r="N278" s="1">
        <v>0.68</v>
      </c>
      <c r="O278" s="1">
        <v>60</v>
      </c>
      <c r="P278" s="24">
        <v>0.29749999999999999</v>
      </c>
      <c r="Q278" s="31">
        <f>C278-N278</f>
        <v>0</v>
      </c>
      <c r="R278" s="41">
        <f>D278-O278</f>
        <v>0</v>
      </c>
      <c r="S278" s="41">
        <f>E278-P278</f>
        <v>0</v>
      </c>
    </row>
    <row r="279" spans="1:19" x14ac:dyDescent="0.15">
      <c r="A279" s="1">
        <v>6</v>
      </c>
      <c r="B279" s="1">
        <v>12</v>
      </c>
      <c r="C279" s="10">
        <v>0.68</v>
      </c>
      <c r="D279" s="5">
        <v>60</v>
      </c>
      <c r="E279" s="10">
        <v>0.3075</v>
      </c>
      <c r="F279" s="5">
        <v>1390</v>
      </c>
      <c r="G279" s="5">
        <v>70</v>
      </c>
      <c r="I279" s="40">
        <f t="shared" si="7"/>
        <v>1390</v>
      </c>
      <c r="J279" s="40">
        <f t="shared" si="8"/>
        <v>70</v>
      </c>
      <c r="K279" s="1">
        <v>1390</v>
      </c>
      <c r="L279" s="1">
        <v>70</v>
      </c>
      <c r="M279">
        <f t="shared" si="9"/>
        <v>0</v>
      </c>
      <c r="N279" s="1">
        <v>0.68</v>
      </c>
      <c r="O279" s="1">
        <v>60</v>
      </c>
      <c r="P279" s="24">
        <v>0.3075</v>
      </c>
      <c r="Q279" s="31">
        <f>C279-N279</f>
        <v>0</v>
      </c>
      <c r="R279" s="41">
        <f>D279-O279</f>
        <v>0</v>
      </c>
      <c r="S279" s="41">
        <f>E279-P279</f>
        <v>0</v>
      </c>
    </row>
    <row r="280" spans="1:19" x14ac:dyDescent="0.15">
      <c r="A280" s="1">
        <v>6</v>
      </c>
      <c r="B280" s="1">
        <v>12</v>
      </c>
      <c r="C280" s="10">
        <v>0.68</v>
      </c>
      <c r="D280" s="5">
        <v>60</v>
      </c>
      <c r="E280" s="10">
        <v>0.3175</v>
      </c>
      <c r="F280" s="5">
        <v>1510</v>
      </c>
      <c r="G280" s="5">
        <v>80</v>
      </c>
      <c r="I280" s="40">
        <f t="shared" si="7"/>
        <v>1510</v>
      </c>
      <c r="J280" s="40">
        <f t="shared" si="8"/>
        <v>80</v>
      </c>
      <c r="K280" s="1">
        <v>1510</v>
      </c>
      <c r="L280" s="1">
        <v>80</v>
      </c>
      <c r="M280">
        <f t="shared" si="9"/>
        <v>0</v>
      </c>
      <c r="N280" s="1">
        <v>0.68</v>
      </c>
      <c r="O280" s="1">
        <v>60</v>
      </c>
      <c r="P280" s="24">
        <v>0.3175</v>
      </c>
      <c r="Q280" s="31">
        <f>C280-N280</f>
        <v>0</v>
      </c>
      <c r="R280" s="41">
        <f>D280-O280</f>
        <v>0</v>
      </c>
      <c r="S280" s="41">
        <f>E280-P280</f>
        <v>0</v>
      </c>
    </row>
    <row r="281" spans="1:19" x14ac:dyDescent="0.15">
      <c r="A281" s="1">
        <v>6</v>
      </c>
      <c r="B281" s="1">
        <v>12</v>
      </c>
      <c r="C281" s="10">
        <v>0.68</v>
      </c>
      <c r="D281" s="5">
        <v>60</v>
      </c>
      <c r="E281" s="10">
        <v>0.32750000000000001</v>
      </c>
      <c r="F281" s="5">
        <v>1430</v>
      </c>
      <c r="G281" s="5">
        <v>70</v>
      </c>
      <c r="I281" s="40">
        <f t="shared" si="7"/>
        <v>1430</v>
      </c>
      <c r="J281" s="40">
        <f t="shared" si="8"/>
        <v>70</v>
      </c>
      <c r="K281" s="1">
        <v>1430</v>
      </c>
      <c r="L281" s="1">
        <v>70</v>
      </c>
      <c r="M281">
        <f t="shared" si="9"/>
        <v>0</v>
      </c>
      <c r="N281" s="1">
        <v>0.68</v>
      </c>
      <c r="O281" s="1">
        <v>60</v>
      </c>
      <c r="P281" s="24">
        <v>0.32750000000000001</v>
      </c>
      <c r="Q281" s="31">
        <f>C281-N281</f>
        <v>0</v>
      </c>
      <c r="R281" s="41">
        <f>D281-O281</f>
        <v>0</v>
      </c>
      <c r="S281" s="41">
        <f>E281-P281</f>
        <v>0</v>
      </c>
    </row>
    <row r="282" spans="1:19" x14ac:dyDescent="0.15">
      <c r="A282" s="1">
        <v>6</v>
      </c>
      <c r="B282" s="1">
        <v>12</v>
      </c>
      <c r="C282" s="10">
        <v>0.68</v>
      </c>
      <c r="D282" s="5">
        <v>60</v>
      </c>
      <c r="E282" s="10">
        <v>0.33750000000000002</v>
      </c>
      <c r="F282" s="5">
        <v>1460</v>
      </c>
      <c r="G282" s="5">
        <v>80</v>
      </c>
      <c r="I282" s="40">
        <f t="shared" si="7"/>
        <v>1460</v>
      </c>
      <c r="J282" s="40">
        <f t="shared" si="8"/>
        <v>80</v>
      </c>
      <c r="K282" s="1">
        <v>1460</v>
      </c>
      <c r="L282" s="1">
        <v>80</v>
      </c>
      <c r="M282">
        <f t="shared" si="9"/>
        <v>0</v>
      </c>
      <c r="N282" s="1">
        <v>0.68</v>
      </c>
      <c r="O282" s="1">
        <v>60</v>
      </c>
      <c r="P282" s="24">
        <v>0.33750000000000002</v>
      </c>
      <c r="Q282" s="31">
        <f>C282-N282</f>
        <v>0</v>
      </c>
      <c r="R282" s="41">
        <f>D282-O282</f>
        <v>0</v>
      </c>
      <c r="S282" s="41">
        <f>E282-P282</f>
        <v>0</v>
      </c>
    </row>
    <row r="283" spans="1:19" x14ac:dyDescent="0.15">
      <c r="A283" s="1">
        <v>6</v>
      </c>
      <c r="B283" s="1">
        <v>12</v>
      </c>
      <c r="C283" s="10">
        <v>0.68</v>
      </c>
      <c r="D283" s="5">
        <v>60</v>
      </c>
      <c r="E283" s="10">
        <v>0.34749999999999998</v>
      </c>
      <c r="F283" s="5">
        <v>1540</v>
      </c>
      <c r="G283" s="5">
        <v>80</v>
      </c>
      <c r="I283" s="40">
        <f t="shared" si="7"/>
        <v>1540</v>
      </c>
      <c r="J283" s="40">
        <f t="shared" si="8"/>
        <v>80</v>
      </c>
      <c r="K283" s="1">
        <v>1540</v>
      </c>
      <c r="L283" s="1">
        <v>80</v>
      </c>
      <c r="M283">
        <f t="shared" si="9"/>
        <v>0</v>
      </c>
      <c r="N283" s="1">
        <v>0.68</v>
      </c>
      <c r="O283" s="1">
        <v>60</v>
      </c>
      <c r="P283" s="24">
        <v>0.34749999999999998</v>
      </c>
      <c r="Q283" s="31">
        <f>C283-N283</f>
        <v>0</v>
      </c>
      <c r="R283" s="41">
        <f>D283-O283</f>
        <v>0</v>
      </c>
      <c r="S283" s="41">
        <f>E283-P283</f>
        <v>0</v>
      </c>
    </row>
    <row r="284" spans="1:19" x14ac:dyDescent="0.15">
      <c r="A284" s="1">
        <v>6</v>
      </c>
      <c r="B284" s="1">
        <v>12</v>
      </c>
      <c r="C284" s="10">
        <v>0.68</v>
      </c>
      <c r="D284" s="5">
        <v>60</v>
      </c>
      <c r="E284" s="10">
        <v>0.35749999999999998</v>
      </c>
      <c r="F284" s="5">
        <v>1650</v>
      </c>
      <c r="G284" s="5">
        <v>90</v>
      </c>
      <c r="I284" s="40">
        <f t="shared" si="7"/>
        <v>1650</v>
      </c>
      <c r="J284" s="40">
        <f t="shared" si="8"/>
        <v>90</v>
      </c>
      <c r="K284" s="1">
        <v>1650</v>
      </c>
      <c r="L284" s="1">
        <v>90</v>
      </c>
      <c r="M284">
        <f t="shared" si="9"/>
        <v>0</v>
      </c>
      <c r="N284" s="1">
        <v>0.68</v>
      </c>
      <c r="O284" s="1">
        <v>60</v>
      </c>
      <c r="P284" s="24">
        <v>0.35749999999999998</v>
      </c>
      <c r="Q284" s="31">
        <f>C284-N284</f>
        <v>0</v>
      </c>
      <c r="R284" s="41">
        <f>D284-O284</f>
        <v>0</v>
      </c>
      <c r="S284" s="41">
        <f>E284-P284</f>
        <v>0</v>
      </c>
    </row>
    <row r="285" spans="1:19" x14ac:dyDescent="0.15">
      <c r="A285" s="1">
        <v>6</v>
      </c>
      <c r="B285" s="1">
        <v>12</v>
      </c>
      <c r="C285" s="10">
        <v>0.68</v>
      </c>
      <c r="D285" s="5">
        <v>60</v>
      </c>
      <c r="E285" s="10">
        <v>0.36749999999999999</v>
      </c>
      <c r="F285" s="5">
        <v>1740</v>
      </c>
      <c r="G285" s="5">
        <v>90</v>
      </c>
      <c r="I285" s="40">
        <f t="shared" si="7"/>
        <v>1740</v>
      </c>
      <c r="J285" s="40">
        <f t="shared" si="8"/>
        <v>90</v>
      </c>
      <c r="K285" s="1">
        <v>1740</v>
      </c>
      <c r="L285" s="1">
        <v>90</v>
      </c>
      <c r="M285">
        <f t="shared" si="9"/>
        <v>0</v>
      </c>
      <c r="N285" s="1">
        <v>0.68</v>
      </c>
      <c r="O285" s="1">
        <v>60</v>
      </c>
      <c r="P285" s="24">
        <v>0.36749999999999999</v>
      </c>
      <c r="Q285" s="31">
        <f>C285-N285</f>
        <v>0</v>
      </c>
      <c r="R285" s="41">
        <f>D285-O285</f>
        <v>0</v>
      </c>
      <c r="S285" s="41">
        <f>E285-P285</f>
        <v>0</v>
      </c>
    </row>
    <row r="286" spans="1:19" x14ac:dyDescent="0.15">
      <c r="A286" s="1">
        <v>6</v>
      </c>
      <c r="B286" s="1">
        <v>12</v>
      </c>
      <c r="C286" s="10">
        <v>0.68</v>
      </c>
      <c r="D286" s="5">
        <v>60</v>
      </c>
      <c r="E286" s="10">
        <v>0.3775</v>
      </c>
      <c r="F286" s="5">
        <v>1780</v>
      </c>
      <c r="G286" s="5">
        <v>100</v>
      </c>
      <c r="I286" s="40">
        <f t="shared" si="7"/>
        <v>1780</v>
      </c>
      <c r="J286" s="40">
        <f t="shared" si="8"/>
        <v>100</v>
      </c>
      <c r="K286" s="1">
        <v>1780</v>
      </c>
      <c r="L286" s="1">
        <v>100</v>
      </c>
      <c r="M286">
        <f t="shared" si="9"/>
        <v>0</v>
      </c>
      <c r="N286" s="1">
        <v>0.68</v>
      </c>
      <c r="O286" s="1">
        <v>60</v>
      </c>
      <c r="P286" s="24">
        <v>0.3775</v>
      </c>
      <c r="Q286" s="31">
        <f>C286-N286</f>
        <v>0</v>
      </c>
      <c r="R286" s="41">
        <f>D286-O286</f>
        <v>0</v>
      </c>
      <c r="S286" s="41">
        <f>E286-P286</f>
        <v>0</v>
      </c>
    </row>
    <row r="287" spans="1:19" x14ac:dyDescent="0.15">
      <c r="A287" s="1">
        <v>6</v>
      </c>
      <c r="B287" s="1">
        <v>12</v>
      </c>
      <c r="C287" s="10">
        <v>0.68</v>
      </c>
      <c r="D287" s="5">
        <v>60</v>
      </c>
      <c r="E287" s="10">
        <v>0.38750000000000001</v>
      </c>
      <c r="F287" s="5">
        <v>1990</v>
      </c>
      <c r="G287" s="5">
        <v>100</v>
      </c>
      <c r="I287" s="40">
        <f t="shared" si="7"/>
        <v>1990</v>
      </c>
      <c r="J287" s="40">
        <f t="shared" si="8"/>
        <v>100</v>
      </c>
      <c r="K287" s="1">
        <v>1990</v>
      </c>
      <c r="L287" s="1">
        <v>100</v>
      </c>
      <c r="M287">
        <f t="shared" si="9"/>
        <v>0</v>
      </c>
      <c r="N287" s="1">
        <v>0.68</v>
      </c>
      <c r="O287" s="1">
        <v>60</v>
      </c>
      <c r="P287" s="24">
        <v>0.38750000000000001</v>
      </c>
      <c r="Q287" s="31">
        <f>C287-N287</f>
        <v>0</v>
      </c>
      <c r="R287" s="41">
        <f>D287-O287</f>
        <v>0</v>
      </c>
      <c r="S287" s="41">
        <f>E287-P287</f>
        <v>0</v>
      </c>
    </row>
    <row r="288" spans="1:19" x14ac:dyDescent="0.15">
      <c r="A288" s="1">
        <v>6</v>
      </c>
      <c r="B288" s="1">
        <v>12</v>
      </c>
      <c r="C288" s="10">
        <v>0.68</v>
      </c>
      <c r="D288" s="5">
        <v>60</v>
      </c>
      <c r="E288" s="10">
        <v>0.39750000000000002</v>
      </c>
      <c r="F288" s="5">
        <v>1980</v>
      </c>
      <c r="G288" s="5">
        <v>100</v>
      </c>
      <c r="I288" s="40">
        <f t="shared" si="7"/>
        <v>1980</v>
      </c>
      <c r="J288" s="40">
        <f t="shared" si="8"/>
        <v>100</v>
      </c>
      <c r="K288" s="1">
        <v>1980</v>
      </c>
      <c r="L288" s="1">
        <v>100</v>
      </c>
      <c r="M288">
        <f t="shared" si="9"/>
        <v>0</v>
      </c>
      <c r="N288" s="1">
        <v>0.68</v>
      </c>
      <c r="O288" s="1">
        <v>60</v>
      </c>
      <c r="P288" s="24">
        <v>0.39750000000000002</v>
      </c>
      <c r="Q288" s="31">
        <f>C288-N288</f>
        <v>0</v>
      </c>
      <c r="R288" s="41">
        <f>D288-O288</f>
        <v>0</v>
      </c>
      <c r="S288" s="41">
        <f>E288-P288</f>
        <v>0</v>
      </c>
    </row>
    <row r="289" spans="1:19" x14ac:dyDescent="0.15">
      <c r="A289" s="1">
        <v>6</v>
      </c>
      <c r="B289" s="1">
        <v>12</v>
      </c>
      <c r="C289" s="10">
        <v>0.68</v>
      </c>
      <c r="D289" s="5">
        <v>60</v>
      </c>
      <c r="E289" s="10">
        <v>0.40749999999999997</v>
      </c>
      <c r="F289" s="5">
        <v>1990</v>
      </c>
      <c r="G289" s="5">
        <v>100</v>
      </c>
      <c r="I289" s="40">
        <f t="shared" si="7"/>
        <v>1990</v>
      </c>
      <c r="J289" s="40">
        <f t="shared" si="8"/>
        <v>100</v>
      </c>
      <c r="K289" s="1">
        <v>1990</v>
      </c>
      <c r="L289" s="1">
        <v>110</v>
      </c>
      <c r="M289">
        <f t="shared" si="9"/>
        <v>-10</v>
      </c>
      <c r="N289" s="1">
        <v>0.68</v>
      </c>
      <c r="O289" s="1">
        <v>60</v>
      </c>
      <c r="P289" s="24">
        <v>0.40749999999999997</v>
      </c>
      <c r="Q289" s="31">
        <f>C289-N289</f>
        <v>0</v>
      </c>
      <c r="R289" s="41">
        <f>D289-O289</f>
        <v>0</v>
      </c>
      <c r="S289" s="41">
        <f>E289-P289</f>
        <v>0</v>
      </c>
    </row>
    <row r="290" spans="1:19" x14ac:dyDescent="0.15">
      <c r="A290" s="1">
        <v>6</v>
      </c>
      <c r="B290" s="1">
        <v>12</v>
      </c>
      <c r="C290" s="10">
        <v>0.68</v>
      </c>
      <c r="D290" s="5">
        <v>60</v>
      </c>
      <c r="E290" s="10">
        <v>0.41749999999999998</v>
      </c>
      <c r="F290" s="5">
        <v>2050</v>
      </c>
      <c r="G290" s="5">
        <v>120</v>
      </c>
      <c r="I290" s="40">
        <f t="shared" si="7"/>
        <v>2050</v>
      </c>
      <c r="J290" s="40">
        <f t="shared" si="8"/>
        <v>120</v>
      </c>
      <c r="K290" s="1">
        <v>2050</v>
      </c>
      <c r="L290" s="1">
        <v>120</v>
      </c>
      <c r="M290">
        <f t="shared" si="9"/>
        <v>0</v>
      </c>
      <c r="N290" s="1">
        <v>0.68</v>
      </c>
      <c r="O290" s="1">
        <v>60</v>
      </c>
      <c r="P290" s="24">
        <v>0.41749999999999998</v>
      </c>
      <c r="Q290" s="31">
        <f>C290-N290</f>
        <v>0</v>
      </c>
      <c r="R290" s="41">
        <f>D290-O290</f>
        <v>0</v>
      </c>
      <c r="S290" s="41">
        <f>E290-P290</f>
        <v>0</v>
      </c>
    </row>
    <row r="291" spans="1:19" x14ac:dyDescent="0.15">
      <c r="A291" s="1">
        <v>6</v>
      </c>
      <c r="B291" s="1">
        <v>12</v>
      </c>
      <c r="C291" s="10">
        <v>0.68</v>
      </c>
      <c r="D291" s="5">
        <v>60</v>
      </c>
      <c r="E291" s="10">
        <v>0.42749999999999999</v>
      </c>
      <c r="F291" s="5">
        <v>2220</v>
      </c>
      <c r="G291" s="5">
        <v>120</v>
      </c>
      <c r="I291" s="40">
        <f t="shared" si="7"/>
        <v>2220</v>
      </c>
      <c r="J291" s="40">
        <f t="shared" si="8"/>
        <v>120</v>
      </c>
      <c r="K291" s="1">
        <v>2220</v>
      </c>
      <c r="L291" s="1">
        <v>120</v>
      </c>
      <c r="M291">
        <f t="shared" si="9"/>
        <v>0</v>
      </c>
      <c r="N291" s="1">
        <v>0.68</v>
      </c>
      <c r="O291" s="1">
        <v>60</v>
      </c>
      <c r="P291" s="24">
        <v>0.42749999999999999</v>
      </c>
      <c r="Q291" s="31">
        <f>C291-N291</f>
        <v>0</v>
      </c>
      <c r="R291" s="41">
        <f>D291-O291</f>
        <v>0</v>
      </c>
      <c r="S291" s="41">
        <f>E291-P291</f>
        <v>0</v>
      </c>
    </row>
    <row r="292" spans="1:19" x14ac:dyDescent="0.15">
      <c r="A292" s="1">
        <v>6</v>
      </c>
      <c r="B292" s="1">
        <v>12</v>
      </c>
      <c r="C292" s="10">
        <v>0.68</v>
      </c>
      <c r="D292" s="5">
        <v>60</v>
      </c>
      <c r="E292" s="10">
        <v>0.4375</v>
      </c>
      <c r="F292" s="5">
        <v>2000</v>
      </c>
      <c r="G292" s="5">
        <v>120</v>
      </c>
      <c r="I292" s="40">
        <f t="shared" si="7"/>
        <v>2000</v>
      </c>
      <c r="J292" s="40">
        <f t="shared" si="8"/>
        <v>120</v>
      </c>
      <c r="K292" s="1">
        <v>2000</v>
      </c>
      <c r="L292" s="1">
        <v>120</v>
      </c>
      <c r="M292">
        <f t="shared" si="9"/>
        <v>0</v>
      </c>
      <c r="N292" s="1">
        <v>0.68</v>
      </c>
      <c r="O292" s="1">
        <v>60</v>
      </c>
      <c r="P292" s="24">
        <v>0.4375</v>
      </c>
      <c r="Q292" s="31">
        <f>C292-N292</f>
        <v>0</v>
      </c>
      <c r="R292" s="41">
        <f>D292-O292</f>
        <v>0</v>
      </c>
      <c r="S292" s="41">
        <f>E292-P292</f>
        <v>0</v>
      </c>
    </row>
    <row r="293" spans="1:19" x14ac:dyDescent="0.15">
      <c r="A293" s="1">
        <v>6</v>
      </c>
      <c r="B293" s="1">
        <v>12</v>
      </c>
      <c r="C293" s="10">
        <v>0.68</v>
      </c>
      <c r="D293" s="5">
        <v>60</v>
      </c>
      <c r="E293" s="10">
        <v>0.44750000000000001</v>
      </c>
      <c r="F293" s="5">
        <v>2250</v>
      </c>
      <c r="G293" s="5">
        <v>130</v>
      </c>
      <c r="I293" s="40">
        <f t="shared" si="7"/>
        <v>2250</v>
      </c>
      <c r="J293" s="40">
        <f t="shared" si="8"/>
        <v>130</v>
      </c>
      <c r="K293" s="1">
        <v>2250</v>
      </c>
      <c r="L293" s="1">
        <v>130</v>
      </c>
      <c r="M293">
        <f t="shared" si="9"/>
        <v>0</v>
      </c>
      <c r="N293" s="1">
        <v>0.68</v>
      </c>
      <c r="O293" s="1">
        <v>60</v>
      </c>
      <c r="P293" s="24">
        <v>0.44750000000000001</v>
      </c>
      <c r="Q293" s="31">
        <f>C293-N293</f>
        <v>0</v>
      </c>
      <c r="R293" s="41">
        <f>D293-O293</f>
        <v>0</v>
      </c>
      <c r="S293" s="41">
        <f>E293-P293</f>
        <v>0</v>
      </c>
    </row>
    <row r="294" spans="1:19" x14ac:dyDescent="0.15">
      <c r="A294" s="1">
        <v>6</v>
      </c>
      <c r="B294" s="1">
        <v>12</v>
      </c>
      <c r="C294" s="10">
        <v>0.68</v>
      </c>
      <c r="D294" s="5">
        <v>60</v>
      </c>
      <c r="E294" s="10">
        <v>0.45750000000000002</v>
      </c>
      <c r="F294" s="5">
        <v>2080</v>
      </c>
      <c r="G294" s="5">
        <v>140</v>
      </c>
      <c r="I294" s="40">
        <f t="shared" si="7"/>
        <v>2080</v>
      </c>
      <c r="J294" s="40">
        <f t="shared" si="8"/>
        <v>140</v>
      </c>
      <c r="K294" s="1">
        <v>2080</v>
      </c>
      <c r="L294" s="1">
        <v>140</v>
      </c>
      <c r="M294">
        <f t="shared" si="9"/>
        <v>0</v>
      </c>
      <c r="N294" s="1">
        <v>0.68</v>
      </c>
      <c r="O294" s="1">
        <v>60</v>
      </c>
      <c r="P294" s="24">
        <v>0.45750000000000002</v>
      </c>
      <c r="Q294" s="31">
        <f>C294-N294</f>
        <v>0</v>
      </c>
      <c r="R294" s="41">
        <f>D294-O294</f>
        <v>0</v>
      </c>
      <c r="S294" s="41">
        <f>E294-P294</f>
        <v>0</v>
      </c>
    </row>
    <row r="295" spans="1:19" x14ac:dyDescent="0.15">
      <c r="A295" s="1">
        <v>6</v>
      </c>
      <c r="B295" s="1">
        <v>12</v>
      </c>
      <c r="C295" s="10">
        <v>0.68</v>
      </c>
      <c r="D295" s="5">
        <v>60</v>
      </c>
      <c r="E295" s="10">
        <v>0.46750000000000003</v>
      </c>
      <c r="F295" s="5" t="e">
        <v>#VALUE!</v>
      </c>
      <c r="G295" s="5">
        <v>150</v>
      </c>
      <c r="I295" s="40" t="e">
        <f t="shared" si="7"/>
        <v>#VALUE!</v>
      </c>
      <c r="J295" s="40">
        <f t="shared" si="8"/>
        <v>150</v>
      </c>
      <c r="K295" s="1">
        <v>2140</v>
      </c>
      <c r="L295" s="1">
        <v>150</v>
      </c>
      <c r="M295" t="e">
        <f t="shared" si="9"/>
        <v>#VALUE!</v>
      </c>
      <c r="N295" s="1">
        <v>0.68</v>
      </c>
      <c r="O295" s="1">
        <v>60</v>
      </c>
      <c r="P295" s="24">
        <v>0.46750000000000003</v>
      </c>
      <c r="Q295" s="31">
        <f>C295-N295</f>
        <v>0</v>
      </c>
      <c r="R295" s="41">
        <f>D295-O295</f>
        <v>0</v>
      </c>
      <c r="S295" s="41">
        <f>E295-P295</f>
        <v>0</v>
      </c>
    </row>
    <row r="296" spans="1:19" x14ac:dyDescent="0.15">
      <c r="A296" s="1">
        <v>6</v>
      </c>
      <c r="B296" s="1">
        <v>12</v>
      </c>
      <c r="C296" s="10">
        <v>0.68</v>
      </c>
      <c r="D296" s="5">
        <v>60</v>
      </c>
      <c r="E296" s="10">
        <v>0.47749999999999998</v>
      </c>
      <c r="F296" s="5">
        <v>1950</v>
      </c>
      <c r="G296" s="5">
        <v>150</v>
      </c>
      <c r="I296" s="40">
        <f t="shared" si="7"/>
        <v>1950</v>
      </c>
      <c r="J296" s="40">
        <f t="shared" si="8"/>
        <v>150</v>
      </c>
      <c r="K296" s="1">
        <v>1950</v>
      </c>
      <c r="L296" s="1">
        <v>150</v>
      </c>
      <c r="M296">
        <f t="shared" si="9"/>
        <v>0</v>
      </c>
      <c r="N296" s="1">
        <v>0.68</v>
      </c>
      <c r="O296" s="1">
        <v>60</v>
      </c>
      <c r="P296" s="24">
        <v>0.47749999999999998</v>
      </c>
      <c r="Q296" s="31">
        <f>C296-N296</f>
        <v>0</v>
      </c>
      <c r="R296" s="41">
        <f>D296-O296</f>
        <v>0</v>
      </c>
      <c r="S296" s="41">
        <f>E296-P296</f>
        <v>0</v>
      </c>
    </row>
    <row r="297" spans="1:19" x14ac:dyDescent="0.15">
      <c r="A297" s="1">
        <v>6</v>
      </c>
      <c r="B297" s="1">
        <v>12</v>
      </c>
      <c r="C297" s="10">
        <v>0.68</v>
      </c>
      <c r="D297" s="5">
        <v>60</v>
      </c>
      <c r="E297" s="10">
        <v>0.48749999999999999</v>
      </c>
      <c r="F297" s="5">
        <v>2029.9999999999998</v>
      </c>
      <c r="G297" s="5">
        <v>170</v>
      </c>
      <c r="I297" s="40">
        <f t="shared" si="7"/>
        <v>2029.9999999999998</v>
      </c>
      <c r="J297" s="40">
        <f t="shared" si="8"/>
        <v>170</v>
      </c>
      <c r="K297" s="1">
        <v>2030</v>
      </c>
      <c r="L297" s="1">
        <v>170</v>
      </c>
      <c r="M297">
        <f t="shared" si="9"/>
        <v>0</v>
      </c>
      <c r="N297" s="1">
        <v>0.68</v>
      </c>
      <c r="O297" s="1">
        <v>60</v>
      </c>
      <c r="P297" s="24">
        <v>0.48749999999999999</v>
      </c>
      <c r="Q297" s="31">
        <f>C297-N297</f>
        <v>0</v>
      </c>
      <c r="R297" s="41">
        <f>D297-O297</f>
        <v>0</v>
      </c>
      <c r="S297" s="41">
        <f>E297-P297</f>
        <v>0</v>
      </c>
    </row>
    <row r="298" spans="1:19" x14ac:dyDescent="0.15">
      <c r="A298" s="1">
        <v>6</v>
      </c>
      <c r="B298" s="1">
        <v>12</v>
      </c>
      <c r="C298" s="10">
        <v>0.68</v>
      </c>
      <c r="D298" s="5">
        <v>60</v>
      </c>
      <c r="E298" s="10">
        <v>0.4975</v>
      </c>
      <c r="F298" s="5">
        <v>1740</v>
      </c>
      <c r="G298" s="5">
        <v>160</v>
      </c>
      <c r="I298" s="40">
        <f t="shared" si="7"/>
        <v>1740</v>
      </c>
      <c r="J298" s="40">
        <f t="shared" si="8"/>
        <v>160</v>
      </c>
      <c r="K298" s="1">
        <v>1740</v>
      </c>
      <c r="L298" s="1">
        <v>160</v>
      </c>
      <c r="M298">
        <f t="shared" si="9"/>
        <v>0</v>
      </c>
      <c r="N298" s="1">
        <v>0.68</v>
      </c>
      <c r="O298" s="1">
        <v>60</v>
      </c>
      <c r="P298" s="24">
        <v>0.4975</v>
      </c>
      <c r="Q298" s="31">
        <f>C298-N298</f>
        <v>0</v>
      </c>
      <c r="R298" s="41">
        <f>D298-O298</f>
        <v>0</v>
      </c>
      <c r="S298" s="41">
        <f>E298-P298</f>
        <v>0</v>
      </c>
    </row>
    <row r="299" spans="1:19" x14ac:dyDescent="0.15">
      <c r="A299" s="1">
        <v>6</v>
      </c>
      <c r="B299" s="1">
        <v>12</v>
      </c>
      <c r="C299" s="10">
        <v>0.68</v>
      </c>
      <c r="D299" s="5">
        <v>60</v>
      </c>
      <c r="E299" s="10">
        <v>0.50749999999999995</v>
      </c>
      <c r="F299" s="5">
        <v>1740</v>
      </c>
      <c r="G299" s="5">
        <v>180</v>
      </c>
      <c r="I299" s="40">
        <f t="shared" si="7"/>
        <v>1740</v>
      </c>
      <c r="J299" s="40">
        <f t="shared" si="8"/>
        <v>180</v>
      </c>
      <c r="K299" s="1">
        <v>1740</v>
      </c>
      <c r="L299" s="1">
        <v>180</v>
      </c>
      <c r="M299">
        <f t="shared" si="9"/>
        <v>0</v>
      </c>
      <c r="N299" s="1">
        <v>0.68</v>
      </c>
      <c r="O299" s="1">
        <v>60</v>
      </c>
      <c r="P299" s="24">
        <v>0.50749999999999995</v>
      </c>
      <c r="Q299" s="31">
        <f>C299-N299</f>
        <v>0</v>
      </c>
      <c r="R299" s="41">
        <f>D299-O299</f>
        <v>0</v>
      </c>
      <c r="S299" s="41">
        <f>E299-P299</f>
        <v>0</v>
      </c>
    </row>
    <row r="300" spans="1:19" x14ac:dyDescent="0.15">
      <c r="A300" s="1">
        <v>6</v>
      </c>
      <c r="B300" s="1">
        <v>12</v>
      </c>
      <c r="C300" s="10">
        <v>0.68</v>
      </c>
      <c r="D300" s="5">
        <v>60</v>
      </c>
      <c r="E300" s="10">
        <v>0.51749999999999996</v>
      </c>
      <c r="F300" s="5">
        <v>1680</v>
      </c>
      <c r="G300" s="5">
        <v>200</v>
      </c>
      <c r="I300" s="40">
        <f t="shared" si="7"/>
        <v>1680</v>
      </c>
      <c r="J300" s="40">
        <f t="shared" si="8"/>
        <v>200</v>
      </c>
      <c r="K300" s="1">
        <v>1680</v>
      </c>
      <c r="L300" s="1">
        <v>200</v>
      </c>
      <c r="M300">
        <f t="shared" si="9"/>
        <v>0</v>
      </c>
      <c r="N300" s="1">
        <v>0.68</v>
      </c>
      <c r="O300" s="1">
        <v>60</v>
      </c>
      <c r="P300" s="24">
        <v>0.51749999999999996</v>
      </c>
      <c r="Q300" s="31">
        <f>C300-N300</f>
        <v>0</v>
      </c>
      <c r="R300" s="41">
        <f>D300-O300</f>
        <v>0</v>
      </c>
      <c r="S300" s="41">
        <f>E300-P300</f>
        <v>0</v>
      </c>
    </row>
    <row r="301" spans="1:19" x14ac:dyDescent="0.15">
      <c r="A301" s="1">
        <v>6</v>
      </c>
      <c r="B301" s="1">
        <v>12</v>
      </c>
      <c r="C301" s="10">
        <v>0.68</v>
      </c>
      <c r="D301" s="5">
        <v>60</v>
      </c>
      <c r="E301" s="10">
        <v>0.52749999999999997</v>
      </c>
      <c r="F301" s="5">
        <v>1580</v>
      </c>
      <c r="G301" s="5">
        <v>230</v>
      </c>
      <c r="I301" s="40">
        <f t="shared" si="7"/>
        <v>1580</v>
      </c>
      <c r="J301" s="40">
        <f t="shared" si="8"/>
        <v>230</v>
      </c>
      <c r="K301" s="1">
        <v>1580</v>
      </c>
      <c r="L301" s="1">
        <v>230</v>
      </c>
      <c r="M301">
        <f t="shared" si="9"/>
        <v>0</v>
      </c>
      <c r="N301" s="1">
        <v>0.68</v>
      </c>
      <c r="O301" s="1">
        <v>60</v>
      </c>
      <c r="P301" s="24">
        <v>0.52749999999999997</v>
      </c>
      <c r="Q301" s="31">
        <f>C301-N301</f>
        <v>0</v>
      </c>
      <c r="R301" s="41">
        <f>D301-O301</f>
        <v>0</v>
      </c>
      <c r="S301" s="41">
        <f>E301-P301</f>
        <v>0</v>
      </c>
    </row>
    <row r="302" spans="1:19" x14ac:dyDescent="0.15">
      <c r="A302" s="1">
        <v>6</v>
      </c>
      <c r="B302" s="1">
        <v>12</v>
      </c>
      <c r="C302" s="10">
        <v>0.68</v>
      </c>
      <c r="D302" s="5">
        <v>60</v>
      </c>
      <c r="E302" s="10">
        <v>0.53749999999999998</v>
      </c>
      <c r="F302" s="5">
        <v>1480</v>
      </c>
      <c r="G302" s="5">
        <v>250</v>
      </c>
      <c r="I302" s="40">
        <f t="shared" si="7"/>
        <v>1480</v>
      </c>
      <c r="J302" s="40">
        <f t="shared" si="8"/>
        <v>250</v>
      </c>
      <c r="K302" s="1">
        <v>1480</v>
      </c>
      <c r="L302" s="1">
        <v>250</v>
      </c>
      <c r="M302">
        <f t="shared" si="9"/>
        <v>0</v>
      </c>
      <c r="N302" s="1">
        <v>0.68</v>
      </c>
      <c r="O302" s="1">
        <v>60</v>
      </c>
      <c r="P302" s="24">
        <v>0.53749999999999998</v>
      </c>
      <c r="Q302" s="31">
        <f>C302-N302</f>
        <v>0</v>
      </c>
      <c r="R302" s="41">
        <f>D302-O302</f>
        <v>0</v>
      </c>
      <c r="S302" s="41">
        <f>E302-P302</f>
        <v>0</v>
      </c>
    </row>
    <row r="303" spans="1:19" x14ac:dyDescent="0.15">
      <c r="A303" s="1">
        <v>6</v>
      </c>
      <c r="B303" s="1">
        <v>12</v>
      </c>
      <c r="C303" s="10">
        <v>0.68</v>
      </c>
      <c r="D303" s="5">
        <v>60</v>
      </c>
      <c r="E303" s="10">
        <v>0.54749999999999999</v>
      </c>
      <c r="F303" s="5">
        <v>1480</v>
      </c>
      <c r="G303" s="5">
        <v>300</v>
      </c>
      <c r="I303" s="40">
        <f t="shared" si="7"/>
        <v>1480</v>
      </c>
      <c r="J303" s="40">
        <f t="shared" si="8"/>
        <v>300</v>
      </c>
      <c r="K303" s="1">
        <v>1480</v>
      </c>
      <c r="L303" s="1">
        <v>300</v>
      </c>
      <c r="M303">
        <f t="shared" si="9"/>
        <v>0</v>
      </c>
      <c r="N303" s="1">
        <v>0.68</v>
      </c>
      <c r="O303" s="1">
        <v>60</v>
      </c>
      <c r="P303" s="24">
        <v>0.54749999999999999</v>
      </c>
      <c r="Q303" s="31">
        <f>C303-N303</f>
        <v>0</v>
      </c>
      <c r="R303" s="41">
        <f>D303-O303</f>
        <v>0</v>
      </c>
      <c r="S303" s="41">
        <f>E303-P303</f>
        <v>0</v>
      </c>
    </row>
    <row r="304" spans="1:19" x14ac:dyDescent="0.15">
      <c r="A304" s="12">
        <v>6</v>
      </c>
      <c r="B304" s="12">
        <v>12</v>
      </c>
      <c r="C304" s="13">
        <v>0.62</v>
      </c>
      <c r="D304" s="14">
        <v>60</v>
      </c>
      <c r="E304" s="13">
        <v>3.7499999999999999E-2</v>
      </c>
      <c r="F304" s="14">
        <v>90</v>
      </c>
      <c r="G304" s="14">
        <v>10</v>
      </c>
      <c r="I304" s="40">
        <f t="shared" si="7"/>
        <v>90</v>
      </c>
      <c r="J304" s="40">
        <f t="shared" si="8"/>
        <v>10</v>
      </c>
      <c r="K304" s="12">
        <v>90</v>
      </c>
      <c r="L304" s="12">
        <v>10</v>
      </c>
      <c r="M304">
        <f t="shared" si="9"/>
        <v>0</v>
      </c>
      <c r="N304" s="12">
        <v>0.62</v>
      </c>
      <c r="O304" s="12">
        <v>60</v>
      </c>
      <c r="P304" s="24">
        <v>3.7499999999999999E-2</v>
      </c>
      <c r="Q304" s="31">
        <f>C304-N304</f>
        <v>0</v>
      </c>
      <c r="R304" s="41">
        <f>D304-O304</f>
        <v>0</v>
      </c>
      <c r="S304" s="41">
        <f>E304-P304</f>
        <v>0</v>
      </c>
    </row>
    <row r="305" spans="1:23" x14ac:dyDescent="0.15">
      <c r="A305" s="1">
        <v>6</v>
      </c>
      <c r="B305" s="1">
        <v>12</v>
      </c>
      <c r="C305" s="10">
        <v>0.62</v>
      </c>
      <c r="D305" s="5">
        <v>60</v>
      </c>
      <c r="E305" s="10">
        <v>4.7500000000000001E-2</v>
      </c>
      <c r="F305" s="5">
        <v>150</v>
      </c>
      <c r="G305" s="5">
        <v>10</v>
      </c>
      <c r="I305" s="40">
        <f t="shared" si="7"/>
        <v>150</v>
      </c>
      <c r="J305" s="40">
        <f t="shared" si="8"/>
        <v>10</v>
      </c>
      <c r="K305" s="1">
        <v>150</v>
      </c>
      <c r="L305" s="1">
        <v>10</v>
      </c>
      <c r="M305">
        <f t="shared" si="9"/>
        <v>0</v>
      </c>
      <c r="N305" s="1">
        <v>0.62</v>
      </c>
      <c r="O305" s="1">
        <v>60</v>
      </c>
      <c r="P305" s="24">
        <v>4.7500000000000001E-2</v>
      </c>
      <c r="Q305" s="31">
        <f>C305-N305</f>
        <v>0</v>
      </c>
      <c r="R305" s="41">
        <f>D305-O305</f>
        <v>0</v>
      </c>
      <c r="S305" s="41">
        <f>E305-P305</f>
        <v>0</v>
      </c>
    </row>
    <row r="306" spans="1:23" x14ac:dyDescent="0.15">
      <c r="A306" s="1">
        <v>6</v>
      </c>
      <c r="B306" s="1">
        <v>12</v>
      </c>
      <c r="C306" s="10">
        <v>0.62</v>
      </c>
      <c r="D306" s="5">
        <v>60</v>
      </c>
      <c r="E306" s="10">
        <v>5.7500000000000002E-2</v>
      </c>
      <c r="F306" s="5">
        <v>260</v>
      </c>
      <c r="G306" s="5">
        <v>10</v>
      </c>
      <c r="I306" s="40">
        <f t="shared" si="7"/>
        <v>260</v>
      </c>
      <c r="J306" s="40">
        <f t="shared" si="8"/>
        <v>10</v>
      </c>
      <c r="K306" s="1">
        <v>260</v>
      </c>
      <c r="L306" s="1">
        <v>10</v>
      </c>
      <c r="M306">
        <f t="shared" si="9"/>
        <v>0</v>
      </c>
      <c r="N306" s="1">
        <v>0.62</v>
      </c>
      <c r="O306" s="1">
        <v>60</v>
      </c>
      <c r="P306" s="24">
        <v>5.7500000000000002E-2</v>
      </c>
      <c r="Q306" s="31">
        <f>C306-N306</f>
        <v>0</v>
      </c>
      <c r="R306" s="41">
        <f>D306-O306</f>
        <v>0</v>
      </c>
      <c r="S306" s="41">
        <f>E306-P306</f>
        <v>0</v>
      </c>
    </row>
    <row r="307" spans="1:23" x14ac:dyDescent="0.15">
      <c r="A307" s="1">
        <v>6</v>
      </c>
      <c r="B307" s="1">
        <v>12</v>
      </c>
      <c r="C307" s="10">
        <v>0.62</v>
      </c>
      <c r="D307" s="5">
        <v>60</v>
      </c>
      <c r="E307" s="10">
        <v>6.7500000000000004E-2</v>
      </c>
      <c r="F307" s="5">
        <v>430</v>
      </c>
      <c r="G307" s="5">
        <v>20</v>
      </c>
      <c r="I307" s="40">
        <f t="shared" si="7"/>
        <v>430</v>
      </c>
      <c r="J307" s="40">
        <f t="shared" si="8"/>
        <v>20</v>
      </c>
      <c r="K307" s="1">
        <v>430</v>
      </c>
      <c r="L307" s="1">
        <v>20</v>
      </c>
      <c r="M307">
        <f t="shared" si="9"/>
        <v>0</v>
      </c>
      <c r="N307" s="1">
        <v>0.62</v>
      </c>
      <c r="O307" s="1">
        <v>60</v>
      </c>
      <c r="P307" s="24">
        <v>6.7500000000000004E-2</v>
      </c>
      <c r="Q307" s="31">
        <f>C307-N307</f>
        <v>0</v>
      </c>
      <c r="R307" s="41">
        <f>D307-O307</f>
        <v>0</v>
      </c>
      <c r="S307" s="41">
        <f>E307-P307</f>
        <v>0</v>
      </c>
    </row>
    <row r="308" spans="1:23" x14ac:dyDescent="0.15">
      <c r="A308" s="1">
        <v>6</v>
      </c>
      <c r="B308" s="1">
        <v>12</v>
      </c>
      <c r="C308" s="10">
        <v>0.62</v>
      </c>
      <c r="D308" s="5">
        <v>60</v>
      </c>
      <c r="E308" s="10">
        <v>7.7499999999999999E-2</v>
      </c>
      <c r="F308" s="5">
        <v>660</v>
      </c>
      <c r="G308" s="5">
        <v>30</v>
      </c>
      <c r="I308" s="40">
        <f t="shared" si="7"/>
        <v>660</v>
      </c>
      <c r="J308" s="40">
        <f t="shared" si="8"/>
        <v>30</v>
      </c>
      <c r="K308" s="1">
        <v>660</v>
      </c>
      <c r="L308" s="1">
        <v>30</v>
      </c>
      <c r="M308">
        <f t="shared" si="9"/>
        <v>0</v>
      </c>
      <c r="N308" s="1">
        <v>0.62</v>
      </c>
      <c r="O308" s="1">
        <v>60</v>
      </c>
      <c r="P308" s="24">
        <v>7.7499999999999999E-2</v>
      </c>
      <c r="Q308" s="31">
        <f>C308-N308</f>
        <v>0</v>
      </c>
      <c r="R308" s="41">
        <f>D308-O308</f>
        <v>0</v>
      </c>
      <c r="S308" s="41">
        <f>E308-P308</f>
        <v>0</v>
      </c>
    </row>
    <row r="309" spans="1:23" x14ac:dyDescent="0.15">
      <c r="A309" s="1">
        <v>6</v>
      </c>
      <c r="B309" s="1">
        <v>12</v>
      </c>
      <c r="C309" s="10">
        <v>0.62</v>
      </c>
      <c r="D309" s="5">
        <v>60</v>
      </c>
      <c r="E309" s="10">
        <v>8.7499999999999994E-2</v>
      </c>
      <c r="F309" s="5">
        <v>980</v>
      </c>
      <c r="G309" s="5">
        <v>40</v>
      </c>
      <c r="I309" s="40">
        <f t="shared" si="7"/>
        <v>980</v>
      </c>
      <c r="J309" s="40">
        <f t="shared" si="8"/>
        <v>40</v>
      </c>
      <c r="K309" s="1">
        <v>980</v>
      </c>
      <c r="L309" s="1">
        <v>40</v>
      </c>
      <c r="M309">
        <f t="shared" si="9"/>
        <v>0</v>
      </c>
      <c r="N309" s="1">
        <v>0.62</v>
      </c>
      <c r="O309" s="1">
        <v>60</v>
      </c>
      <c r="P309" s="24">
        <v>8.7499999999999994E-2</v>
      </c>
      <c r="Q309" s="31">
        <f>C309-N309</f>
        <v>0</v>
      </c>
      <c r="R309" s="41">
        <f>D309-O309</f>
        <v>0</v>
      </c>
      <c r="S309" s="41">
        <f>E309-P309</f>
        <v>0</v>
      </c>
    </row>
    <row r="310" spans="1:23" x14ac:dyDescent="0.15">
      <c r="A310" s="1">
        <v>6</v>
      </c>
      <c r="B310" s="1">
        <v>12</v>
      </c>
      <c r="C310" s="10">
        <v>0.62</v>
      </c>
      <c r="D310" s="5">
        <v>60</v>
      </c>
      <c r="E310" s="10">
        <v>9.7500000000000003E-2</v>
      </c>
      <c r="F310" s="5">
        <v>1320</v>
      </c>
      <c r="G310" s="5">
        <v>50</v>
      </c>
      <c r="I310" s="40">
        <f t="shared" si="7"/>
        <v>1320</v>
      </c>
      <c r="J310" s="40">
        <f t="shared" si="8"/>
        <v>50</v>
      </c>
      <c r="K310" s="1">
        <v>1320</v>
      </c>
      <c r="L310" s="1">
        <v>50</v>
      </c>
      <c r="M310">
        <f t="shared" si="9"/>
        <v>0</v>
      </c>
      <c r="N310" s="1">
        <v>0.62</v>
      </c>
      <c r="O310" s="1">
        <v>60</v>
      </c>
      <c r="P310" s="24">
        <v>9.7500000000000003E-2</v>
      </c>
      <c r="Q310" s="31">
        <f>C310-N310</f>
        <v>0</v>
      </c>
      <c r="R310" s="41">
        <f>D310-O310</f>
        <v>0</v>
      </c>
      <c r="S310" s="41">
        <f>E310-P310</f>
        <v>0</v>
      </c>
    </row>
    <row r="311" spans="1:23" x14ac:dyDescent="0.15">
      <c r="A311" s="1">
        <v>6</v>
      </c>
      <c r="B311" s="1">
        <v>12</v>
      </c>
      <c r="C311" s="10">
        <v>0.62</v>
      </c>
      <c r="D311" s="5">
        <v>60</v>
      </c>
      <c r="E311" s="10">
        <v>0.1075</v>
      </c>
      <c r="F311" s="5">
        <v>1700</v>
      </c>
      <c r="G311" s="5">
        <v>60</v>
      </c>
      <c r="I311" s="40">
        <f t="shared" si="7"/>
        <v>1700</v>
      </c>
      <c r="J311" s="40">
        <f t="shared" si="8"/>
        <v>60</v>
      </c>
      <c r="K311" s="1">
        <v>1700</v>
      </c>
      <c r="L311" s="1">
        <v>60</v>
      </c>
      <c r="M311">
        <f t="shared" si="9"/>
        <v>0</v>
      </c>
      <c r="N311" s="1">
        <v>0.62</v>
      </c>
      <c r="O311" s="1">
        <v>60</v>
      </c>
      <c r="P311" s="24">
        <v>0.1075</v>
      </c>
      <c r="Q311" s="31">
        <f>C311-N311</f>
        <v>0</v>
      </c>
      <c r="R311" s="41">
        <f>D311-O311</f>
        <v>0</v>
      </c>
      <c r="S311" s="41">
        <f>E311-P311</f>
        <v>0</v>
      </c>
    </row>
    <row r="312" spans="1:23" x14ac:dyDescent="0.15">
      <c r="A312" s="1">
        <v>6</v>
      </c>
      <c r="B312" s="1">
        <v>12</v>
      </c>
      <c r="C312" s="10">
        <v>0.62</v>
      </c>
      <c r="D312" s="5">
        <v>60</v>
      </c>
      <c r="E312" s="10">
        <v>0.11749999999999999</v>
      </c>
      <c r="F312" s="5">
        <v>2009.9999999999998</v>
      </c>
      <c r="G312" s="5">
        <v>80</v>
      </c>
      <c r="I312" s="40">
        <f t="shared" si="7"/>
        <v>2009.9999999999998</v>
      </c>
      <c r="J312" s="40">
        <f t="shared" si="8"/>
        <v>80</v>
      </c>
      <c r="K312" s="1">
        <v>2010</v>
      </c>
      <c r="L312" s="1">
        <v>80</v>
      </c>
      <c r="M312">
        <f t="shared" si="9"/>
        <v>0</v>
      </c>
      <c r="N312" s="1">
        <v>0.62</v>
      </c>
      <c r="O312" s="1">
        <v>60</v>
      </c>
      <c r="P312" s="24">
        <v>0.11749999999999999</v>
      </c>
      <c r="Q312" s="31">
        <f>C312-N312</f>
        <v>0</v>
      </c>
      <c r="R312" s="41">
        <f>D312-O312</f>
        <v>0</v>
      </c>
      <c r="S312" s="41">
        <f>E312-P312</f>
        <v>0</v>
      </c>
    </row>
    <row r="313" spans="1:23" x14ac:dyDescent="0.15">
      <c r="A313" s="1">
        <v>6</v>
      </c>
      <c r="B313" s="1">
        <v>12</v>
      </c>
      <c r="C313" s="10">
        <v>0.62</v>
      </c>
      <c r="D313" s="5">
        <v>60</v>
      </c>
      <c r="E313" s="10">
        <v>0.1275</v>
      </c>
      <c r="F313" s="5">
        <v>2480</v>
      </c>
      <c r="G313" s="5">
        <v>100</v>
      </c>
      <c r="I313" s="40">
        <f t="shared" ref="I313:I376" si="10">F313</f>
        <v>2480</v>
      </c>
      <c r="J313" s="40">
        <f t="shared" ref="J313:J376" si="11">G313</f>
        <v>100</v>
      </c>
      <c r="K313" s="1">
        <v>2480</v>
      </c>
      <c r="L313" s="1">
        <v>100</v>
      </c>
      <c r="M313">
        <f t="shared" si="9"/>
        <v>0</v>
      </c>
      <c r="N313" s="1">
        <v>0.62</v>
      </c>
      <c r="O313" s="1">
        <v>60</v>
      </c>
      <c r="P313" s="24">
        <v>0.1275</v>
      </c>
      <c r="Q313" s="31">
        <f>C313-N313</f>
        <v>0</v>
      </c>
      <c r="R313" s="41">
        <f>D313-O313</f>
        <v>0</v>
      </c>
      <c r="S313" s="41">
        <f>E313-P313</f>
        <v>0</v>
      </c>
    </row>
    <row r="314" spans="1:23" s="15" customFormat="1" x14ac:dyDescent="0.15">
      <c r="A314" s="1">
        <v>6</v>
      </c>
      <c r="B314" s="1">
        <v>12</v>
      </c>
      <c r="C314" s="10">
        <v>0.62</v>
      </c>
      <c r="D314" s="5">
        <v>60</v>
      </c>
      <c r="E314" s="10">
        <v>0.13750000000000001</v>
      </c>
      <c r="F314" s="5">
        <v>2910</v>
      </c>
      <c r="G314" s="5">
        <v>110</v>
      </c>
      <c r="H314" s="12"/>
      <c r="I314" s="40">
        <f t="shared" si="10"/>
        <v>2910</v>
      </c>
      <c r="J314" s="40">
        <f t="shared" si="11"/>
        <v>110</v>
      </c>
      <c r="K314" s="1">
        <v>2910</v>
      </c>
      <c r="L314" s="1">
        <v>110</v>
      </c>
      <c r="M314">
        <f t="shared" si="9"/>
        <v>0</v>
      </c>
      <c r="N314" s="1">
        <v>0.62</v>
      </c>
      <c r="O314" s="1">
        <v>60</v>
      </c>
      <c r="P314" s="24">
        <v>0.13750000000000001</v>
      </c>
      <c r="Q314" s="31">
        <f>C314-N314</f>
        <v>0</v>
      </c>
      <c r="R314" s="41">
        <f>D314-O314</f>
        <v>0</v>
      </c>
      <c r="S314" s="41">
        <f>E314-P314</f>
        <v>0</v>
      </c>
      <c r="U314" s="12"/>
      <c r="V314" s="12"/>
      <c r="W314" s="12"/>
    </row>
    <row r="315" spans="1:23" x14ac:dyDescent="0.15">
      <c r="A315" s="1">
        <v>6</v>
      </c>
      <c r="B315" s="1">
        <v>12</v>
      </c>
      <c r="C315" s="10">
        <v>0.62</v>
      </c>
      <c r="D315" s="5">
        <v>60</v>
      </c>
      <c r="E315" s="10">
        <v>0.14749999999999999</v>
      </c>
      <c r="F315" s="5">
        <v>3110</v>
      </c>
      <c r="G315" s="5">
        <v>120</v>
      </c>
      <c r="I315" s="40">
        <f t="shared" si="10"/>
        <v>3110</v>
      </c>
      <c r="J315" s="40">
        <f t="shared" si="11"/>
        <v>120</v>
      </c>
      <c r="K315" s="1">
        <v>3110</v>
      </c>
      <c r="L315" s="1">
        <v>120</v>
      </c>
      <c r="M315">
        <f t="shared" si="9"/>
        <v>0</v>
      </c>
      <c r="N315" s="1">
        <v>0.62</v>
      </c>
      <c r="O315" s="1">
        <v>60</v>
      </c>
      <c r="P315" s="24">
        <v>0.14749999999999999</v>
      </c>
      <c r="Q315" s="31">
        <f>C315-N315</f>
        <v>0</v>
      </c>
      <c r="R315" s="41">
        <f>D315-O315</f>
        <v>0</v>
      </c>
      <c r="S315" s="41">
        <f>E315-P315</f>
        <v>0</v>
      </c>
    </row>
    <row r="316" spans="1:23" x14ac:dyDescent="0.15">
      <c r="A316" s="1">
        <v>6</v>
      </c>
      <c r="B316" s="1">
        <v>12</v>
      </c>
      <c r="C316" s="10">
        <v>0.62</v>
      </c>
      <c r="D316" s="5">
        <v>60</v>
      </c>
      <c r="E316" s="10">
        <v>0.1575</v>
      </c>
      <c r="F316" s="5">
        <v>3350</v>
      </c>
      <c r="G316" s="5">
        <v>130</v>
      </c>
      <c r="I316" s="40">
        <f t="shared" si="10"/>
        <v>3350</v>
      </c>
      <c r="J316" s="40">
        <f t="shared" si="11"/>
        <v>130</v>
      </c>
      <c r="K316" s="1">
        <v>3350</v>
      </c>
      <c r="L316" s="1">
        <v>130</v>
      </c>
      <c r="M316">
        <f t="shared" si="9"/>
        <v>0</v>
      </c>
      <c r="N316" s="1">
        <v>0.62</v>
      </c>
      <c r="O316" s="1">
        <v>60</v>
      </c>
      <c r="P316" s="24">
        <v>0.1575</v>
      </c>
      <c r="Q316" s="31">
        <f>C316-N316</f>
        <v>0</v>
      </c>
      <c r="R316" s="41">
        <f>D316-O316</f>
        <v>0</v>
      </c>
      <c r="S316" s="41">
        <f>E316-P316</f>
        <v>0</v>
      </c>
    </row>
    <row r="317" spans="1:23" x14ac:dyDescent="0.15">
      <c r="A317" s="1">
        <v>6</v>
      </c>
      <c r="B317" s="1">
        <v>12</v>
      </c>
      <c r="C317" s="10">
        <v>0.62</v>
      </c>
      <c r="D317" s="5">
        <v>60</v>
      </c>
      <c r="E317" s="10">
        <v>0.16750000000000001</v>
      </c>
      <c r="F317" s="5">
        <v>3670</v>
      </c>
      <c r="G317" s="5">
        <v>140</v>
      </c>
      <c r="I317" s="40">
        <f t="shared" si="10"/>
        <v>3670</v>
      </c>
      <c r="J317" s="40">
        <f t="shared" si="11"/>
        <v>140</v>
      </c>
      <c r="K317" s="1">
        <v>3670</v>
      </c>
      <c r="L317" s="1">
        <v>140</v>
      </c>
      <c r="M317">
        <f t="shared" si="9"/>
        <v>0</v>
      </c>
      <c r="N317" s="1">
        <v>0.62</v>
      </c>
      <c r="O317" s="1">
        <v>60</v>
      </c>
      <c r="P317" s="24">
        <v>0.16750000000000001</v>
      </c>
      <c r="Q317" s="31">
        <f>C317-N317</f>
        <v>0</v>
      </c>
      <c r="R317" s="41">
        <f>D317-O317</f>
        <v>0</v>
      </c>
      <c r="S317" s="41">
        <f>E317-P317</f>
        <v>0</v>
      </c>
    </row>
    <row r="318" spans="1:23" x14ac:dyDescent="0.15">
      <c r="A318" s="1">
        <v>6</v>
      </c>
      <c r="B318" s="1">
        <v>12</v>
      </c>
      <c r="C318" s="10">
        <v>0.62</v>
      </c>
      <c r="D318" s="5">
        <v>60</v>
      </c>
      <c r="E318" s="10">
        <v>0.17749999999999999</v>
      </c>
      <c r="F318" s="5">
        <v>3650</v>
      </c>
      <c r="G318" s="5">
        <v>150</v>
      </c>
      <c r="I318" s="40">
        <f t="shared" si="10"/>
        <v>3650</v>
      </c>
      <c r="J318" s="40">
        <f t="shared" si="11"/>
        <v>150</v>
      </c>
      <c r="K318" s="1">
        <v>3650</v>
      </c>
      <c r="L318" s="1">
        <v>150</v>
      </c>
      <c r="M318">
        <f t="shared" si="9"/>
        <v>0</v>
      </c>
      <c r="N318" s="1">
        <v>0.62</v>
      </c>
      <c r="O318" s="1">
        <v>60</v>
      </c>
      <c r="P318" s="24">
        <v>0.17749999999999999</v>
      </c>
      <c r="Q318" s="31">
        <f>C318-N318</f>
        <v>0</v>
      </c>
      <c r="R318" s="41">
        <f>D318-O318</f>
        <v>0</v>
      </c>
      <c r="S318" s="41">
        <f>E318-P318</f>
        <v>0</v>
      </c>
    </row>
    <row r="319" spans="1:23" x14ac:dyDescent="0.15">
      <c r="A319" s="1">
        <v>6</v>
      </c>
      <c r="B319" s="1">
        <v>12</v>
      </c>
      <c r="C319" s="10">
        <v>0.62</v>
      </c>
      <c r="D319" s="5">
        <v>60</v>
      </c>
      <c r="E319" s="10">
        <v>0.1875</v>
      </c>
      <c r="F319" s="5">
        <v>3570</v>
      </c>
      <c r="G319" s="5">
        <v>140</v>
      </c>
      <c r="I319" s="40">
        <f t="shared" si="10"/>
        <v>3570</v>
      </c>
      <c r="J319" s="40">
        <f t="shared" si="11"/>
        <v>140</v>
      </c>
      <c r="K319" s="1">
        <v>3570</v>
      </c>
      <c r="L319" s="1">
        <v>140</v>
      </c>
      <c r="M319">
        <f t="shared" si="9"/>
        <v>0</v>
      </c>
      <c r="N319" s="1">
        <v>0.62</v>
      </c>
      <c r="O319" s="1">
        <v>60</v>
      </c>
      <c r="P319" s="24">
        <v>0.1875</v>
      </c>
      <c r="Q319" s="31">
        <f>C319-N319</f>
        <v>0</v>
      </c>
      <c r="R319" s="41">
        <f>D319-O319</f>
        <v>0</v>
      </c>
      <c r="S319" s="41">
        <f>E319-P319</f>
        <v>0</v>
      </c>
    </row>
    <row r="320" spans="1:23" ht="14" thickBot="1" x14ac:dyDescent="0.2">
      <c r="A320" s="1">
        <v>6</v>
      </c>
      <c r="B320" s="1">
        <v>12</v>
      </c>
      <c r="C320" s="10">
        <v>0.62</v>
      </c>
      <c r="D320" s="5">
        <v>60</v>
      </c>
      <c r="E320" s="10">
        <v>0.19750000000000001</v>
      </c>
      <c r="F320" s="5">
        <v>3490</v>
      </c>
      <c r="G320" s="5">
        <v>150</v>
      </c>
      <c r="I320" s="40">
        <f t="shared" si="10"/>
        <v>3490</v>
      </c>
      <c r="J320" s="40">
        <f t="shared" si="11"/>
        <v>150</v>
      </c>
      <c r="K320" s="1">
        <v>3490</v>
      </c>
      <c r="L320" s="1">
        <v>150</v>
      </c>
      <c r="M320">
        <f t="shared" si="9"/>
        <v>0</v>
      </c>
      <c r="N320" s="1">
        <v>0.62</v>
      </c>
      <c r="O320" s="1">
        <v>60</v>
      </c>
      <c r="P320" s="44">
        <v>0.19750000000000001</v>
      </c>
      <c r="Q320" s="31">
        <f>C320-N320</f>
        <v>0</v>
      </c>
      <c r="R320" s="41">
        <f>D320-O320</f>
        <v>0</v>
      </c>
      <c r="S320" s="41">
        <f>E320-P320</f>
        <v>0</v>
      </c>
    </row>
    <row r="321" spans="1:19" ht="14" thickTop="1" x14ac:dyDescent="0.15">
      <c r="A321" s="1">
        <v>6</v>
      </c>
      <c r="B321" s="1">
        <v>12</v>
      </c>
      <c r="C321" s="10">
        <v>0.62</v>
      </c>
      <c r="D321" s="5">
        <v>60</v>
      </c>
      <c r="E321" s="10">
        <v>0.20749999999999999</v>
      </c>
      <c r="F321" s="5">
        <v>3140</v>
      </c>
      <c r="G321" s="5">
        <v>140</v>
      </c>
      <c r="I321" s="40">
        <f t="shared" si="10"/>
        <v>3140</v>
      </c>
      <c r="J321" s="40">
        <f t="shared" si="11"/>
        <v>140</v>
      </c>
      <c r="K321" s="1">
        <v>3140</v>
      </c>
      <c r="L321" s="1">
        <v>140</v>
      </c>
      <c r="M321">
        <f t="shared" si="9"/>
        <v>0</v>
      </c>
      <c r="N321" s="1">
        <v>0.62</v>
      </c>
      <c r="O321" s="1">
        <v>60</v>
      </c>
      <c r="P321" s="24">
        <v>0.20749999999999999</v>
      </c>
      <c r="Q321" s="31">
        <f>C321-N321</f>
        <v>0</v>
      </c>
      <c r="R321" s="41">
        <f>D321-O321</f>
        <v>0</v>
      </c>
      <c r="S321" s="41">
        <f>E321-P321</f>
        <v>0</v>
      </c>
    </row>
    <row r="322" spans="1:19" x14ac:dyDescent="0.15">
      <c r="A322" s="1">
        <v>6</v>
      </c>
      <c r="B322" s="1">
        <v>12</v>
      </c>
      <c r="C322" s="10">
        <v>0.62</v>
      </c>
      <c r="D322" s="5">
        <v>60</v>
      </c>
      <c r="E322" s="10">
        <v>0.2175</v>
      </c>
      <c r="F322" s="5">
        <v>2840</v>
      </c>
      <c r="G322" s="5">
        <v>130</v>
      </c>
      <c r="I322" s="40">
        <f t="shared" si="10"/>
        <v>2840</v>
      </c>
      <c r="J322" s="40">
        <f t="shared" si="11"/>
        <v>130</v>
      </c>
      <c r="K322" s="1">
        <v>2840</v>
      </c>
      <c r="L322" s="1">
        <v>130</v>
      </c>
      <c r="M322">
        <f t="shared" si="9"/>
        <v>0</v>
      </c>
      <c r="N322" s="1">
        <v>0.62</v>
      </c>
      <c r="O322" s="1">
        <v>60</v>
      </c>
      <c r="P322" s="24">
        <v>0.2175</v>
      </c>
      <c r="Q322" s="31">
        <f>C322-N322</f>
        <v>0</v>
      </c>
      <c r="R322" s="41">
        <f>D322-O322</f>
        <v>0</v>
      </c>
      <c r="S322" s="41">
        <f>E322-P322</f>
        <v>0</v>
      </c>
    </row>
    <row r="323" spans="1:19" x14ac:dyDescent="0.15">
      <c r="A323" s="1">
        <v>6</v>
      </c>
      <c r="B323" s="1">
        <v>12</v>
      </c>
      <c r="C323" s="10">
        <v>0.62</v>
      </c>
      <c r="D323" s="5">
        <v>60</v>
      </c>
      <c r="E323" s="10">
        <v>0.22750000000000001</v>
      </c>
      <c r="F323" s="5">
        <v>2510</v>
      </c>
      <c r="G323" s="5">
        <v>120</v>
      </c>
      <c r="I323" s="40">
        <f t="shared" si="10"/>
        <v>2510</v>
      </c>
      <c r="J323" s="40">
        <f t="shared" si="11"/>
        <v>120</v>
      </c>
      <c r="K323" s="1">
        <v>2510</v>
      </c>
      <c r="L323" s="1">
        <v>120</v>
      </c>
      <c r="M323">
        <f t="shared" ref="M323:M386" si="12">I323+J323-K323-L323</f>
        <v>0</v>
      </c>
      <c r="N323" s="1">
        <v>0.62</v>
      </c>
      <c r="O323" s="1">
        <v>60</v>
      </c>
      <c r="P323" s="24">
        <v>0.22750000000000001</v>
      </c>
      <c r="Q323" s="31">
        <f>C323-N323</f>
        <v>0</v>
      </c>
      <c r="R323" s="41">
        <f>D323-O323</f>
        <v>0</v>
      </c>
      <c r="S323" s="41">
        <f>E323-P323</f>
        <v>0</v>
      </c>
    </row>
    <row r="324" spans="1:19" x14ac:dyDescent="0.15">
      <c r="A324" s="1">
        <v>6</v>
      </c>
      <c r="B324" s="1">
        <v>12</v>
      </c>
      <c r="C324" s="10">
        <v>0.62</v>
      </c>
      <c r="D324" s="5">
        <v>60</v>
      </c>
      <c r="E324" s="10">
        <v>0.23749999999999999</v>
      </c>
      <c r="F324" s="5">
        <v>2380</v>
      </c>
      <c r="G324" s="5">
        <v>120</v>
      </c>
      <c r="I324" s="40">
        <f t="shared" si="10"/>
        <v>2380</v>
      </c>
      <c r="J324" s="40">
        <f t="shared" si="11"/>
        <v>120</v>
      </c>
      <c r="K324" s="1">
        <v>2380</v>
      </c>
      <c r="L324" s="1">
        <v>120</v>
      </c>
      <c r="M324">
        <f t="shared" si="12"/>
        <v>0</v>
      </c>
      <c r="N324" s="1">
        <v>0.62</v>
      </c>
      <c r="O324" s="1">
        <v>60</v>
      </c>
      <c r="P324" s="24">
        <v>0.23749999999999999</v>
      </c>
      <c r="Q324" s="31">
        <f>C324-N324</f>
        <v>0</v>
      </c>
      <c r="R324" s="41">
        <f>D324-O324</f>
        <v>0</v>
      </c>
      <c r="S324" s="41">
        <f>E324-P324</f>
        <v>0</v>
      </c>
    </row>
    <row r="325" spans="1:19" x14ac:dyDescent="0.15">
      <c r="A325" s="1">
        <v>6</v>
      </c>
      <c r="B325" s="1">
        <v>12</v>
      </c>
      <c r="C325" s="10">
        <v>0.62</v>
      </c>
      <c r="D325" s="5">
        <v>60</v>
      </c>
      <c r="E325" s="10">
        <v>0.2475</v>
      </c>
      <c r="F325" s="5">
        <v>2160</v>
      </c>
      <c r="G325" s="5">
        <v>110</v>
      </c>
      <c r="I325" s="40">
        <f t="shared" si="10"/>
        <v>2160</v>
      </c>
      <c r="J325" s="40">
        <f t="shared" si="11"/>
        <v>110</v>
      </c>
      <c r="K325" s="1">
        <v>2160</v>
      </c>
      <c r="L325" s="1">
        <v>110</v>
      </c>
      <c r="M325">
        <f t="shared" si="12"/>
        <v>0</v>
      </c>
      <c r="N325" s="1">
        <v>0.62</v>
      </c>
      <c r="O325" s="1">
        <v>60</v>
      </c>
      <c r="P325" s="24">
        <v>0.2475</v>
      </c>
      <c r="Q325" s="31">
        <f>C325-N325</f>
        <v>0</v>
      </c>
      <c r="R325" s="41">
        <f>D325-O325</f>
        <v>0</v>
      </c>
      <c r="S325" s="41">
        <f>E325-P325</f>
        <v>0</v>
      </c>
    </row>
    <row r="326" spans="1:19" x14ac:dyDescent="0.15">
      <c r="A326" s="1">
        <v>6</v>
      </c>
      <c r="B326" s="1">
        <v>12</v>
      </c>
      <c r="C326" s="10">
        <v>0.62</v>
      </c>
      <c r="D326" s="5">
        <v>60</v>
      </c>
      <c r="E326" s="10">
        <v>0.25750000000000001</v>
      </c>
      <c r="F326" s="5">
        <v>1970</v>
      </c>
      <c r="G326" s="5">
        <v>100</v>
      </c>
      <c r="I326" s="40">
        <f t="shared" si="10"/>
        <v>1970</v>
      </c>
      <c r="J326" s="40">
        <f t="shared" si="11"/>
        <v>100</v>
      </c>
      <c r="K326" s="1">
        <v>1970</v>
      </c>
      <c r="L326" s="1">
        <v>100</v>
      </c>
      <c r="M326">
        <f t="shared" si="12"/>
        <v>0</v>
      </c>
      <c r="N326" s="1">
        <v>0.62</v>
      </c>
      <c r="O326" s="1">
        <v>60</v>
      </c>
      <c r="P326" s="24">
        <v>0.25750000000000001</v>
      </c>
      <c r="Q326" s="31">
        <f>C326-N326</f>
        <v>0</v>
      </c>
      <c r="R326" s="41">
        <f>D326-O326</f>
        <v>0</v>
      </c>
      <c r="S326" s="41">
        <f>E326-P326</f>
        <v>0</v>
      </c>
    </row>
    <row r="327" spans="1:19" x14ac:dyDescent="0.15">
      <c r="A327" s="1">
        <v>6</v>
      </c>
      <c r="B327" s="1">
        <v>12</v>
      </c>
      <c r="C327" s="10">
        <v>0.62</v>
      </c>
      <c r="D327" s="5">
        <v>60</v>
      </c>
      <c r="E327" s="10">
        <v>0.26750000000000002</v>
      </c>
      <c r="F327" s="5">
        <v>1870</v>
      </c>
      <c r="G327" s="5">
        <v>90</v>
      </c>
      <c r="I327" s="40">
        <f t="shared" si="10"/>
        <v>1870</v>
      </c>
      <c r="J327" s="40">
        <f t="shared" si="11"/>
        <v>90</v>
      </c>
      <c r="K327" s="1">
        <v>1870</v>
      </c>
      <c r="L327" s="1">
        <v>90</v>
      </c>
      <c r="M327">
        <f t="shared" si="12"/>
        <v>0</v>
      </c>
      <c r="N327" s="1">
        <v>0.62</v>
      </c>
      <c r="O327" s="1">
        <v>60</v>
      </c>
      <c r="P327" s="24">
        <v>0.26750000000000002</v>
      </c>
      <c r="Q327" s="31">
        <f>C327-N327</f>
        <v>0</v>
      </c>
      <c r="R327" s="41">
        <f>D327-O327</f>
        <v>0</v>
      </c>
      <c r="S327" s="41">
        <f>E327-P327</f>
        <v>0</v>
      </c>
    </row>
    <row r="328" spans="1:19" x14ac:dyDescent="0.15">
      <c r="A328" s="1">
        <v>6</v>
      </c>
      <c r="B328" s="1">
        <v>12</v>
      </c>
      <c r="C328" s="10">
        <v>0.62</v>
      </c>
      <c r="D328" s="5">
        <v>60</v>
      </c>
      <c r="E328" s="10">
        <v>0.27750000000000002</v>
      </c>
      <c r="F328" s="5">
        <v>1670</v>
      </c>
      <c r="G328" s="5">
        <v>100</v>
      </c>
      <c r="I328" s="40">
        <f t="shared" si="10"/>
        <v>1670</v>
      </c>
      <c r="J328" s="40">
        <f t="shared" si="11"/>
        <v>100</v>
      </c>
      <c r="K328" s="1">
        <v>1670</v>
      </c>
      <c r="L328" s="1">
        <v>100</v>
      </c>
      <c r="M328">
        <f t="shared" si="12"/>
        <v>0</v>
      </c>
      <c r="N328" s="1">
        <v>0.62</v>
      </c>
      <c r="O328" s="1">
        <v>60</v>
      </c>
      <c r="P328" s="24">
        <v>0.27750000000000002</v>
      </c>
      <c r="Q328" s="31">
        <f>C328-N328</f>
        <v>0</v>
      </c>
      <c r="R328" s="41">
        <f>D328-O328</f>
        <v>0</v>
      </c>
      <c r="S328" s="41">
        <f>E328-P328</f>
        <v>0</v>
      </c>
    </row>
    <row r="329" spans="1:19" x14ac:dyDescent="0.15">
      <c r="A329" s="1">
        <v>6</v>
      </c>
      <c r="B329" s="1">
        <v>12</v>
      </c>
      <c r="C329" s="10">
        <v>0.62</v>
      </c>
      <c r="D329" s="5">
        <v>60</v>
      </c>
      <c r="E329" s="10">
        <v>0.28749999999999998</v>
      </c>
      <c r="F329" s="5">
        <v>1670</v>
      </c>
      <c r="G329" s="5">
        <v>100</v>
      </c>
      <c r="I329" s="40">
        <f t="shared" si="10"/>
        <v>1670</v>
      </c>
      <c r="J329" s="40">
        <f t="shared" si="11"/>
        <v>100</v>
      </c>
      <c r="K329" s="1">
        <v>1670</v>
      </c>
      <c r="L329" s="1">
        <v>100</v>
      </c>
      <c r="M329">
        <f t="shared" si="12"/>
        <v>0</v>
      </c>
      <c r="N329" s="1">
        <v>0.62</v>
      </c>
      <c r="O329" s="1">
        <v>60</v>
      </c>
      <c r="P329" s="24">
        <v>0.28749999999999998</v>
      </c>
      <c r="Q329" s="31">
        <f>C329-N329</f>
        <v>0</v>
      </c>
      <c r="R329" s="41">
        <f>D329-O329</f>
        <v>0</v>
      </c>
      <c r="S329" s="41">
        <f>E329-P329</f>
        <v>0</v>
      </c>
    </row>
    <row r="330" spans="1:19" x14ac:dyDescent="0.15">
      <c r="A330" s="1">
        <v>6</v>
      </c>
      <c r="B330" s="1">
        <v>12</v>
      </c>
      <c r="C330" s="10">
        <v>0.62</v>
      </c>
      <c r="D330" s="5">
        <v>60</v>
      </c>
      <c r="E330" s="10">
        <v>0.29749999999999999</v>
      </c>
      <c r="F330" s="5" t="e">
        <v>#VALUE!</v>
      </c>
      <c r="G330" s="5">
        <v>100</v>
      </c>
      <c r="I330" s="40" t="e">
        <f t="shared" si="10"/>
        <v>#VALUE!</v>
      </c>
      <c r="J330" s="40">
        <f t="shared" si="11"/>
        <v>100</v>
      </c>
      <c r="K330" s="1">
        <v>1790</v>
      </c>
      <c r="L330" s="1">
        <v>100</v>
      </c>
      <c r="M330" t="e">
        <f t="shared" si="12"/>
        <v>#VALUE!</v>
      </c>
      <c r="N330" s="1">
        <v>0.62</v>
      </c>
      <c r="O330" s="1">
        <v>60</v>
      </c>
      <c r="P330" s="24">
        <v>0.29749999999999999</v>
      </c>
      <c r="Q330" s="31">
        <f>C330-N330</f>
        <v>0</v>
      </c>
      <c r="R330" s="41">
        <f>D330-O330</f>
        <v>0</v>
      </c>
      <c r="S330" s="41">
        <f>E330-P330</f>
        <v>0</v>
      </c>
    </row>
    <row r="331" spans="1:19" x14ac:dyDescent="0.15">
      <c r="A331" s="1">
        <v>6</v>
      </c>
      <c r="B331" s="1">
        <v>12</v>
      </c>
      <c r="C331" s="10">
        <v>0.62</v>
      </c>
      <c r="D331" s="5">
        <v>60</v>
      </c>
      <c r="E331" s="10">
        <v>0.3075</v>
      </c>
      <c r="F331" s="5">
        <v>1830</v>
      </c>
      <c r="G331" s="5">
        <v>100</v>
      </c>
      <c r="I331" s="40">
        <f t="shared" si="10"/>
        <v>1830</v>
      </c>
      <c r="J331" s="40">
        <f t="shared" si="11"/>
        <v>100</v>
      </c>
      <c r="K331" s="1">
        <v>1830</v>
      </c>
      <c r="L331" s="1">
        <v>100</v>
      </c>
      <c r="M331">
        <f t="shared" si="12"/>
        <v>0</v>
      </c>
      <c r="N331" s="1">
        <v>0.62</v>
      </c>
      <c r="O331" s="1">
        <v>60</v>
      </c>
      <c r="P331" s="24">
        <v>0.3075</v>
      </c>
      <c r="Q331" s="31">
        <f>C331-N331</f>
        <v>0</v>
      </c>
      <c r="R331" s="41">
        <f>D331-O331</f>
        <v>0</v>
      </c>
      <c r="S331" s="41">
        <f>E331-P331</f>
        <v>0</v>
      </c>
    </row>
    <row r="332" spans="1:19" x14ac:dyDescent="0.15">
      <c r="A332" s="1">
        <v>6</v>
      </c>
      <c r="B332" s="1">
        <v>12</v>
      </c>
      <c r="C332" s="10">
        <v>0.62</v>
      </c>
      <c r="D332" s="5">
        <v>60</v>
      </c>
      <c r="E332" s="10">
        <v>0.3175</v>
      </c>
      <c r="F332" s="5">
        <v>1890</v>
      </c>
      <c r="G332" s="5">
        <v>110</v>
      </c>
      <c r="I332" s="40">
        <f t="shared" si="10"/>
        <v>1890</v>
      </c>
      <c r="J332" s="40">
        <f t="shared" si="11"/>
        <v>110</v>
      </c>
      <c r="K332" s="1">
        <v>1890</v>
      </c>
      <c r="L332" s="1">
        <v>110</v>
      </c>
      <c r="M332">
        <f t="shared" si="12"/>
        <v>0</v>
      </c>
      <c r="N332" s="1">
        <v>0.62</v>
      </c>
      <c r="O332" s="1">
        <v>60</v>
      </c>
      <c r="P332" s="24">
        <v>0.3175</v>
      </c>
      <c r="Q332" s="31">
        <f>C332-N332</f>
        <v>0</v>
      </c>
      <c r="R332" s="41">
        <f>D332-O332</f>
        <v>0</v>
      </c>
      <c r="S332" s="41">
        <f>E332-P332</f>
        <v>0</v>
      </c>
    </row>
    <row r="333" spans="1:19" x14ac:dyDescent="0.15">
      <c r="A333" s="1">
        <v>6</v>
      </c>
      <c r="B333" s="1">
        <v>12</v>
      </c>
      <c r="C333" s="10">
        <v>0.62</v>
      </c>
      <c r="D333" s="5">
        <v>60</v>
      </c>
      <c r="E333" s="10">
        <v>0.32750000000000001</v>
      </c>
      <c r="F333" s="5">
        <v>2150</v>
      </c>
      <c r="G333" s="5">
        <v>120</v>
      </c>
      <c r="I333" s="40">
        <f t="shared" si="10"/>
        <v>2150</v>
      </c>
      <c r="J333" s="40">
        <f t="shared" si="11"/>
        <v>120</v>
      </c>
      <c r="K333" s="1">
        <v>2150</v>
      </c>
      <c r="L333" s="1">
        <v>120</v>
      </c>
      <c r="M333">
        <f t="shared" si="12"/>
        <v>0</v>
      </c>
      <c r="N333" s="1">
        <v>0.62</v>
      </c>
      <c r="O333" s="1">
        <v>60</v>
      </c>
      <c r="P333" s="24">
        <v>0.32750000000000001</v>
      </c>
      <c r="Q333" s="31">
        <f>C333-N333</f>
        <v>0</v>
      </c>
      <c r="R333" s="41">
        <f>D333-O333</f>
        <v>0</v>
      </c>
      <c r="S333" s="41">
        <f>E333-P333</f>
        <v>0</v>
      </c>
    </row>
    <row r="334" spans="1:19" x14ac:dyDescent="0.15">
      <c r="A334" s="1">
        <v>6</v>
      </c>
      <c r="B334" s="1">
        <v>12</v>
      </c>
      <c r="C334" s="10">
        <v>0.62</v>
      </c>
      <c r="D334" s="5">
        <v>60</v>
      </c>
      <c r="E334" s="10">
        <v>0.33750000000000002</v>
      </c>
      <c r="F334" s="5">
        <v>2270</v>
      </c>
      <c r="G334" s="5">
        <v>110</v>
      </c>
      <c r="I334" s="40">
        <f t="shared" si="10"/>
        <v>2270</v>
      </c>
      <c r="J334" s="40">
        <f t="shared" si="11"/>
        <v>110</v>
      </c>
      <c r="K334" s="1">
        <v>2270</v>
      </c>
      <c r="L334" s="1">
        <v>110</v>
      </c>
      <c r="M334">
        <f t="shared" si="12"/>
        <v>0</v>
      </c>
      <c r="N334" s="1">
        <v>0.62</v>
      </c>
      <c r="O334" s="1">
        <v>60</v>
      </c>
      <c r="P334" s="24">
        <v>0.33750000000000002</v>
      </c>
      <c r="Q334" s="31">
        <f>C334-N334</f>
        <v>0</v>
      </c>
      <c r="R334" s="41">
        <f>D334-O334</f>
        <v>0</v>
      </c>
      <c r="S334" s="41">
        <f>E334-P334</f>
        <v>0</v>
      </c>
    </row>
    <row r="335" spans="1:19" x14ac:dyDescent="0.15">
      <c r="A335" s="1">
        <v>6</v>
      </c>
      <c r="B335" s="1">
        <v>12</v>
      </c>
      <c r="C335" s="10">
        <v>0.62</v>
      </c>
      <c r="D335" s="5">
        <v>60</v>
      </c>
      <c r="E335" s="10">
        <v>0.34749999999999998</v>
      </c>
      <c r="F335" s="5">
        <v>2320</v>
      </c>
      <c r="G335" s="5">
        <v>130</v>
      </c>
      <c r="I335" s="40">
        <f t="shared" si="10"/>
        <v>2320</v>
      </c>
      <c r="J335" s="40">
        <f t="shared" si="11"/>
        <v>130</v>
      </c>
      <c r="K335" s="1">
        <v>2320</v>
      </c>
      <c r="L335" s="1">
        <v>130</v>
      </c>
      <c r="M335">
        <f t="shared" si="12"/>
        <v>0</v>
      </c>
      <c r="N335" s="1">
        <v>0.62</v>
      </c>
      <c r="O335" s="1">
        <v>60</v>
      </c>
      <c r="P335" s="24">
        <v>0.34749999999999998</v>
      </c>
      <c r="Q335" s="31">
        <f>C335-N335</f>
        <v>0</v>
      </c>
      <c r="R335" s="41">
        <f>D335-O335</f>
        <v>0</v>
      </c>
      <c r="S335" s="41">
        <f>E335-P335</f>
        <v>0</v>
      </c>
    </row>
    <row r="336" spans="1:19" x14ac:dyDescent="0.15">
      <c r="A336" s="1">
        <v>6</v>
      </c>
      <c r="B336" s="1">
        <v>12</v>
      </c>
      <c r="C336" s="10">
        <v>0.62</v>
      </c>
      <c r="D336" s="5">
        <v>60</v>
      </c>
      <c r="E336" s="10">
        <v>0.35749999999999998</v>
      </c>
      <c r="F336" s="5">
        <v>2370</v>
      </c>
      <c r="G336" s="5">
        <v>130</v>
      </c>
      <c r="I336" s="40">
        <f t="shared" si="10"/>
        <v>2370</v>
      </c>
      <c r="J336" s="40">
        <f t="shared" si="11"/>
        <v>130</v>
      </c>
      <c r="K336" s="1">
        <v>2370</v>
      </c>
      <c r="L336" s="1">
        <v>130</v>
      </c>
      <c r="M336">
        <f t="shared" si="12"/>
        <v>0</v>
      </c>
      <c r="N336" s="1">
        <v>0.62</v>
      </c>
      <c r="O336" s="1">
        <v>60</v>
      </c>
      <c r="P336" s="24">
        <v>0.35749999999999998</v>
      </c>
      <c r="Q336" s="31">
        <f>C336-N336</f>
        <v>0</v>
      </c>
      <c r="R336" s="41">
        <f>D336-O336</f>
        <v>0</v>
      </c>
      <c r="S336" s="41">
        <f>E336-P336</f>
        <v>0</v>
      </c>
    </row>
    <row r="337" spans="1:19" x14ac:dyDescent="0.15">
      <c r="A337" s="1">
        <v>6</v>
      </c>
      <c r="B337" s="1">
        <v>12</v>
      </c>
      <c r="C337" s="10">
        <v>0.62</v>
      </c>
      <c r="D337" s="5">
        <v>60</v>
      </c>
      <c r="E337" s="10">
        <v>0.36749999999999999</v>
      </c>
      <c r="F337" s="5">
        <v>2580</v>
      </c>
      <c r="G337" s="5">
        <v>140</v>
      </c>
      <c r="I337" s="40">
        <f t="shared" si="10"/>
        <v>2580</v>
      </c>
      <c r="J337" s="40">
        <f t="shared" si="11"/>
        <v>140</v>
      </c>
      <c r="K337" s="1">
        <v>2580</v>
      </c>
      <c r="L337" s="1">
        <v>140</v>
      </c>
      <c r="M337">
        <f t="shared" si="12"/>
        <v>0</v>
      </c>
      <c r="N337" s="1">
        <v>0.62</v>
      </c>
      <c r="O337" s="1">
        <v>60</v>
      </c>
      <c r="P337" s="24">
        <v>0.36749999999999999</v>
      </c>
      <c r="Q337" s="31">
        <f>C337-N337</f>
        <v>0</v>
      </c>
      <c r="R337" s="41">
        <f>D337-O337</f>
        <v>0</v>
      </c>
      <c r="S337" s="41">
        <f>E337-P337</f>
        <v>0</v>
      </c>
    </row>
    <row r="338" spans="1:19" x14ac:dyDescent="0.15">
      <c r="A338" s="1">
        <v>6</v>
      </c>
      <c r="B338" s="1">
        <v>12</v>
      </c>
      <c r="C338" s="10">
        <v>0.62</v>
      </c>
      <c r="D338" s="5">
        <v>60</v>
      </c>
      <c r="E338" s="10">
        <v>0.3775</v>
      </c>
      <c r="F338" s="5">
        <v>2640</v>
      </c>
      <c r="G338" s="5">
        <v>150</v>
      </c>
      <c r="I338" s="40">
        <f t="shared" si="10"/>
        <v>2640</v>
      </c>
      <c r="J338" s="40">
        <f t="shared" si="11"/>
        <v>150</v>
      </c>
      <c r="K338" s="1">
        <v>2640</v>
      </c>
      <c r="L338" s="1">
        <v>150</v>
      </c>
      <c r="M338">
        <f t="shared" si="12"/>
        <v>0</v>
      </c>
      <c r="N338" s="1">
        <v>0.62</v>
      </c>
      <c r="O338" s="1">
        <v>60</v>
      </c>
      <c r="P338" s="24">
        <v>0.3775</v>
      </c>
      <c r="Q338" s="31">
        <f>C338-N338</f>
        <v>0</v>
      </c>
      <c r="R338" s="41">
        <f>D338-O338</f>
        <v>0</v>
      </c>
      <c r="S338" s="41">
        <f>E338-P338</f>
        <v>0</v>
      </c>
    </row>
    <row r="339" spans="1:19" x14ac:dyDescent="0.15">
      <c r="A339" s="1">
        <v>6</v>
      </c>
      <c r="B339" s="1">
        <v>12</v>
      </c>
      <c r="C339" s="10">
        <v>0.62</v>
      </c>
      <c r="D339" s="5">
        <v>60</v>
      </c>
      <c r="E339" s="10">
        <v>0.38750000000000001</v>
      </c>
      <c r="F339" s="5">
        <v>2800</v>
      </c>
      <c r="G339" s="5">
        <v>160</v>
      </c>
      <c r="I339" s="40">
        <f t="shared" si="10"/>
        <v>2800</v>
      </c>
      <c r="J339" s="40">
        <f t="shared" si="11"/>
        <v>160</v>
      </c>
      <c r="K339" s="1">
        <v>2800</v>
      </c>
      <c r="L339" s="1">
        <v>160</v>
      </c>
      <c r="M339">
        <f t="shared" si="12"/>
        <v>0</v>
      </c>
      <c r="N339" s="1">
        <v>0.62</v>
      </c>
      <c r="O339" s="1">
        <v>60</v>
      </c>
      <c r="P339" s="24">
        <v>0.38750000000000001</v>
      </c>
      <c r="Q339" s="31">
        <f>C339-N339</f>
        <v>0</v>
      </c>
      <c r="R339" s="41">
        <f>D339-O339</f>
        <v>0</v>
      </c>
      <c r="S339" s="41">
        <f>E339-P339</f>
        <v>0</v>
      </c>
    </row>
    <row r="340" spans="1:19" x14ac:dyDescent="0.15">
      <c r="A340" s="1">
        <v>6</v>
      </c>
      <c r="B340" s="1">
        <v>12</v>
      </c>
      <c r="C340" s="10">
        <v>0.62</v>
      </c>
      <c r="D340" s="5">
        <v>60</v>
      </c>
      <c r="E340" s="10">
        <v>0.39750000000000002</v>
      </c>
      <c r="F340" s="5">
        <v>2680</v>
      </c>
      <c r="G340" s="5">
        <v>170</v>
      </c>
      <c r="I340" s="40">
        <f t="shared" si="10"/>
        <v>2680</v>
      </c>
      <c r="J340" s="40">
        <f t="shared" si="11"/>
        <v>170</v>
      </c>
      <c r="K340" s="1">
        <v>2680</v>
      </c>
      <c r="L340" s="1">
        <v>170</v>
      </c>
      <c r="M340">
        <f t="shared" si="12"/>
        <v>0</v>
      </c>
      <c r="N340" s="1">
        <v>0.62</v>
      </c>
      <c r="O340" s="1">
        <v>60</v>
      </c>
      <c r="P340" s="24">
        <v>0.39750000000000002</v>
      </c>
      <c r="Q340" s="31">
        <f>C340-N340</f>
        <v>0</v>
      </c>
      <c r="R340" s="41">
        <f>D340-O340</f>
        <v>0</v>
      </c>
      <c r="S340" s="41">
        <f>E340-P340</f>
        <v>0</v>
      </c>
    </row>
    <row r="341" spans="1:19" x14ac:dyDescent="0.15">
      <c r="A341" s="1">
        <v>6</v>
      </c>
      <c r="B341" s="1">
        <v>12</v>
      </c>
      <c r="C341" s="10">
        <v>0.62</v>
      </c>
      <c r="D341" s="5">
        <v>60</v>
      </c>
      <c r="E341" s="10">
        <v>0.40749999999999997</v>
      </c>
      <c r="F341" s="5">
        <v>2750</v>
      </c>
      <c r="G341" s="5">
        <v>190</v>
      </c>
      <c r="I341" s="40">
        <f t="shared" si="10"/>
        <v>2750</v>
      </c>
      <c r="J341" s="40">
        <f t="shared" si="11"/>
        <v>190</v>
      </c>
      <c r="K341" s="1">
        <v>2750</v>
      </c>
      <c r="L341" s="1">
        <v>180</v>
      </c>
      <c r="M341">
        <f t="shared" si="12"/>
        <v>10</v>
      </c>
      <c r="N341" s="1">
        <v>0.62</v>
      </c>
      <c r="O341" s="1">
        <v>60</v>
      </c>
      <c r="P341" s="24">
        <v>0.40749999999999997</v>
      </c>
      <c r="Q341" s="31">
        <f>C341-N341</f>
        <v>0</v>
      </c>
      <c r="R341" s="41">
        <f>D341-O341</f>
        <v>0</v>
      </c>
      <c r="S341" s="41">
        <f>E341-P341</f>
        <v>0</v>
      </c>
    </row>
    <row r="342" spans="1:19" x14ac:dyDescent="0.15">
      <c r="A342" s="1">
        <v>6</v>
      </c>
      <c r="B342" s="1">
        <v>12</v>
      </c>
      <c r="C342" s="10">
        <v>0.62</v>
      </c>
      <c r="D342" s="5">
        <v>60</v>
      </c>
      <c r="E342" s="10">
        <v>0.41749999999999998</v>
      </c>
      <c r="F342" s="5">
        <v>2590</v>
      </c>
      <c r="G342" s="5">
        <v>190</v>
      </c>
      <c r="I342" s="40">
        <f t="shared" si="10"/>
        <v>2590</v>
      </c>
      <c r="J342" s="40">
        <f t="shared" si="11"/>
        <v>190</v>
      </c>
      <c r="K342" s="1">
        <v>2590</v>
      </c>
      <c r="L342" s="1">
        <v>190</v>
      </c>
      <c r="M342">
        <f t="shared" si="12"/>
        <v>0</v>
      </c>
      <c r="N342" s="1">
        <v>0.62</v>
      </c>
      <c r="O342" s="1">
        <v>60</v>
      </c>
      <c r="P342" s="24">
        <v>0.41749999999999998</v>
      </c>
      <c r="Q342" s="31">
        <f>C342-N342</f>
        <v>0</v>
      </c>
      <c r="R342" s="41">
        <f>D342-O342</f>
        <v>0</v>
      </c>
      <c r="S342" s="41">
        <f>E342-P342</f>
        <v>0</v>
      </c>
    </row>
    <row r="343" spans="1:19" x14ac:dyDescent="0.15">
      <c r="A343" s="1">
        <v>6</v>
      </c>
      <c r="B343" s="1">
        <v>12</v>
      </c>
      <c r="C343" s="10">
        <v>0.62</v>
      </c>
      <c r="D343" s="5">
        <v>60</v>
      </c>
      <c r="E343" s="10">
        <v>0.42749999999999999</v>
      </c>
      <c r="F343" s="5">
        <v>2690</v>
      </c>
      <c r="G343" s="5">
        <v>200</v>
      </c>
      <c r="I343" s="40">
        <f t="shared" si="10"/>
        <v>2690</v>
      </c>
      <c r="J343" s="40">
        <f t="shared" si="11"/>
        <v>200</v>
      </c>
      <c r="K343" s="1">
        <v>2690</v>
      </c>
      <c r="L343" s="1">
        <v>200</v>
      </c>
      <c r="M343">
        <f t="shared" si="12"/>
        <v>0</v>
      </c>
      <c r="N343" s="1">
        <v>0.62</v>
      </c>
      <c r="O343" s="1">
        <v>60</v>
      </c>
      <c r="P343" s="24">
        <v>0.42749999999999999</v>
      </c>
      <c r="Q343" s="31">
        <f>C343-N343</f>
        <v>0</v>
      </c>
      <c r="R343" s="41">
        <f>D343-O343</f>
        <v>0</v>
      </c>
      <c r="S343" s="41">
        <f>E343-P343</f>
        <v>0</v>
      </c>
    </row>
    <row r="344" spans="1:19" x14ac:dyDescent="0.15">
      <c r="A344" s="1">
        <v>6</v>
      </c>
      <c r="B344" s="1">
        <v>12</v>
      </c>
      <c r="C344" s="10">
        <v>0.62</v>
      </c>
      <c r="D344" s="5">
        <v>60</v>
      </c>
      <c r="E344" s="10">
        <v>0.4375</v>
      </c>
      <c r="F344" s="5">
        <v>2680</v>
      </c>
      <c r="G344" s="5">
        <v>210</v>
      </c>
      <c r="I344" s="40">
        <f t="shared" si="10"/>
        <v>2680</v>
      </c>
      <c r="J344" s="40">
        <f t="shared" si="11"/>
        <v>210</v>
      </c>
      <c r="K344" s="1">
        <v>2680</v>
      </c>
      <c r="L344" s="1">
        <v>210</v>
      </c>
      <c r="M344">
        <f t="shared" si="12"/>
        <v>0</v>
      </c>
      <c r="N344" s="1">
        <v>0.62</v>
      </c>
      <c r="O344" s="1">
        <v>60</v>
      </c>
      <c r="P344" s="24">
        <v>0.4375</v>
      </c>
      <c r="Q344" s="31">
        <f>C344-N344</f>
        <v>0</v>
      </c>
      <c r="R344" s="41">
        <f>D344-O344</f>
        <v>0</v>
      </c>
      <c r="S344" s="41">
        <f>E344-P344</f>
        <v>0</v>
      </c>
    </row>
    <row r="345" spans="1:19" x14ac:dyDescent="0.15">
      <c r="A345" s="1">
        <v>6</v>
      </c>
      <c r="B345" s="1">
        <v>12</v>
      </c>
      <c r="C345" s="10">
        <v>0.62</v>
      </c>
      <c r="D345" s="5">
        <v>60</v>
      </c>
      <c r="E345" s="10">
        <v>0.44750000000000001</v>
      </c>
      <c r="F345" s="5">
        <v>2430</v>
      </c>
      <c r="G345" s="5">
        <v>270</v>
      </c>
      <c r="I345" s="40">
        <f t="shared" si="10"/>
        <v>2430</v>
      </c>
      <c r="J345" s="40">
        <f t="shared" si="11"/>
        <v>270</v>
      </c>
      <c r="K345" s="1">
        <v>2430</v>
      </c>
      <c r="L345" s="1">
        <v>270</v>
      </c>
      <c r="M345">
        <f t="shared" si="12"/>
        <v>0</v>
      </c>
      <c r="N345" s="1">
        <v>0.62</v>
      </c>
      <c r="O345" s="1">
        <v>60</v>
      </c>
      <c r="P345" s="24">
        <v>0.44750000000000001</v>
      </c>
      <c r="Q345" s="31">
        <f>C345-N345</f>
        <v>0</v>
      </c>
      <c r="R345" s="41">
        <f>D345-O345</f>
        <v>0</v>
      </c>
      <c r="S345" s="41">
        <f>E345-P345</f>
        <v>0</v>
      </c>
    </row>
    <row r="346" spans="1:19" x14ac:dyDescent="0.15">
      <c r="A346" s="1">
        <v>6</v>
      </c>
      <c r="B346" s="1">
        <v>12</v>
      </c>
      <c r="C346" s="10">
        <v>0.62</v>
      </c>
      <c r="D346" s="5">
        <v>60</v>
      </c>
      <c r="E346" s="10">
        <v>0.45750000000000002</v>
      </c>
      <c r="F346" s="5">
        <v>2180</v>
      </c>
      <c r="G346" s="5">
        <v>290</v>
      </c>
      <c r="I346" s="40">
        <f t="shared" si="10"/>
        <v>2180</v>
      </c>
      <c r="J346" s="40">
        <f t="shared" si="11"/>
        <v>290</v>
      </c>
      <c r="K346" s="1">
        <v>2180</v>
      </c>
      <c r="L346" s="1">
        <v>290</v>
      </c>
      <c r="M346">
        <f t="shared" si="12"/>
        <v>0</v>
      </c>
      <c r="N346" s="1">
        <v>0.62</v>
      </c>
      <c r="O346" s="1">
        <v>60</v>
      </c>
      <c r="P346" s="24">
        <v>0.45750000000000002</v>
      </c>
      <c r="Q346" s="31">
        <f>C346-N346</f>
        <v>0</v>
      </c>
      <c r="R346" s="41">
        <f>D346-O346</f>
        <v>0</v>
      </c>
      <c r="S346" s="41">
        <f>E346-P346</f>
        <v>0</v>
      </c>
    </row>
    <row r="347" spans="1:19" x14ac:dyDescent="0.15">
      <c r="A347" s="1">
        <v>6</v>
      </c>
      <c r="B347" s="1">
        <v>12</v>
      </c>
      <c r="C347" s="10">
        <v>0.62</v>
      </c>
      <c r="D347" s="5">
        <v>60</v>
      </c>
      <c r="E347" s="10">
        <v>0.46750000000000003</v>
      </c>
      <c r="F347" s="5">
        <v>2300</v>
      </c>
      <c r="G347" s="5">
        <v>320</v>
      </c>
      <c r="I347" s="40">
        <f t="shared" si="10"/>
        <v>2300</v>
      </c>
      <c r="J347" s="40">
        <f t="shared" si="11"/>
        <v>320</v>
      </c>
      <c r="K347" s="1">
        <v>2300</v>
      </c>
      <c r="L347" s="1">
        <v>320</v>
      </c>
      <c r="M347">
        <f t="shared" si="12"/>
        <v>0</v>
      </c>
      <c r="N347" s="1">
        <v>0.62</v>
      </c>
      <c r="O347" s="1">
        <v>60</v>
      </c>
      <c r="P347" s="24">
        <v>0.46750000000000003</v>
      </c>
      <c r="Q347" s="31">
        <f>C347-N347</f>
        <v>0</v>
      </c>
      <c r="R347" s="41">
        <f>D347-O347</f>
        <v>0</v>
      </c>
      <c r="S347" s="41">
        <f>E347-P347</f>
        <v>0</v>
      </c>
    </row>
    <row r="348" spans="1:19" x14ac:dyDescent="0.15">
      <c r="A348" s="1">
        <v>6</v>
      </c>
      <c r="B348" s="1">
        <v>12</v>
      </c>
      <c r="C348" s="10">
        <v>0.62</v>
      </c>
      <c r="D348" s="5">
        <v>60</v>
      </c>
      <c r="E348" s="10">
        <v>0.47749999999999998</v>
      </c>
      <c r="F348" s="5">
        <v>2000</v>
      </c>
      <c r="G348" s="5">
        <v>310</v>
      </c>
      <c r="I348" s="40">
        <f t="shared" si="10"/>
        <v>2000</v>
      </c>
      <c r="J348" s="40">
        <f t="shared" si="11"/>
        <v>310</v>
      </c>
      <c r="K348" s="1">
        <v>2000</v>
      </c>
      <c r="L348" s="1">
        <v>310</v>
      </c>
      <c r="M348">
        <f t="shared" si="12"/>
        <v>0</v>
      </c>
      <c r="N348" s="1">
        <v>0.62</v>
      </c>
      <c r="O348" s="1">
        <v>60</v>
      </c>
      <c r="P348" s="24">
        <v>0.47749999999999998</v>
      </c>
      <c r="Q348" s="31">
        <f>C348-N348</f>
        <v>0</v>
      </c>
      <c r="R348" s="41">
        <f>D348-O348</f>
        <v>0</v>
      </c>
      <c r="S348" s="41">
        <f>E348-P348</f>
        <v>0</v>
      </c>
    </row>
    <row r="349" spans="1:19" x14ac:dyDescent="0.15">
      <c r="A349" s="1">
        <v>6</v>
      </c>
      <c r="B349" s="1">
        <v>12</v>
      </c>
      <c r="C349" s="10">
        <v>0.62</v>
      </c>
      <c r="D349" s="5">
        <v>60</v>
      </c>
      <c r="E349" s="10">
        <v>0.48749999999999999</v>
      </c>
      <c r="F349" s="5">
        <v>2170</v>
      </c>
      <c r="G349" s="5">
        <v>370</v>
      </c>
      <c r="I349" s="40">
        <f t="shared" si="10"/>
        <v>2170</v>
      </c>
      <c r="J349" s="40">
        <f t="shared" si="11"/>
        <v>370</v>
      </c>
      <c r="K349" s="1">
        <v>2170</v>
      </c>
      <c r="L349" s="1">
        <v>370</v>
      </c>
      <c r="M349">
        <f t="shared" si="12"/>
        <v>0</v>
      </c>
      <c r="N349" s="1">
        <v>0.62</v>
      </c>
      <c r="O349" s="1">
        <v>60</v>
      </c>
      <c r="P349" s="24">
        <v>0.48749999999999999</v>
      </c>
      <c r="Q349" s="31">
        <f>C349-N349</f>
        <v>0</v>
      </c>
      <c r="R349" s="41">
        <f>D349-O349</f>
        <v>0</v>
      </c>
      <c r="S349" s="41">
        <f>E349-P349</f>
        <v>0</v>
      </c>
    </row>
    <row r="350" spans="1:19" x14ac:dyDescent="0.15">
      <c r="A350" s="1">
        <v>6</v>
      </c>
      <c r="B350" s="1">
        <v>12</v>
      </c>
      <c r="C350" s="10">
        <v>0.62</v>
      </c>
      <c r="D350" s="5">
        <v>60</v>
      </c>
      <c r="E350" s="10">
        <v>0.4975</v>
      </c>
      <c r="F350" s="5">
        <v>1890</v>
      </c>
      <c r="G350" s="5">
        <v>430</v>
      </c>
      <c r="I350" s="40">
        <f t="shared" si="10"/>
        <v>1890</v>
      </c>
      <c r="J350" s="40">
        <f t="shared" si="11"/>
        <v>430</v>
      </c>
      <c r="K350" s="1">
        <v>1890</v>
      </c>
      <c r="L350" s="1">
        <v>430</v>
      </c>
      <c r="M350">
        <f t="shared" si="12"/>
        <v>0</v>
      </c>
      <c r="N350" s="1">
        <v>0.62</v>
      </c>
      <c r="O350" s="1">
        <v>60</v>
      </c>
      <c r="P350" s="24">
        <v>0.4975</v>
      </c>
      <c r="Q350" s="31">
        <f>C350-N350</f>
        <v>0</v>
      </c>
      <c r="R350" s="41">
        <f>D350-O350</f>
        <v>0</v>
      </c>
      <c r="S350" s="41">
        <f>E350-P350</f>
        <v>0</v>
      </c>
    </row>
    <row r="351" spans="1:19" x14ac:dyDescent="0.15">
      <c r="A351" s="12">
        <v>6</v>
      </c>
      <c r="B351" s="12">
        <v>12</v>
      </c>
      <c r="C351" s="13">
        <v>0.56000000000000005</v>
      </c>
      <c r="D351" s="14">
        <v>60</v>
      </c>
      <c r="E351" s="13">
        <v>1.2500000000000001E-2</v>
      </c>
      <c r="F351" s="14">
        <v>30</v>
      </c>
      <c r="G351" s="14">
        <v>10</v>
      </c>
      <c r="I351" s="40">
        <f t="shared" si="10"/>
        <v>30</v>
      </c>
      <c r="J351" s="40">
        <f t="shared" si="11"/>
        <v>10</v>
      </c>
      <c r="K351" s="12">
        <v>30</v>
      </c>
      <c r="L351" s="12">
        <v>10</v>
      </c>
      <c r="M351">
        <f t="shared" si="12"/>
        <v>0</v>
      </c>
      <c r="N351" s="12">
        <v>0.56000000000000005</v>
      </c>
      <c r="O351" s="12">
        <v>60</v>
      </c>
      <c r="P351" s="24">
        <v>1.2500000000000001E-2</v>
      </c>
      <c r="Q351" s="31">
        <f>C351-N351</f>
        <v>0</v>
      </c>
      <c r="R351" s="41">
        <f>D351-O351</f>
        <v>0</v>
      </c>
      <c r="S351" s="41">
        <f>E351-P351</f>
        <v>0</v>
      </c>
    </row>
    <row r="352" spans="1:19" x14ac:dyDescent="0.15">
      <c r="A352" s="1">
        <v>6</v>
      </c>
      <c r="B352" s="1">
        <v>12</v>
      </c>
      <c r="C352" s="10">
        <v>0.56000000000000005</v>
      </c>
      <c r="D352" s="5">
        <v>60</v>
      </c>
      <c r="E352" s="10">
        <v>2.2499999999999999E-2</v>
      </c>
      <c r="F352" s="5">
        <v>30</v>
      </c>
      <c r="G352" s="5">
        <v>10</v>
      </c>
      <c r="I352" s="40">
        <f t="shared" si="10"/>
        <v>30</v>
      </c>
      <c r="J352" s="40">
        <f t="shared" si="11"/>
        <v>10</v>
      </c>
      <c r="K352" s="1">
        <v>30</v>
      </c>
      <c r="L352" s="1">
        <v>10</v>
      </c>
      <c r="M352">
        <f t="shared" si="12"/>
        <v>0</v>
      </c>
      <c r="N352" s="1">
        <v>0.56000000000000005</v>
      </c>
      <c r="O352" s="1">
        <v>60</v>
      </c>
      <c r="P352" s="24">
        <v>2.2499999999999999E-2</v>
      </c>
      <c r="Q352" s="31">
        <f>C352-N352</f>
        <v>0</v>
      </c>
      <c r="R352" s="41">
        <f>D352-O352</f>
        <v>0</v>
      </c>
      <c r="S352" s="41">
        <f>E352-P352</f>
        <v>0</v>
      </c>
    </row>
    <row r="353" spans="1:23" x14ac:dyDescent="0.15">
      <c r="A353" s="1">
        <v>6</v>
      </c>
      <c r="B353" s="1">
        <v>12</v>
      </c>
      <c r="C353" s="10">
        <v>0.56000000000000005</v>
      </c>
      <c r="D353" s="5">
        <v>60</v>
      </c>
      <c r="E353" s="10">
        <v>3.2500000000000001E-2</v>
      </c>
      <c r="F353" s="5">
        <v>320</v>
      </c>
      <c r="G353" s="5">
        <v>20</v>
      </c>
      <c r="I353" s="40">
        <f t="shared" si="10"/>
        <v>320</v>
      </c>
      <c r="J353" s="40">
        <f t="shared" si="11"/>
        <v>20</v>
      </c>
      <c r="K353" s="1">
        <v>320</v>
      </c>
      <c r="L353" s="1">
        <v>20</v>
      </c>
      <c r="M353">
        <f t="shared" si="12"/>
        <v>0</v>
      </c>
      <c r="N353" s="1">
        <v>0.56000000000000005</v>
      </c>
      <c r="O353" s="1">
        <v>60</v>
      </c>
      <c r="P353" s="24">
        <v>3.2500000000000001E-2</v>
      </c>
      <c r="Q353" s="31">
        <f>C353-N353</f>
        <v>0</v>
      </c>
      <c r="R353" s="41">
        <f>D353-O353</f>
        <v>0</v>
      </c>
      <c r="S353" s="41">
        <f>E353-P353</f>
        <v>0</v>
      </c>
    </row>
    <row r="354" spans="1:23" x14ac:dyDescent="0.15">
      <c r="A354" s="1">
        <v>6</v>
      </c>
      <c r="B354" s="1">
        <v>12</v>
      </c>
      <c r="C354" s="10">
        <v>0.56000000000000005</v>
      </c>
      <c r="D354" s="5">
        <v>60</v>
      </c>
      <c r="E354" s="10">
        <v>4.2500000000000003E-2</v>
      </c>
      <c r="F354" s="5">
        <v>480</v>
      </c>
      <c r="G354" s="5">
        <v>20</v>
      </c>
      <c r="I354" s="40">
        <f t="shared" si="10"/>
        <v>480</v>
      </c>
      <c r="J354" s="40">
        <f t="shared" si="11"/>
        <v>20</v>
      </c>
      <c r="K354" s="1">
        <v>480</v>
      </c>
      <c r="L354" s="1">
        <v>20</v>
      </c>
      <c r="M354">
        <f t="shared" si="12"/>
        <v>0</v>
      </c>
      <c r="N354" s="1">
        <v>0.56000000000000005</v>
      </c>
      <c r="O354" s="1">
        <v>60</v>
      </c>
      <c r="P354" s="24">
        <v>4.2500000000000003E-2</v>
      </c>
      <c r="Q354" s="31">
        <f>C354-N354</f>
        <v>0</v>
      </c>
      <c r="R354" s="41">
        <f>D354-O354</f>
        <v>0</v>
      </c>
      <c r="S354" s="41">
        <f>E354-P354</f>
        <v>0</v>
      </c>
    </row>
    <row r="355" spans="1:23" x14ac:dyDescent="0.15">
      <c r="A355" s="1">
        <v>6</v>
      </c>
      <c r="B355" s="1">
        <v>12</v>
      </c>
      <c r="C355" s="10">
        <v>0.56000000000000005</v>
      </c>
      <c r="D355" s="5">
        <v>60</v>
      </c>
      <c r="E355" s="10">
        <v>5.2499999999999998E-2</v>
      </c>
      <c r="F355" s="5">
        <v>750</v>
      </c>
      <c r="G355" s="5">
        <v>40</v>
      </c>
      <c r="I355" s="40">
        <f t="shared" si="10"/>
        <v>750</v>
      </c>
      <c r="J355" s="40">
        <f t="shared" si="11"/>
        <v>40</v>
      </c>
      <c r="K355" s="1">
        <v>750</v>
      </c>
      <c r="L355" s="1">
        <v>40</v>
      </c>
      <c r="M355">
        <f t="shared" si="12"/>
        <v>0</v>
      </c>
      <c r="N355" s="1">
        <v>0.56000000000000005</v>
      </c>
      <c r="O355" s="1">
        <v>60</v>
      </c>
      <c r="P355" s="24">
        <v>5.2499999999999998E-2</v>
      </c>
      <c r="Q355" s="31">
        <f>C355-N355</f>
        <v>0</v>
      </c>
      <c r="R355" s="41">
        <f>D355-O355</f>
        <v>0</v>
      </c>
      <c r="S355" s="41">
        <f>E355-P355</f>
        <v>0</v>
      </c>
    </row>
    <row r="356" spans="1:23" x14ac:dyDescent="0.15">
      <c r="A356" s="1">
        <v>6</v>
      </c>
      <c r="B356" s="1">
        <v>12</v>
      </c>
      <c r="C356" s="10">
        <v>0.56000000000000005</v>
      </c>
      <c r="D356" s="5">
        <v>60</v>
      </c>
      <c r="E356" s="10">
        <v>6.25E-2</v>
      </c>
      <c r="F356" s="5">
        <v>1170</v>
      </c>
      <c r="G356" s="5">
        <v>60</v>
      </c>
      <c r="I356" s="40">
        <f t="shared" si="10"/>
        <v>1170</v>
      </c>
      <c r="J356" s="40">
        <f t="shared" si="11"/>
        <v>60</v>
      </c>
      <c r="K356" s="1">
        <v>1170</v>
      </c>
      <c r="L356" s="1">
        <v>60</v>
      </c>
      <c r="M356">
        <f t="shared" si="12"/>
        <v>0</v>
      </c>
      <c r="N356" s="1">
        <v>0.56000000000000005</v>
      </c>
      <c r="O356" s="1">
        <v>60</v>
      </c>
      <c r="P356" s="24">
        <v>6.25E-2</v>
      </c>
      <c r="Q356" s="31">
        <f>C356-N356</f>
        <v>0</v>
      </c>
      <c r="R356" s="41">
        <f>D356-O356</f>
        <v>0</v>
      </c>
      <c r="S356" s="41">
        <f>E356-P356</f>
        <v>0</v>
      </c>
    </row>
    <row r="357" spans="1:23" x14ac:dyDescent="0.15">
      <c r="A357" s="1">
        <v>6</v>
      </c>
      <c r="B357" s="1">
        <v>12</v>
      </c>
      <c r="C357" s="10">
        <v>0.56000000000000005</v>
      </c>
      <c r="D357" s="5">
        <v>60</v>
      </c>
      <c r="E357" s="10">
        <v>7.2499999999999995E-2</v>
      </c>
      <c r="F357" s="5">
        <v>1620</v>
      </c>
      <c r="G357" s="5">
        <v>70</v>
      </c>
      <c r="I357" s="40">
        <f t="shared" si="10"/>
        <v>1620</v>
      </c>
      <c r="J357" s="40">
        <f t="shared" si="11"/>
        <v>70</v>
      </c>
      <c r="K357" s="1">
        <v>1620</v>
      </c>
      <c r="L357" s="1">
        <v>70</v>
      </c>
      <c r="M357">
        <f t="shared" si="12"/>
        <v>0</v>
      </c>
      <c r="N357" s="1">
        <v>0.56000000000000005</v>
      </c>
      <c r="O357" s="1">
        <v>60</v>
      </c>
      <c r="P357" s="24">
        <v>7.2499999999999995E-2</v>
      </c>
      <c r="Q357" s="31">
        <f>C357-N357</f>
        <v>0</v>
      </c>
      <c r="R357" s="41">
        <f>D357-O357</f>
        <v>0</v>
      </c>
      <c r="S357" s="41">
        <f>E357-P357</f>
        <v>0</v>
      </c>
    </row>
    <row r="358" spans="1:23" x14ac:dyDescent="0.15">
      <c r="A358" s="1">
        <v>6</v>
      </c>
      <c r="B358" s="1">
        <v>12</v>
      </c>
      <c r="C358" s="10">
        <v>0.56000000000000005</v>
      </c>
      <c r="D358" s="5">
        <v>60</v>
      </c>
      <c r="E358" s="10">
        <v>8.2500000000000004E-2</v>
      </c>
      <c r="F358" s="5">
        <v>2210</v>
      </c>
      <c r="G358" s="5">
        <v>90</v>
      </c>
      <c r="I358" s="40">
        <f t="shared" si="10"/>
        <v>2210</v>
      </c>
      <c r="J358" s="40">
        <f t="shared" si="11"/>
        <v>90</v>
      </c>
      <c r="K358" s="1">
        <v>2210</v>
      </c>
      <c r="L358" s="1">
        <v>90</v>
      </c>
      <c r="M358">
        <f t="shared" si="12"/>
        <v>0</v>
      </c>
      <c r="N358" s="1">
        <v>0.56000000000000005</v>
      </c>
      <c r="O358" s="1">
        <v>60</v>
      </c>
      <c r="P358" s="24">
        <v>8.2500000000000004E-2</v>
      </c>
      <c r="Q358" s="31">
        <f>C358-N358</f>
        <v>0</v>
      </c>
      <c r="R358" s="41">
        <f>D358-O358</f>
        <v>0</v>
      </c>
      <c r="S358" s="41">
        <f>E358-P358</f>
        <v>0</v>
      </c>
    </row>
    <row r="359" spans="1:23" x14ac:dyDescent="0.15">
      <c r="A359" s="1">
        <v>6</v>
      </c>
      <c r="B359" s="1">
        <v>12</v>
      </c>
      <c r="C359" s="10">
        <v>0.56000000000000005</v>
      </c>
      <c r="D359" s="5">
        <v>60</v>
      </c>
      <c r="E359" s="10">
        <v>9.2499999999999999E-2</v>
      </c>
      <c r="F359" s="5">
        <v>2780</v>
      </c>
      <c r="G359" s="5">
        <v>110</v>
      </c>
      <c r="I359" s="40">
        <f t="shared" si="10"/>
        <v>2780</v>
      </c>
      <c r="J359" s="40">
        <f t="shared" si="11"/>
        <v>110</v>
      </c>
      <c r="K359" s="1">
        <v>2780</v>
      </c>
      <c r="L359" s="1">
        <v>110</v>
      </c>
      <c r="M359">
        <f t="shared" si="12"/>
        <v>0</v>
      </c>
      <c r="N359" s="1">
        <v>0.56000000000000005</v>
      </c>
      <c r="O359" s="1">
        <v>60</v>
      </c>
      <c r="P359" s="24">
        <v>9.2499999999999999E-2</v>
      </c>
      <c r="Q359" s="31">
        <f>C359-N359</f>
        <v>0</v>
      </c>
      <c r="R359" s="41">
        <f>D359-O359</f>
        <v>0</v>
      </c>
      <c r="S359" s="41">
        <f>E359-P359</f>
        <v>0</v>
      </c>
    </row>
    <row r="360" spans="1:23" x14ac:dyDescent="0.15">
      <c r="A360" s="1">
        <v>6</v>
      </c>
      <c r="B360" s="1">
        <v>12</v>
      </c>
      <c r="C360" s="10">
        <v>0.56000000000000005</v>
      </c>
      <c r="D360" s="5">
        <v>60</v>
      </c>
      <c r="E360" s="10">
        <v>0.10249999999999999</v>
      </c>
      <c r="F360" s="5">
        <v>3430</v>
      </c>
      <c r="G360" s="5">
        <v>140</v>
      </c>
      <c r="I360" s="40">
        <f t="shared" si="10"/>
        <v>3430</v>
      </c>
      <c r="J360" s="40">
        <f t="shared" si="11"/>
        <v>140</v>
      </c>
      <c r="K360" s="1">
        <v>3430</v>
      </c>
      <c r="L360" s="1">
        <v>140</v>
      </c>
      <c r="M360">
        <f t="shared" si="12"/>
        <v>0</v>
      </c>
      <c r="N360" s="1">
        <v>0.56000000000000005</v>
      </c>
      <c r="O360" s="1">
        <v>60</v>
      </c>
      <c r="P360" s="24">
        <v>0.10249999999999999</v>
      </c>
      <c r="Q360" s="31">
        <f>C360-N360</f>
        <v>0</v>
      </c>
      <c r="R360" s="41">
        <f>D360-O360</f>
        <v>0</v>
      </c>
      <c r="S360" s="41">
        <f>E360-P360</f>
        <v>0</v>
      </c>
    </row>
    <row r="361" spans="1:23" s="15" customFormat="1" x14ac:dyDescent="0.15">
      <c r="A361" s="1">
        <v>6</v>
      </c>
      <c r="B361" s="1">
        <v>12</v>
      </c>
      <c r="C361" s="10">
        <v>0.56000000000000005</v>
      </c>
      <c r="D361" s="5">
        <v>60</v>
      </c>
      <c r="E361" s="10">
        <v>0.1125</v>
      </c>
      <c r="F361" s="5">
        <v>3930</v>
      </c>
      <c r="G361" s="5">
        <v>150</v>
      </c>
      <c r="H361" s="12"/>
      <c r="I361" s="40">
        <f t="shared" si="10"/>
        <v>3930</v>
      </c>
      <c r="J361" s="40">
        <f t="shared" si="11"/>
        <v>150</v>
      </c>
      <c r="K361" s="1">
        <v>3930</v>
      </c>
      <c r="L361" s="1">
        <v>150</v>
      </c>
      <c r="M361">
        <f t="shared" si="12"/>
        <v>0</v>
      </c>
      <c r="N361" s="1">
        <v>0.56000000000000005</v>
      </c>
      <c r="O361" s="1">
        <v>60</v>
      </c>
      <c r="P361" s="24">
        <v>0.1125</v>
      </c>
      <c r="Q361" s="31">
        <f>C361-N361</f>
        <v>0</v>
      </c>
      <c r="R361" s="41">
        <f>D361-O361</f>
        <v>0</v>
      </c>
      <c r="S361" s="41">
        <f>E361-P361</f>
        <v>0</v>
      </c>
      <c r="U361" s="12"/>
      <c r="V361" s="12"/>
      <c r="W361" s="12"/>
    </row>
    <row r="362" spans="1:23" x14ac:dyDescent="0.15">
      <c r="A362" s="1">
        <v>6</v>
      </c>
      <c r="B362" s="1">
        <v>12</v>
      </c>
      <c r="C362" s="10">
        <v>0.56000000000000005</v>
      </c>
      <c r="D362" s="5">
        <v>60</v>
      </c>
      <c r="E362" s="10">
        <v>0.1225</v>
      </c>
      <c r="F362" s="5">
        <v>4540</v>
      </c>
      <c r="G362" s="5">
        <v>160</v>
      </c>
      <c r="I362" s="40">
        <f t="shared" si="10"/>
        <v>4540</v>
      </c>
      <c r="J362" s="40">
        <f t="shared" si="11"/>
        <v>160</v>
      </c>
      <c r="K362" s="1">
        <v>4540</v>
      </c>
      <c r="L362" s="1">
        <v>160</v>
      </c>
      <c r="M362">
        <f t="shared" si="12"/>
        <v>0</v>
      </c>
      <c r="N362" s="1">
        <v>0.56000000000000005</v>
      </c>
      <c r="O362" s="1">
        <v>60</v>
      </c>
      <c r="P362" s="24">
        <v>0.1225</v>
      </c>
      <c r="Q362" s="31">
        <f>C362-N362</f>
        <v>0</v>
      </c>
      <c r="R362" s="41">
        <f>D362-O362</f>
        <v>0</v>
      </c>
      <c r="S362" s="41">
        <f>E362-P362</f>
        <v>0</v>
      </c>
    </row>
    <row r="363" spans="1:23" x14ac:dyDescent="0.15">
      <c r="A363" s="1">
        <v>6</v>
      </c>
      <c r="B363" s="1">
        <v>12</v>
      </c>
      <c r="C363" s="10">
        <v>0.56000000000000005</v>
      </c>
      <c r="D363" s="5">
        <v>60</v>
      </c>
      <c r="E363" s="10">
        <v>0.13250000000000001</v>
      </c>
      <c r="F363" s="5">
        <v>4760</v>
      </c>
      <c r="G363" s="5">
        <v>170</v>
      </c>
      <c r="I363" s="40">
        <f t="shared" si="10"/>
        <v>4760</v>
      </c>
      <c r="J363" s="40">
        <f t="shared" si="11"/>
        <v>170</v>
      </c>
      <c r="K363" s="1">
        <v>4760</v>
      </c>
      <c r="L363" s="1">
        <v>170</v>
      </c>
      <c r="M363">
        <f t="shared" si="12"/>
        <v>0</v>
      </c>
      <c r="N363" s="1">
        <v>0.56000000000000005</v>
      </c>
      <c r="O363" s="1">
        <v>60</v>
      </c>
      <c r="P363" s="24">
        <v>0.13250000000000001</v>
      </c>
      <c r="Q363" s="31">
        <f>C363-N363</f>
        <v>0</v>
      </c>
      <c r="R363" s="41">
        <f>D363-O363</f>
        <v>0</v>
      </c>
      <c r="S363" s="41">
        <f>E363-P363</f>
        <v>0</v>
      </c>
    </row>
    <row r="364" spans="1:23" x14ac:dyDescent="0.15">
      <c r="A364" s="1">
        <v>6</v>
      </c>
      <c r="B364" s="1">
        <v>12</v>
      </c>
      <c r="C364" s="10">
        <v>0.56000000000000005</v>
      </c>
      <c r="D364" s="5">
        <v>60</v>
      </c>
      <c r="E364" s="10">
        <v>0.14249999999999999</v>
      </c>
      <c r="F364" s="5">
        <v>4960</v>
      </c>
      <c r="G364" s="5">
        <v>190</v>
      </c>
      <c r="I364" s="40">
        <f t="shared" si="10"/>
        <v>4960</v>
      </c>
      <c r="J364" s="40">
        <f t="shared" si="11"/>
        <v>190</v>
      </c>
      <c r="K364" s="1">
        <v>4960</v>
      </c>
      <c r="L364" s="1">
        <v>190</v>
      </c>
      <c r="M364">
        <f t="shared" si="12"/>
        <v>0</v>
      </c>
      <c r="N364" s="1">
        <v>0.56000000000000005</v>
      </c>
      <c r="O364" s="1">
        <v>60</v>
      </c>
      <c r="P364" s="24">
        <v>0.14249999999999999</v>
      </c>
      <c r="Q364" s="31">
        <f>C364-N364</f>
        <v>0</v>
      </c>
      <c r="R364" s="41">
        <f>D364-O364</f>
        <v>0</v>
      </c>
      <c r="S364" s="41">
        <f>E364-P364</f>
        <v>0</v>
      </c>
    </row>
    <row r="365" spans="1:23" x14ac:dyDescent="0.15">
      <c r="A365" s="1">
        <v>6</v>
      </c>
      <c r="B365" s="1">
        <v>12</v>
      </c>
      <c r="C365" s="10">
        <v>0.56000000000000005</v>
      </c>
      <c r="D365" s="5">
        <v>60</v>
      </c>
      <c r="E365" s="10">
        <v>0.1525</v>
      </c>
      <c r="F365" s="5">
        <v>4950</v>
      </c>
      <c r="G365" s="5">
        <v>190</v>
      </c>
      <c r="I365" s="40">
        <f t="shared" si="10"/>
        <v>4950</v>
      </c>
      <c r="J365" s="40">
        <f t="shared" si="11"/>
        <v>190</v>
      </c>
      <c r="K365" s="1">
        <v>4950</v>
      </c>
      <c r="L365" s="1">
        <v>190</v>
      </c>
      <c r="M365">
        <f t="shared" si="12"/>
        <v>0</v>
      </c>
      <c r="N365" s="1">
        <v>0.56000000000000005</v>
      </c>
      <c r="O365" s="1">
        <v>60</v>
      </c>
      <c r="P365" s="24">
        <v>0.1525</v>
      </c>
      <c r="Q365" s="31">
        <f>C365-N365</f>
        <v>0</v>
      </c>
      <c r="R365" s="41">
        <f>D365-O365</f>
        <v>0</v>
      </c>
      <c r="S365" s="41">
        <f>E365-P365</f>
        <v>0</v>
      </c>
    </row>
    <row r="366" spans="1:23" x14ac:dyDescent="0.15">
      <c r="A366" s="1">
        <v>6</v>
      </c>
      <c r="B366" s="1">
        <v>12</v>
      </c>
      <c r="C366" s="10">
        <v>0.56000000000000005</v>
      </c>
      <c r="D366" s="5">
        <v>60</v>
      </c>
      <c r="E366" s="10">
        <v>0.16250000000000001</v>
      </c>
      <c r="F366" s="5">
        <v>4800</v>
      </c>
      <c r="G366" s="5">
        <v>190</v>
      </c>
      <c r="I366" s="40">
        <f t="shared" si="10"/>
        <v>4800</v>
      </c>
      <c r="J366" s="40">
        <f t="shared" si="11"/>
        <v>190</v>
      </c>
      <c r="K366" s="1">
        <v>4820</v>
      </c>
      <c r="L366" s="1">
        <v>190</v>
      </c>
      <c r="M366">
        <f t="shared" si="12"/>
        <v>-20</v>
      </c>
      <c r="N366" s="1">
        <v>0.56000000000000005</v>
      </c>
      <c r="O366" s="1">
        <v>60</v>
      </c>
      <c r="P366" s="24">
        <v>0.16250000000000001</v>
      </c>
      <c r="Q366" s="31">
        <f>C366-N366</f>
        <v>0</v>
      </c>
      <c r="R366" s="41">
        <f>D366-O366</f>
        <v>0</v>
      </c>
      <c r="S366" s="41">
        <f>E366-P366</f>
        <v>0</v>
      </c>
    </row>
    <row r="367" spans="1:23" x14ac:dyDescent="0.15">
      <c r="A367" s="1">
        <v>6</v>
      </c>
      <c r="B367" s="1">
        <v>12</v>
      </c>
      <c r="C367" s="10">
        <v>0.56000000000000005</v>
      </c>
      <c r="D367" s="5">
        <v>60</v>
      </c>
      <c r="E367" s="10">
        <v>0.17249999999999999</v>
      </c>
      <c r="F367" s="5">
        <v>4670</v>
      </c>
      <c r="G367" s="5">
        <v>190</v>
      </c>
      <c r="I367" s="40">
        <f t="shared" si="10"/>
        <v>4670</v>
      </c>
      <c r="J367" s="40">
        <f t="shared" si="11"/>
        <v>190</v>
      </c>
      <c r="K367" s="1">
        <v>4670</v>
      </c>
      <c r="L367" s="1">
        <v>190</v>
      </c>
      <c r="M367">
        <f t="shared" si="12"/>
        <v>0</v>
      </c>
      <c r="N367" s="1">
        <v>0.56000000000000005</v>
      </c>
      <c r="O367" s="1">
        <v>60</v>
      </c>
      <c r="P367" s="24">
        <v>0.17249999999999999</v>
      </c>
      <c r="Q367" s="31">
        <f>C367-N367</f>
        <v>0</v>
      </c>
      <c r="R367" s="41">
        <f>D367-O367</f>
        <v>0</v>
      </c>
      <c r="S367" s="41">
        <f>E367-P367</f>
        <v>0</v>
      </c>
    </row>
    <row r="368" spans="1:23" x14ac:dyDescent="0.15">
      <c r="A368" s="1">
        <v>6</v>
      </c>
      <c r="B368" s="1">
        <v>12</v>
      </c>
      <c r="C368" s="10">
        <v>0.56000000000000005</v>
      </c>
      <c r="D368" s="5">
        <v>60</v>
      </c>
      <c r="E368" s="10">
        <v>0.1825</v>
      </c>
      <c r="F368" s="5">
        <v>4260</v>
      </c>
      <c r="G368" s="5">
        <v>180</v>
      </c>
      <c r="I368" s="40">
        <f t="shared" si="10"/>
        <v>4260</v>
      </c>
      <c r="J368" s="40">
        <f t="shared" si="11"/>
        <v>180</v>
      </c>
      <c r="K368" s="1">
        <v>4260</v>
      </c>
      <c r="L368" s="1">
        <v>180</v>
      </c>
      <c r="M368">
        <f t="shared" si="12"/>
        <v>0</v>
      </c>
      <c r="N368" s="1">
        <v>0.56000000000000005</v>
      </c>
      <c r="O368" s="1">
        <v>60</v>
      </c>
      <c r="P368" s="24">
        <v>0.1825</v>
      </c>
      <c r="Q368" s="31">
        <f>C368-N368</f>
        <v>0</v>
      </c>
      <c r="R368" s="41">
        <f>D368-O368</f>
        <v>0</v>
      </c>
      <c r="S368" s="41">
        <f>E368-P368</f>
        <v>0</v>
      </c>
    </row>
    <row r="369" spans="1:19" x14ac:dyDescent="0.15">
      <c r="A369" s="1">
        <v>6</v>
      </c>
      <c r="B369" s="1">
        <v>12</v>
      </c>
      <c r="C369" s="10">
        <v>0.56000000000000005</v>
      </c>
      <c r="D369" s="5">
        <v>60</v>
      </c>
      <c r="E369" s="10">
        <v>0.1925</v>
      </c>
      <c r="F369" s="5">
        <v>3970</v>
      </c>
      <c r="G369" s="5">
        <v>170</v>
      </c>
      <c r="I369" s="40">
        <f t="shared" si="10"/>
        <v>3970</v>
      </c>
      <c r="J369" s="40">
        <f t="shared" si="11"/>
        <v>170</v>
      </c>
      <c r="K369" s="1">
        <v>3970</v>
      </c>
      <c r="L369" s="1">
        <v>170</v>
      </c>
      <c r="M369">
        <f t="shared" si="12"/>
        <v>0</v>
      </c>
      <c r="N369" s="1">
        <v>0.56000000000000005</v>
      </c>
      <c r="O369" s="1">
        <v>60</v>
      </c>
      <c r="P369" s="24">
        <v>0.1925</v>
      </c>
      <c r="Q369" s="31">
        <f>C369-N369</f>
        <v>0</v>
      </c>
      <c r="R369" s="41">
        <f>D369-O369</f>
        <v>0</v>
      </c>
      <c r="S369" s="41">
        <f>E369-P369</f>
        <v>0</v>
      </c>
    </row>
    <row r="370" spans="1:19" x14ac:dyDescent="0.15">
      <c r="A370" s="1">
        <v>6</v>
      </c>
      <c r="B370" s="1">
        <v>12</v>
      </c>
      <c r="C370" s="10">
        <v>0.56000000000000005</v>
      </c>
      <c r="D370" s="5">
        <v>60</v>
      </c>
      <c r="E370" s="10">
        <v>0.20250000000000001</v>
      </c>
      <c r="F370" s="5">
        <v>3510</v>
      </c>
      <c r="G370" s="5">
        <v>160</v>
      </c>
      <c r="I370" s="40">
        <f t="shared" si="10"/>
        <v>3510</v>
      </c>
      <c r="J370" s="40">
        <f t="shared" si="11"/>
        <v>160</v>
      </c>
      <c r="K370" s="1">
        <v>3510</v>
      </c>
      <c r="L370" s="1">
        <v>160</v>
      </c>
      <c r="M370">
        <f t="shared" si="12"/>
        <v>0</v>
      </c>
      <c r="N370" s="1">
        <v>0.56000000000000005</v>
      </c>
      <c r="O370" s="1">
        <v>60</v>
      </c>
      <c r="P370" s="24">
        <v>0.20250000000000001</v>
      </c>
      <c r="Q370" s="31">
        <f>C370-N370</f>
        <v>0</v>
      </c>
      <c r="R370" s="41">
        <f>D370-O370</f>
        <v>0</v>
      </c>
      <c r="S370" s="41">
        <f>E370-P370</f>
        <v>0</v>
      </c>
    </row>
    <row r="371" spans="1:19" x14ac:dyDescent="0.15">
      <c r="A371" s="1">
        <v>6</v>
      </c>
      <c r="B371" s="1">
        <v>12</v>
      </c>
      <c r="C371" s="10">
        <v>0.56000000000000005</v>
      </c>
      <c r="D371" s="5">
        <v>60</v>
      </c>
      <c r="E371" s="10">
        <v>0.21249999999999999</v>
      </c>
      <c r="F371" s="5">
        <v>2930</v>
      </c>
      <c r="G371" s="5">
        <v>130</v>
      </c>
      <c r="I371" s="40">
        <f t="shared" si="10"/>
        <v>2930</v>
      </c>
      <c r="J371" s="40">
        <f t="shared" si="11"/>
        <v>130</v>
      </c>
      <c r="K371" s="1">
        <v>2930</v>
      </c>
      <c r="L371" s="1">
        <v>130</v>
      </c>
      <c r="M371">
        <f t="shared" si="12"/>
        <v>0</v>
      </c>
      <c r="N371" s="1">
        <v>0.56000000000000005</v>
      </c>
      <c r="O371" s="1">
        <v>60</v>
      </c>
      <c r="P371" s="24">
        <v>0.21249999999999999</v>
      </c>
      <c r="Q371" s="31">
        <f>C371-N371</f>
        <v>0</v>
      </c>
      <c r="R371" s="41">
        <f>D371-O371</f>
        <v>0</v>
      </c>
      <c r="S371" s="41">
        <f>E371-P371</f>
        <v>0</v>
      </c>
    </row>
    <row r="372" spans="1:19" x14ac:dyDescent="0.15">
      <c r="A372" s="1">
        <v>6</v>
      </c>
      <c r="B372" s="1">
        <v>12</v>
      </c>
      <c r="C372" s="10">
        <v>0.56000000000000005</v>
      </c>
      <c r="D372" s="5">
        <v>60</v>
      </c>
      <c r="E372" s="10">
        <v>0.2225</v>
      </c>
      <c r="F372" s="5">
        <v>2560</v>
      </c>
      <c r="G372" s="5">
        <v>140</v>
      </c>
      <c r="I372" s="40">
        <f t="shared" si="10"/>
        <v>2560</v>
      </c>
      <c r="J372" s="40">
        <f t="shared" si="11"/>
        <v>140</v>
      </c>
      <c r="K372" s="1">
        <v>2560</v>
      </c>
      <c r="L372" s="1">
        <v>140</v>
      </c>
      <c r="M372">
        <f t="shared" si="12"/>
        <v>0</v>
      </c>
      <c r="N372" s="1">
        <v>0.56000000000000005</v>
      </c>
      <c r="O372" s="1">
        <v>60</v>
      </c>
      <c r="P372" s="24">
        <v>0.2225</v>
      </c>
      <c r="Q372" s="31">
        <f>C372-N372</f>
        <v>0</v>
      </c>
      <c r="R372" s="41">
        <f>D372-O372</f>
        <v>0</v>
      </c>
      <c r="S372" s="41">
        <f>E372-P372</f>
        <v>0</v>
      </c>
    </row>
    <row r="373" spans="1:19" x14ac:dyDescent="0.15">
      <c r="A373" s="1">
        <v>6</v>
      </c>
      <c r="B373" s="1">
        <v>12</v>
      </c>
      <c r="C373" s="10">
        <v>0.56000000000000005</v>
      </c>
      <c r="D373" s="5">
        <v>60</v>
      </c>
      <c r="E373" s="10">
        <v>0.23250000000000001</v>
      </c>
      <c r="F373" s="5">
        <v>2380</v>
      </c>
      <c r="G373" s="5">
        <v>130</v>
      </c>
      <c r="I373" s="40">
        <f t="shared" si="10"/>
        <v>2380</v>
      </c>
      <c r="J373" s="40">
        <f t="shared" si="11"/>
        <v>130</v>
      </c>
      <c r="K373" s="1">
        <v>2380</v>
      </c>
      <c r="L373" s="1">
        <v>130</v>
      </c>
      <c r="M373">
        <f t="shared" si="12"/>
        <v>0</v>
      </c>
      <c r="N373" s="1">
        <v>0.56000000000000005</v>
      </c>
      <c r="O373" s="1">
        <v>60</v>
      </c>
      <c r="P373" s="24">
        <v>0.23250000000000001</v>
      </c>
      <c r="Q373" s="31">
        <f>C373-N373</f>
        <v>0</v>
      </c>
      <c r="R373" s="41">
        <f>D373-O373</f>
        <v>0</v>
      </c>
      <c r="S373" s="41">
        <f>E373-P373</f>
        <v>0</v>
      </c>
    </row>
    <row r="374" spans="1:19" x14ac:dyDescent="0.15">
      <c r="A374" s="1">
        <v>6</v>
      </c>
      <c r="B374" s="1">
        <v>12</v>
      </c>
      <c r="C374" s="10">
        <v>0.56000000000000005</v>
      </c>
      <c r="D374" s="5">
        <v>60</v>
      </c>
      <c r="E374" s="10">
        <v>0.24249999999999999</v>
      </c>
      <c r="F374" s="5">
        <v>2120</v>
      </c>
      <c r="G374" s="5">
        <v>120</v>
      </c>
      <c r="I374" s="40">
        <f t="shared" si="10"/>
        <v>2120</v>
      </c>
      <c r="J374" s="40">
        <f t="shared" si="11"/>
        <v>120</v>
      </c>
      <c r="K374" s="1">
        <v>2120</v>
      </c>
      <c r="L374" s="1">
        <v>120</v>
      </c>
      <c r="M374">
        <f t="shared" si="12"/>
        <v>0</v>
      </c>
      <c r="N374" s="1">
        <v>0.56000000000000005</v>
      </c>
      <c r="O374" s="1">
        <v>60</v>
      </c>
      <c r="P374" s="24">
        <v>0.24249999999999999</v>
      </c>
      <c r="Q374" s="31">
        <f>C374-N374</f>
        <v>0</v>
      </c>
      <c r="R374" s="41">
        <f>D374-O374</f>
        <v>0</v>
      </c>
      <c r="S374" s="41">
        <f>E374-P374</f>
        <v>0</v>
      </c>
    </row>
    <row r="375" spans="1:19" x14ac:dyDescent="0.15">
      <c r="A375" s="1">
        <v>6</v>
      </c>
      <c r="B375" s="1">
        <v>12</v>
      </c>
      <c r="C375" s="10">
        <v>0.56000000000000005</v>
      </c>
      <c r="D375" s="5">
        <v>60</v>
      </c>
      <c r="E375" s="10">
        <v>0.2525</v>
      </c>
      <c r="F375" s="5">
        <v>2100</v>
      </c>
      <c r="G375" s="5">
        <v>120</v>
      </c>
      <c r="I375" s="40">
        <f t="shared" si="10"/>
        <v>2100</v>
      </c>
      <c r="J375" s="40">
        <f t="shared" si="11"/>
        <v>120</v>
      </c>
      <c r="K375" s="1">
        <v>2100</v>
      </c>
      <c r="L375" s="1">
        <v>120</v>
      </c>
      <c r="M375">
        <f t="shared" si="12"/>
        <v>0</v>
      </c>
      <c r="N375" s="1">
        <v>0.56000000000000005</v>
      </c>
      <c r="O375" s="1">
        <v>60</v>
      </c>
      <c r="P375" s="24">
        <v>0.2525</v>
      </c>
      <c r="Q375" s="31">
        <f>C375-N375</f>
        <v>0</v>
      </c>
      <c r="R375" s="41">
        <f>D375-O375</f>
        <v>0</v>
      </c>
      <c r="S375" s="41">
        <f>E375-P375</f>
        <v>0</v>
      </c>
    </row>
    <row r="376" spans="1:19" x14ac:dyDescent="0.15">
      <c r="A376" s="1">
        <v>6</v>
      </c>
      <c r="B376" s="1">
        <v>12</v>
      </c>
      <c r="C376" s="10">
        <v>0.56000000000000005</v>
      </c>
      <c r="D376" s="5">
        <v>60</v>
      </c>
      <c r="E376" s="10">
        <v>0.26250000000000001</v>
      </c>
      <c r="F376" s="5">
        <v>2050</v>
      </c>
      <c r="G376" s="5">
        <v>120</v>
      </c>
      <c r="I376" s="40">
        <f t="shared" si="10"/>
        <v>2050</v>
      </c>
      <c r="J376" s="40">
        <f t="shared" si="11"/>
        <v>120</v>
      </c>
      <c r="K376" s="1">
        <v>2050</v>
      </c>
      <c r="L376" s="1">
        <v>120</v>
      </c>
      <c r="M376">
        <f t="shared" si="12"/>
        <v>0</v>
      </c>
      <c r="N376" s="1">
        <v>0.56000000000000005</v>
      </c>
      <c r="O376" s="1">
        <v>60</v>
      </c>
      <c r="P376" s="24">
        <v>0.26250000000000001</v>
      </c>
      <c r="Q376" s="31">
        <f>C376-N376</f>
        <v>0</v>
      </c>
      <c r="R376" s="41">
        <f>D376-O376</f>
        <v>0</v>
      </c>
      <c r="S376" s="41">
        <f>E376-P376</f>
        <v>0</v>
      </c>
    </row>
    <row r="377" spans="1:19" x14ac:dyDescent="0.15">
      <c r="A377" s="1">
        <v>6</v>
      </c>
      <c r="B377" s="1">
        <v>12</v>
      </c>
      <c r="C377" s="10">
        <v>0.56000000000000005</v>
      </c>
      <c r="D377" s="5">
        <v>60</v>
      </c>
      <c r="E377" s="10">
        <v>0.27250000000000002</v>
      </c>
      <c r="F377" s="5">
        <v>2210</v>
      </c>
      <c r="G377" s="5">
        <v>130</v>
      </c>
      <c r="I377" s="40">
        <f t="shared" ref="I377:I440" si="13">F377</f>
        <v>2210</v>
      </c>
      <c r="J377" s="40">
        <f t="shared" ref="J377:J440" si="14">G377</f>
        <v>130</v>
      </c>
      <c r="K377" s="1">
        <v>2210</v>
      </c>
      <c r="L377" s="1">
        <v>130</v>
      </c>
      <c r="M377">
        <f t="shared" si="12"/>
        <v>0</v>
      </c>
      <c r="N377" s="1">
        <v>0.56000000000000005</v>
      </c>
      <c r="O377" s="1">
        <v>60</v>
      </c>
      <c r="P377" s="24">
        <v>0.27250000000000002</v>
      </c>
      <c r="Q377" s="31">
        <f>C377-N377</f>
        <v>0</v>
      </c>
      <c r="R377" s="41">
        <f>D377-O377</f>
        <v>0</v>
      </c>
      <c r="S377" s="41">
        <f>E377-P377</f>
        <v>0</v>
      </c>
    </row>
    <row r="378" spans="1:19" x14ac:dyDescent="0.15">
      <c r="A378" s="1">
        <v>6</v>
      </c>
      <c r="B378" s="1">
        <v>12</v>
      </c>
      <c r="C378" s="10">
        <v>0.56000000000000005</v>
      </c>
      <c r="D378" s="5">
        <v>60</v>
      </c>
      <c r="E378" s="10">
        <v>0.28249999999999997</v>
      </c>
      <c r="F378" s="5">
        <v>2240</v>
      </c>
      <c r="G378" s="5">
        <v>120</v>
      </c>
      <c r="I378" s="40">
        <f t="shared" si="13"/>
        <v>2240</v>
      </c>
      <c r="J378" s="40">
        <f t="shared" si="14"/>
        <v>120</v>
      </c>
      <c r="K378" s="1">
        <v>2240</v>
      </c>
      <c r="L378" s="1">
        <v>120</v>
      </c>
      <c r="M378">
        <f t="shared" si="12"/>
        <v>0</v>
      </c>
      <c r="N378" s="1">
        <v>0.56000000000000005</v>
      </c>
      <c r="O378" s="1">
        <v>60</v>
      </c>
      <c r="P378" s="24">
        <v>0.28249999999999997</v>
      </c>
      <c r="Q378" s="31">
        <f>C378-N378</f>
        <v>0</v>
      </c>
      <c r="R378" s="41">
        <f>D378-O378</f>
        <v>0</v>
      </c>
      <c r="S378" s="41">
        <f>E378-P378</f>
        <v>0</v>
      </c>
    </row>
    <row r="379" spans="1:19" x14ac:dyDescent="0.15">
      <c r="A379" s="1">
        <v>6</v>
      </c>
      <c r="B379" s="1">
        <v>12</v>
      </c>
      <c r="C379" s="10">
        <v>0.56000000000000005</v>
      </c>
      <c r="D379" s="5">
        <v>60</v>
      </c>
      <c r="E379" s="10">
        <v>0.29249999999999998</v>
      </c>
      <c r="F379" s="5">
        <v>2330</v>
      </c>
      <c r="G379" s="5">
        <v>140</v>
      </c>
      <c r="I379" s="40">
        <f t="shared" si="13"/>
        <v>2330</v>
      </c>
      <c r="J379" s="40">
        <f t="shared" si="14"/>
        <v>140</v>
      </c>
      <c r="K379" s="1">
        <v>2330</v>
      </c>
      <c r="L379" s="1">
        <v>140</v>
      </c>
      <c r="M379">
        <f t="shared" si="12"/>
        <v>0</v>
      </c>
      <c r="N379" s="1">
        <v>0.56000000000000005</v>
      </c>
      <c r="O379" s="1">
        <v>60</v>
      </c>
      <c r="P379" s="24">
        <v>0.29249999999999998</v>
      </c>
      <c r="Q379" s="31">
        <f>C379-N379</f>
        <v>0</v>
      </c>
      <c r="R379" s="41">
        <f>D379-O379</f>
        <v>0</v>
      </c>
      <c r="S379" s="41">
        <f>E379-P379</f>
        <v>0</v>
      </c>
    </row>
    <row r="380" spans="1:19" ht="14" thickBot="1" x14ac:dyDescent="0.2">
      <c r="A380" s="1">
        <v>6</v>
      </c>
      <c r="B380" s="1">
        <v>12</v>
      </c>
      <c r="C380" s="10">
        <v>0.56000000000000005</v>
      </c>
      <c r="D380" s="5">
        <v>60</v>
      </c>
      <c r="E380" s="10">
        <v>0.30249999999999999</v>
      </c>
      <c r="F380" s="5">
        <v>2520</v>
      </c>
      <c r="G380" s="5">
        <v>150</v>
      </c>
      <c r="I380" s="40">
        <f t="shared" si="13"/>
        <v>2520</v>
      </c>
      <c r="J380" s="40">
        <f t="shared" si="14"/>
        <v>150</v>
      </c>
      <c r="K380" s="1">
        <v>2520</v>
      </c>
      <c r="L380" s="1">
        <v>150</v>
      </c>
      <c r="M380">
        <f t="shared" si="12"/>
        <v>0</v>
      </c>
      <c r="N380" s="1">
        <v>0.56000000000000005</v>
      </c>
      <c r="O380" s="1">
        <v>60</v>
      </c>
      <c r="P380" s="44">
        <v>0.30249999999999999</v>
      </c>
      <c r="Q380" s="31">
        <f>C380-N380</f>
        <v>0</v>
      </c>
      <c r="R380" s="41">
        <f>D380-O380</f>
        <v>0</v>
      </c>
      <c r="S380" s="41">
        <f>E380-P380</f>
        <v>0</v>
      </c>
    </row>
    <row r="381" spans="1:19" ht="14" thickTop="1" x14ac:dyDescent="0.15">
      <c r="A381" s="1">
        <v>6</v>
      </c>
      <c r="B381" s="1">
        <v>12</v>
      </c>
      <c r="C381" s="10">
        <v>0.56000000000000005</v>
      </c>
      <c r="D381" s="5">
        <v>60</v>
      </c>
      <c r="E381" s="10">
        <v>0.3125</v>
      </c>
      <c r="F381" s="5">
        <v>2760</v>
      </c>
      <c r="G381" s="5">
        <v>160</v>
      </c>
      <c r="I381" s="40">
        <f t="shared" si="13"/>
        <v>2760</v>
      </c>
      <c r="J381" s="40">
        <f t="shared" si="14"/>
        <v>160</v>
      </c>
      <c r="K381" s="1">
        <v>2760</v>
      </c>
      <c r="L381" s="1">
        <v>160</v>
      </c>
      <c r="M381">
        <f t="shared" si="12"/>
        <v>0</v>
      </c>
      <c r="N381" s="1">
        <v>0.56000000000000005</v>
      </c>
      <c r="O381" s="1">
        <v>60</v>
      </c>
      <c r="P381" s="24">
        <v>0.3125</v>
      </c>
      <c r="Q381" s="31">
        <f>C381-N381</f>
        <v>0</v>
      </c>
      <c r="R381" s="41">
        <f>D381-O381</f>
        <v>0</v>
      </c>
      <c r="S381" s="41">
        <f>E381-P381</f>
        <v>0</v>
      </c>
    </row>
    <row r="382" spans="1:19" x14ac:dyDescent="0.15">
      <c r="A382" s="1">
        <v>6</v>
      </c>
      <c r="B382" s="1">
        <v>12</v>
      </c>
      <c r="C382" s="10">
        <v>0.56000000000000005</v>
      </c>
      <c r="D382" s="5">
        <v>60</v>
      </c>
      <c r="E382" s="10">
        <v>0.32250000000000001</v>
      </c>
      <c r="F382" s="5">
        <v>2820</v>
      </c>
      <c r="G382" s="5">
        <v>170</v>
      </c>
      <c r="I382" s="40">
        <f t="shared" si="13"/>
        <v>2820</v>
      </c>
      <c r="J382" s="40">
        <f t="shared" si="14"/>
        <v>170</v>
      </c>
      <c r="K382" s="1">
        <v>2820</v>
      </c>
      <c r="L382" s="1">
        <v>170</v>
      </c>
      <c r="M382">
        <f t="shared" si="12"/>
        <v>0</v>
      </c>
      <c r="N382" s="1">
        <v>0.56000000000000005</v>
      </c>
      <c r="O382" s="1">
        <v>60</v>
      </c>
      <c r="P382" s="24">
        <v>0.32250000000000001</v>
      </c>
      <c r="Q382" s="31">
        <f>C382-N382</f>
        <v>0</v>
      </c>
      <c r="R382" s="41">
        <f>D382-O382</f>
        <v>0</v>
      </c>
      <c r="S382" s="41">
        <f>E382-P382</f>
        <v>0</v>
      </c>
    </row>
    <row r="383" spans="1:19" x14ac:dyDescent="0.15">
      <c r="A383" s="1">
        <v>6</v>
      </c>
      <c r="B383" s="1">
        <v>12</v>
      </c>
      <c r="C383" s="10">
        <v>0.56000000000000005</v>
      </c>
      <c r="D383" s="5">
        <v>60</v>
      </c>
      <c r="E383" s="10">
        <v>0.33250000000000002</v>
      </c>
      <c r="F383" s="5">
        <v>3110</v>
      </c>
      <c r="G383" s="5">
        <v>180</v>
      </c>
      <c r="I383" s="40">
        <f t="shared" si="13"/>
        <v>3110</v>
      </c>
      <c r="J383" s="40">
        <f t="shared" si="14"/>
        <v>180</v>
      </c>
      <c r="K383" s="1">
        <v>3110</v>
      </c>
      <c r="L383" s="1">
        <v>180</v>
      </c>
      <c r="M383">
        <f t="shared" si="12"/>
        <v>0</v>
      </c>
      <c r="N383" s="1">
        <v>0.56000000000000005</v>
      </c>
      <c r="O383" s="1">
        <v>60</v>
      </c>
      <c r="P383" s="24">
        <v>0.33250000000000002</v>
      </c>
      <c r="Q383" s="31">
        <f>C383-N383</f>
        <v>0</v>
      </c>
      <c r="R383" s="41">
        <f>D383-O383</f>
        <v>0</v>
      </c>
      <c r="S383" s="41">
        <f>E383-P383</f>
        <v>0</v>
      </c>
    </row>
    <row r="384" spans="1:19" x14ac:dyDescent="0.15">
      <c r="A384" s="1">
        <v>6</v>
      </c>
      <c r="B384" s="1">
        <v>12</v>
      </c>
      <c r="C384" s="10">
        <v>0.56000000000000005</v>
      </c>
      <c r="D384" s="5">
        <v>60</v>
      </c>
      <c r="E384" s="10">
        <v>0.34250000000000003</v>
      </c>
      <c r="F384" s="5">
        <v>3240</v>
      </c>
      <c r="G384" s="5">
        <v>200</v>
      </c>
      <c r="I384" s="40">
        <f t="shared" si="13"/>
        <v>3240</v>
      </c>
      <c r="J384" s="40">
        <f t="shared" si="14"/>
        <v>200</v>
      </c>
      <c r="K384" s="1">
        <v>3240</v>
      </c>
      <c r="L384" s="1">
        <v>200</v>
      </c>
      <c r="M384">
        <f t="shared" si="12"/>
        <v>0</v>
      </c>
      <c r="N384" s="1">
        <v>0.56000000000000005</v>
      </c>
      <c r="O384" s="1">
        <v>60</v>
      </c>
      <c r="P384" s="24">
        <v>0.34250000000000003</v>
      </c>
      <c r="Q384" s="31">
        <f>C384-N384</f>
        <v>0</v>
      </c>
      <c r="R384" s="41">
        <f>D384-O384</f>
        <v>0</v>
      </c>
      <c r="S384" s="41">
        <f>E384-P384</f>
        <v>0</v>
      </c>
    </row>
    <row r="385" spans="1:19" x14ac:dyDescent="0.15">
      <c r="A385" s="1">
        <v>6</v>
      </c>
      <c r="B385" s="1">
        <v>12</v>
      </c>
      <c r="C385" s="10">
        <v>0.56000000000000005</v>
      </c>
      <c r="D385" s="5">
        <v>60</v>
      </c>
      <c r="E385" s="10">
        <v>0.35249999999999998</v>
      </c>
      <c r="F385" s="5">
        <v>3100</v>
      </c>
      <c r="G385" s="5">
        <v>210</v>
      </c>
      <c r="I385" s="40">
        <f t="shared" si="13"/>
        <v>3100</v>
      </c>
      <c r="J385" s="40">
        <f t="shared" si="14"/>
        <v>210</v>
      </c>
      <c r="K385" s="1">
        <v>3100</v>
      </c>
      <c r="L385" s="1">
        <v>210</v>
      </c>
      <c r="M385">
        <f t="shared" si="12"/>
        <v>0</v>
      </c>
      <c r="N385" s="1">
        <v>0.56000000000000005</v>
      </c>
      <c r="O385" s="1">
        <v>60</v>
      </c>
      <c r="P385" s="24">
        <v>0.35249999999999998</v>
      </c>
      <c r="Q385" s="31">
        <f>C385-N385</f>
        <v>0</v>
      </c>
      <c r="R385" s="41">
        <f>D385-O385</f>
        <v>0</v>
      </c>
      <c r="S385" s="41">
        <f>E385-P385</f>
        <v>0</v>
      </c>
    </row>
    <row r="386" spans="1:19" x14ac:dyDescent="0.15">
      <c r="A386" s="1">
        <v>6</v>
      </c>
      <c r="B386" s="1">
        <v>12</v>
      </c>
      <c r="C386" s="10">
        <v>0.56000000000000005</v>
      </c>
      <c r="D386" s="5">
        <v>60</v>
      </c>
      <c r="E386" s="10">
        <v>0.36249999999999999</v>
      </c>
      <c r="F386" s="5">
        <v>3420</v>
      </c>
      <c r="G386" s="5">
        <v>230</v>
      </c>
      <c r="I386" s="40">
        <f t="shared" si="13"/>
        <v>3420</v>
      </c>
      <c r="J386" s="40">
        <f t="shared" si="14"/>
        <v>230</v>
      </c>
      <c r="K386" s="1">
        <v>3420</v>
      </c>
      <c r="L386" s="1">
        <v>230</v>
      </c>
      <c r="M386">
        <f t="shared" si="12"/>
        <v>0</v>
      </c>
      <c r="N386" s="1">
        <v>0.56000000000000005</v>
      </c>
      <c r="O386" s="1">
        <v>60</v>
      </c>
      <c r="P386" s="24">
        <v>0.36249999999999999</v>
      </c>
      <c r="Q386" s="31">
        <f>C386-N386</f>
        <v>0</v>
      </c>
      <c r="R386" s="41">
        <f>D386-O386</f>
        <v>0</v>
      </c>
      <c r="S386" s="41">
        <f>E386-P386</f>
        <v>0</v>
      </c>
    </row>
    <row r="387" spans="1:19" x14ac:dyDescent="0.15">
      <c r="A387" s="1">
        <v>6</v>
      </c>
      <c r="B387" s="1">
        <v>12</v>
      </c>
      <c r="C387" s="10">
        <v>0.56000000000000005</v>
      </c>
      <c r="D387" s="5">
        <v>60</v>
      </c>
      <c r="E387" s="10">
        <v>0.3725</v>
      </c>
      <c r="F387" s="5">
        <v>3630</v>
      </c>
      <c r="G387" s="5">
        <v>260</v>
      </c>
      <c r="I387" s="40">
        <f t="shared" si="13"/>
        <v>3630</v>
      </c>
      <c r="J387" s="40">
        <f t="shared" si="14"/>
        <v>260</v>
      </c>
      <c r="K387" s="1">
        <v>3630</v>
      </c>
      <c r="L387" s="1">
        <v>260</v>
      </c>
      <c r="M387">
        <f t="shared" ref="M387:M450" si="15">I387+J387-K387-L387</f>
        <v>0</v>
      </c>
      <c r="N387" s="1">
        <v>0.56000000000000005</v>
      </c>
      <c r="O387" s="1">
        <v>60</v>
      </c>
      <c r="P387" s="24">
        <v>0.3725</v>
      </c>
      <c r="Q387" s="31">
        <f>C387-N387</f>
        <v>0</v>
      </c>
      <c r="R387" s="41">
        <f>D387-O387</f>
        <v>0</v>
      </c>
      <c r="S387" s="41">
        <f>E387-P387</f>
        <v>0</v>
      </c>
    </row>
    <row r="388" spans="1:19" x14ac:dyDescent="0.15">
      <c r="A388" s="1">
        <v>6</v>
      </c>
      <c r="B388" s="1">
        <v>12</v>
      </c>
      <c r="C388" s="10">
        <v>0.56000000000000005</v>
      </c>
      <c r="D388" s="5">
        <v>60</v>
      </c>
      <c r="E388" s="10">
        <v>0.38250000000000001</v>
      </c>
      <c r="F388" s="5">
        <v>3400</v>
      </c>
      <c r="G388" s="5">
        <v>260</v>
      </c>
      <c r="I388" s="40">
        <f t="shared" si="13"/>
        <v>3400</v>
      </c>
      <c r="J388" s="40">
        <f t="shared" si="14"/>
        <v>260</v>
      </c>
      <c r="K388" s="1">
        <v>3400</v>
      </c>
      <c r="L388" s="1">
        <v>260</v>
      </c>
      <c r="M388">
        <f t="shared" si="15"/>
        <v>0</v>
      </c>
      <c r="N388" s="1">
        <v>0.56000000000000005</v>
      </c>
      <c r="O388" s="1">
        <v>60</v>
      </c>
      <c r="P388" s="24">
        <v>0.38250000000000001</v>
      </c>
      <c r="Q388" s="31">
        <f>C388-N388</f>
        <v>0</v>
      </c>
      <c r="R388" s="41">
        <f>D388-O388</f>
        <v>0</v>
      </c>
      <c r="S388" s="41">
        <f>E388-P388</f>
        <v>0</v>
      </c>
    </row>
    <row r="389" spans="1:19" x14ac:dyDescent="0.15">
      <c r="A389" s="1">
        <v>6</v>
      </c>
      <c r="B389" s="1">
        <v>12</v>
      </c>
      <c r="C389" s="10">
        <v>0.56000000000000005</v>
      </c>
      <c r="D389" s="5">
        <v>60</v>
      </c>
      <c r="E389" s="10">
        <v>0.39250000000000002</v>
      </c>
      <c r="F389" s="5">
        <v>3360</v>
      </c>
      <c r="G389" s="5">
        <v>300</v>
      </c>
      <c r="I389" s="40">
        <f t="shared" si="13"/>
        <v>3360</v>
      </c>
      <c r="J389" s="40">
        <f t="shared" si="14"/>
        <v>300</v>
      </c>
      <c r="K389" s="1">
        <v>3360</v>
      </c>
      <c r="L389" s="1">
        <v>300</v>
      </c>
      <c r="M389">
        <f t="shared" si="15"/>
        <v>0</v>
      </c>
      <c r="N389" s="1">
        <v>0.56000000000000005</v>
      </c>
      <c r="O389" s="1">
        <v>60</v>
      </c>
      <c r="P389" s="24">
        <v>0.39250000000000002</v>
      </c>
      <c r="Q389" s="31">
        <f>C389-N389</f>
        <v>0</v>
      </c>
      <c r="R389" s="41">
        <f>D389-O389</f>
        <v>0</v>
      </c>
      <c r="S389" s="41">
        <f>E389-P389</f>
        <v>0</v>
      </c>
    </row>
    <row r="390" spans="1:19" x14ac:dyDescent="0.15">
      <c r="A390" s="1">
        <v>6</v>
      </c>
      <c r="B390" s="1">
        <v>12</v>
      </c>
      <c r="C390" s="10">
        <v>0.56000000000000005</v>
      </c>
      <c r="D390" s="5">
        <v>60</v>
      </c>
      <c r="E390" s="10">
        <v>0.40250000000000002</v>
      </c>
      <c r="F390" s="5">
        <v>3280</v>
      </c>
      <c r="G390" s="5">
        <v>330</v>
      </c>
      <c r="I390" s="40">
        <f t="shared" si="13"/>
        <v>3280</v>
      </c>
      <c r="J390" s="40">
        <f t="shared" si="14"/>
        <v>330</v>
      </c>
      <c r="K390" s="1">
        <v>3280</v>
      </c>
      <c r="L390" s="1">
        <v>330</v>
      </c>
      <c r="M390">
        <f t="shared" si="15"/>
        <v>0</v>
      </c>
      <c r="N390" s="1">
        <v>0.56000000000000005</v>
      </c>
      <c r="O390" s="1">
        <v>60</v>
      </c>
      <c r="P390" s="24">
        <v>0.40250000000000002</v>
      </c>
      <c r="Q390" s="31">
        <f>C390-N390</f>
        <v>0</v>
      </c>
      <c r="R390" s="41">
        <f>D390-O390</f>
        <v>0</v>
      </c>
      <c r="S390" s="41">
        <f>E390-P390</f>
        <v>0</v>
      </c>
    </row>
    <row r="391" spans="1:19" x14ac:dyDescent="0.15">
      <c r="A391" s="1">
        <v>6</v>
      </c>
      <c r="B391" s="1">
        <v>12</v>
      </c>
      <c r="C391" s="10">
        <v>0.56000000000000005</v>
      </c>
      <c r="D391" s="5">
        <v>60</v>
      </c>
      <c r="E391" s="10">
        <v>0.41249999999999998</v>
      </c>
      <c r="F391" s="5">
        <v>3130</v>
      </c>
      <c r="G391" s="5">
        <v>360</v>
      </c>
      <c r="I391" s="40">
        <f t="shared" si="13"/>
        <v>3130</v>
      </c>
      <c r="J391" s="40">
        <f t="shared" si="14"/>
        <v>360</v>
      </c>
      <c r="K391" s="1">
        <v>3130</v>
      </c>
      <c r="L391" s="1">
        <v>360</v>
      </c>
      <c r="M391">
        <f t="shared" si="15"/>
        <v>0</v>
      </c>
      <c r="N391" s="1">
        <v>0.56000000000000005</v>
      </c>
      <c r="O391" s="1">
        <v>60</v>
      </c>
      <c r="P391" s="24">
        <v>0.41249999999999998</v>
      </c>
      <c r="Q391" s="31">
        <f>C391-N391</f>
        <v>0</v>
      </c>
      <c r="R391" s="41">
        <f>D391-O391</f>
        <v>0</v>
      </c>
      <c r="S391" s="41">
        <f>E391-P391</f>
        <v>0</v>
      </c>
    </row>
    <row r="392" spans="1:19" x14ac:dyDescent="0.15">
      <c r="A392" s="1">
        <v>6</v>
      </c>
      <c r="B392" s="1">
        <v>12</v>
      </c>
      <c r="C392" s="10">
        <v>0.56000000000000005</v>
      </c>
      <c r="D392" s="5">
        <v>60</v>
      </c>
      <c r="E392" s="10">
        <v>0.42249999999999999</v>
      </c>
      <c r="F392" s="5">
        <v>2890</v>
      </c>
      <c r="G392" s="5">
        <v>420</v>
      </c>
      <c r="I392" s="40">
        <f t="shared" si="13"/>
        <v>2890</v>
      </c>
      <c r="J392" s="40">
        <f t="shared" si="14"/>
        <v>420</v>
      </c>
      <c r="K392" s="1">
        <v>2890</v>
      </c>
      <c r="L392" s="1">
        <v>420</v>
      </c>
      <c r="M392">
        <f t="shared" si="15"/>
        <v>0</v>
      </c>
      <c r="N392" s="1">
        <v>0.56000000000000005</v>
      </c>
      <c r="O392" s="1">
        <v>60</v>
      </c>
      <c r="P392" s="24">
        <v>0.42249999999999999</v>
      </c>
      <c r="Q392" s="31">
        <f>C392-N392</f>
        <v>0</v>
      </c>
      <c r="R392" s="41">
        <f>D392-O392</f>
        <v>0</v>
      </c>
      <c r="S392" s="41">
        <f>E392-P392</f>
        <v>0</v>
      </c>
    </row>
    <row r="393" spans="1:19" x14ac:dyDescent="0.15">
      <c r="A393" s="1">
        <v>6</v>
      </c>
      <c r="B393" s="1">
        <v>12</v>
      </c>
      <c r="C393" s="10">
        <v>0.56000000000000005</v>
      </c>
      <c r="D393" s="5">
        <v>60</v>
      </c>
      <c r="E393" s="10">
        <v>0.4325</v>
      </c>
      <c r="F393" s="5">
        <v>2860</v>
      </c>
      <c r="G393" s="5">
        <v>490</v>
      </c>
      <c r="I393" s="40">
        <f t="shared" si="13"/>
        <v>2860</v>
      </c>
      <c r="J393" s="40">
        <f t="shared" si="14"/>
        <v>490</v>
      </c>
      <c r="K393" s="1">
        <v>2860</v>
      </c>
      <c r="L393" s="1">
        <v>490</v>
      </c>
      <c r="M393">
        <f t="shared" si="15"/>
        <v>0</v>
      </c>
      <c r="N393" s="1">
        <v>0.56000000000000005</v>
      </c>
      <c r="O393" s="1">
        <v>60</v>
      </c>
      <c r="P393" s="24">
        <v>0.4325</v>
      </c>
      <c r="Q393" s="31">
        <f>C393-N393</f>
        <v>0</v>
      </c>
      <c r="R393" s="41">
        <f>D393-O393</f>
        <v>0</v>
      </c>
      <c r="S393" s="41">
        <f>E393-P393</f>
        <v>0</v>
      </c>
    </row>
    <row r="394" spans="1:19" x14ac:dyDescent="0.15">
      <c r="A394" s="1">
        <v>6</v>
      </c>
      <c r="B394" s="1">
        <v>12</v>
      </c>
      <c r="C394" s="10">
        <v>0.56000000000000005</v>
      </c>
      <c r="D394" s="5">
        <v>60</v>
      </c>
      <c r="E394" s="10">
        <v>0.4425</v>
      </c>
      <c r="F394" s="5">
        <v>2490</v>
      </c>
      <c r="G394" s="5">
        <v>590</v>
      </c>
      <c r="I394" s="40">
        <f t="shared" si="13"/>
        <v>2490</v>
      </c>
      <c r="J394" s="40">
        <f t="shared" si="14"/>
        <v>590</v>
      </c>
      <c r="K394" s="1">
        <v>2490</v>
      </c>
      <c r="L394" s="1">
        <v>590</v>
      </c>
      <c r="M394">
        <f t="shared" si="15"/>
        <v>0</v>
      </c>
      <c r="N394" s="1">
        <v>0.56000000000000005</v>
      </c>
      <c r="O394" s="1">
        <v>60</v>
      </c>
      <c r="P394" s="24">
        <v>0.4425</v>
      </c>
      <c r="Q394" s="31">
        <f>C394-N394</f>
        <v>0</v>
      </c>
      <c r="R394" s="41">
        <f>D394-O394</f>
        <v>0</v>
      </c>
      <c r="S394" s="41">
        <f>E394-P394</f>
        <v>0</v>
      </c>
    </row>
    <row r="395" spans="1:19" x14ac:dyDescent="0.15">
      <c r="A395" s="12">
        <v>6</v>
      </c>
      <c r="B395" s="12">
        <v>12</v>
      </c>
      <c r="C395" s="13">
        <v>0.51880000000000004</v>
      </c>
      <c r="D395" s="14">
        <v>60</v>
      </c>
      <c r="E395" s="13">
        <v>1.1300000000000001E-2</v>
      </c>
      <c r="F395" s="14">
        <v>250</v>
      </c>
      <c r="G395" s="14">
        <v>20</v>
      </c>
      <c r="I395" s="40">
        <f t="shared" si="13"/>
        <v>250</v>
      </c>
      <c r="J395" s="40">
        <f t="shared" si="14"/>
        <v>20</v>
      </c>
      <c r="K395" s="12">
        <v>250</v>
      </c>
      <c r="L395" s="12">
        <v>20</v>
      </c>
      <c r="M395">
        <f t="shared" si="15"/>
        <v>0</v>
      </c>
      <c r="N395" s="12">
        <v>0.51900000000000002</v>
      </c>
      <c r="O395" s="12">
        <v>60</v>
      </c>
      <c r="P395" s="24">
        <v>1.1299999999999999E-2</v>
      </c>
      <c r="Q395" s="31">
        <f>C395-N395</f>
        <v>-1.9999999999997797E-4</v>
      </c>
      <c r="R395" s="41">
        <f>D395-O395</f>
        <v>0</v>
      </c>
      <c r="S395" s="41">
        <f>E395-P395</f>
        <v>0</v>
      </c>
    </row>
    <row r="396" spans="1:19" x14ac:dyDescent="0.15">
      <c r="A396" s="1">
        <v>6</v>
      </c>
      <c r="B396" s="1">
        <v>12</v>
      </c>
      <c r="C396" s="10">
        <v>0.51880000000000004</v>
      </c>
      <c r="D396" s="5">
        <v>60</v>
      </c>
      <c r="E396" s="10">
        <v>2.1299999999999999E-2</v>
      </c>
      <c r="F396" s="5">
        <v>90</v>
      </c>
      <c r="G396" s="5">
        <v>10</v>
      </c>
      <c r="I396" s="40">
        <f t="shared" si="13"/>
        <v>90</v>
      </c>
      <c r="J396" s="40">
        <f t="shared" si="14"/>
        <v>10</v>
      </c>
      <c r="K396" s="1">
        <v>90</v>
      </c>
      <c r="L396" s="1">
        <v>10</v>
      </c>
      <c r="M396">
        <f t="shared" si="15"/>
        <v>0</v>
      </c>
      <c r="N396" s="1">
        <v>0.51900000000000002</v>
      </c>
      <c r="O396" s="1">
        <v>60</v>
      </c>
      <c r="P396" s="24">
        <v>2.1299999999999999E-2</v>
      </c>
      <c r="Q396" s="31">
        <f>C396-N396</f>
        <v>-1.9999999999997797E-4</v>
      </c>
      <c r="R396" s="41">
        <f>D396-O396</f>
        <v>0</v>
      </c>
      <c r="S396" s="41">
        <f>E396-P396</f>
        <v>0</v>
      </c>
    </row>
    <row r="397" spans="1:19" x14ac:dyDescent="0.15">
      <c r="A397" s="1">
        <v>6</v>
      </c>
      <c r="B397" s="1">
        <v>12</v>
      </c>
      <c r="C397" s="10">
        <v>0.51880000000000004</v>
      </c>
      <c r="D397" s="5">
        <v>60</v>
      </c>
      <c r="E397" s="10">
        <v>3.1300000000000001E-2</v>
      </c>
      <c r="F397" s="5">
        <v>820</v>
      </c>
      <c r="G397" s="5">
        <v>30</v>
      </c>
      <c r="I397" s="40">
        <f t="shared" si="13"/>
        <v>820</v>
      </c>
      <c r="J397" s="40">
        <f t="shared" si="14"/>
        <v>30</v>
      </c>
      <c r="K397" s="1">
        <v>820</v>
      </c>
      <c r="L397" s="1">
        <v>30</v>
      </c>
      <c r="M397">
        <f t="shared" si="15"/>
        <v>0</v>
      </c>
      <c r="N397" s="1">
        <v>0.51900000000000002</v>
      </c>
      <c r="O397" s="1">
        <v>60</v>
      </c>
      <c r="P397" s="24">
        <v>3.1300000000000001E-2</v>
      </c>
      <c r="Q397" s="31">
        <f>C397-N397</f>
        <v>-1.9999999999997797E-4</v>
      </c>
      <c r="R397" s="41">
        <f>D397-O397</f>
        <v>0</v>
      </c>
      <c r="S397" s="41">
        <f>E397-P397</f>
        <v>0</v>
      </c>
    </row>
    <row r="398" spans="1:19" x14ac:dyDescent="0.15">
      <c r="A398" s="1">
        <v>6</v>
      </c>
      <c r="B398" s="1">
        <v>12</v>
      </c>
      <c r="C398" s="10">
        <v>0.51880000000000004</v>
      </c>
      <c r="D398" s="5">
        <v>60</v>
      </c>
      <c r="E398" s="10">
        <v>4.1299999999999996E-2</v>
      </c>
      <c r="F398" s="5">
        <v>1040</v>
      </c>
      <c r="G398" s="5">
        <v>40</v>
      </c>
      <c r="I398" s="40">
        <f t="shared" si="13"/>
        <v>1040</v>
      </c>
      <c r="J398" s="40">
        <f t="shared" si="14"/>
        <v>40</v>
      </c>
      <c r="K398" s="1">
        <v>1040</v>
      </c>
      <c r="L398" s="1">
        <v>40</v>
      </c>
      <c r="M398">
        <f t="shared" si="15"/>
        <v>0</v>
      </c>
      <c r="N398" s="1">
        <v>0.51900000000000002</v>
      </c>
      <c r="O398" s="1">
        <v>60</v>
      </c>
      <c r="P398" s="24">
        <v>4.1300000000000003E-2</v>
      </c>
      <c r="Q398" s="31">
        <f>C398-N398</f>
        <v>-1.9999999999997797E-4</v>
      </c>
      <c r="R398" s="41">
        <f>D398-O398</f>
        <v>0</v>
      </c>
      <c r="S398" s="41">
        <f>E398-P398</f>
        <v>0</v>
      </c>
    </row>
    <row r="399" spans="1:19" x14ac:dyDescent="0.15">
      <c r="A399" s="1">
        <v>6</v>
      </c>
      <c r="B399" s="1">
        <v>12</v>
      </c>
      <c r="C399" s="10">
        <v>0.51880000000000004</v>
      </c>
      <c r="D399" s="5">
        <v>60</v>
      </c>
      <c r="E399" s="10">
        <v>5.1299999999999998E-2</v>
      </c>
      <c r="F399" s="5">
        <v>1590</v>
      </c>
      <c r="G399" s="5">
        <v>40</v>
      </c>
      <c r="I399" s="40">
        <f t="shared" si="13"/>
        <v>1590</v>
      </c>
      <c r="J399" s="40">
        <f t="shared" si="14"/>
        <v>40</v>
      </c>
      <c r="K399" s="1">
        <v>1590</v>
      </c>
      <c r="L399" s="1">
        <v>40</v>
      </c>
      <c r="M399">
        <f t="shared" si="15"/>
        <v>0</v>
      </c>
      <c r="N399" s="1">
        <v>0.51900000000000002</v>
      </c>
      <c r="O399" s="1">
        <v>60</v>
      </c>
      <c r="P399" s="24">
        <v>5.1299999999999998E-2</v>
      </c>
      <c r="Q399" s="31">
        <f>C399-N399</f>
        <v>-1.9999999999997797E-4</v>
      </c>
      <c r="R399" s="41">
        <f>D399-O399</f>
        <v>0</v>
      </c>
      <c r="S399" s="41">
        <f>E399-P399</f>
        <v>0</v>
      </c>
    </row>
    <row r="400" spans="1:19" x14ac:dyDescent="0.15">
      <c r="A400" s="1">
        <v>6</v>
      </c>
      <c r="B400" s="1">
        <v>12</v>
      </c>
      <c r="C400" s="10">
        <v>0.51880000000000004</v>
      </c>
      <c r="D400" s="5">
        <v>60</v>
      </c>
      <c r="E400" s="10">
        <v>6.13E-2</v>
      </c>
      <c r="F400" s="5">
        <v>2300</v>
      </c>
      <c r="G400" s="5">
        <v>50</v>
      </c>
      <c r="I400" s="40">
        <f t="shared" si="13"/>
        <v>2300</v>
      </c>
      <c r="J400" s="40">
        <f t="shared" si="14"/>
        <v>50</v>
      </c>
      <c r="K400" s="1">
        <v>2300</v>
      </c>
      <c r="L400" s="1">
        <v>50</v>
      </c>
      <c r="M400">
        <f t="shared" si="15"/>
        <v>0</v>
      </c>
      <c r="N400" s="1">
        <v>0.51900000000000002</v>
      </c>
      <c r="O400" s="1">
        <v>60</v>
      </c>
      <c r="P400" s="24">
        <v>6.13E-2</v>
      </c>
      <c r="Q400" s="31">
        <f>C400-N400</f>
        <v>-1.9999999999997797E-4</v>
      </c>
      <c r="R400" s="41">
        <f>D400-O400</f>
        <v>0</v>
      </c>
      <c r="S400" s="41">
        <f>E400-P400</f>
        <v>0</v>
      </c>
    </row>
    <row r="401" spans="1:23" x14ac:dyDescent="0.15">
      <c r="A401" s="1">
        <v>6</v>
      </c>
      <c r="B401" s="1">
        <v>12</v>
      </c>
      <c r="C401" s="10">
        <v>0.51880000000000004</v>
      </c>
      <c r="D401" s="5">
        <v>60</v>
      </c>
      <c r="E401" s="10">
        <v>7.1300000000000002E-2</v>
      </c>
      <c r="F401" s="5">
        <v>3130</v>
      </c>
      <c r="G401" s="5">
        <v>70</v>
      </c>
      <c r="I401" s="40">
        <f t="shared" si="13"/>
        <v>3130</v>
      </c>
      <c r="J401" s="40">
        <f t="shared" si="14"/>
        <v>70</v>
      </c>
      <c r="K401" s="1">
        <v>3130</v>
      </c>
      <c r="L401" s="1">
        <v>70</v>
      </c>
      <c r="M401">
        <f t="shared" si="15"/>
        <v>0</v>
      </c>
      <c r="N401" s="1">
        <v>0.51900000000000002</v>
      </c>
      <c r="O401" s="1">
        <v>60</v>
      </c>
      <c r="P401" s="24">
        <v>7.1300000000000002E-2</v>
      </c>
      <c r="Q401" s="31">
        <f>C401-N401</f>
        <v>-1.9999999999997797E-4</v>
      </c>
      <c r="R401" s="41">
        <f>D401-O401</f>
        <v>0</v>
      </c>
      <c r="S401" s="41">
        <f>E401-P401</f>
        <v>0</v>
      </c>
    </row>
    <row r="402" spans="1:23" x14ac:dyDescent="0.15">
      <c r="A402" s="1">
        <v>6</v>
      </c>
      <c r="B402" s="1">
        <v>12</v>
      </c>
      <c r="C402" s="10">
        <v>0.51880000000000004</v>
      </c>
      <c r="D402" s="5">
        <v>60</v>
      </c>
      <c r="E402" s="10">
        <v>8.1299999999999997E-2</v>
      </c>
      <c r="F402" s="5">
        <v>3830</v>
      </c>
      <c r="G402" s="5">
        <v>80</v>
      </c>
      <c r="I402" s="40">
        <f t="shared" si="13"/>
        <v>3830</v>
      </c>
      <c r="J402" s="40">
        <f t="shared" si="14"/>
        <v>80</v>
      </c>
      <c r="K402" s="1">
        <v>3830</v>
      </c>
      <c r="L402" s="1">
        <v>80</v>
      </c>
      <c r="M402">
        <f t="shared" si="15"/>
        <v>0</v>
      </c>
      <c r="N402" s="1">
        <v>0.51900000000000002</v>
      </c>
      <c r="O402" s="1">
        <v>60</v>
      </c>
      <c r="P402" s="24">
        <v>8.1299999999999997E-2</v>
      </c>
      <c r="Q402" s="31">
        <f>C402-N402</f>
        <v>-1.9999999999997797E-4</v>
      </c>
      <c r="R402" s="41">
        <f>D402-O402</f>
        <v>0</v>
      </c>
      <c r="S402" s="41">
        <f>E402-P402</f>
        <v>0</v>
      </c>
    </row>
    <row r="403" spans="1:23" x14ac:dyDescent="0.15">
      <c r="A403" s="1">
        <v>6</v>
      </c>
      <c r="B403" s="1">
        <v>12</v>
      </c>
      <c r="C403" s="10">
        <v>0.51880000000000004</v>
      </c>
      <c r="D403" s="5">
        <v>60</v>
      </c>
      <c r="E403" s="10">
        <v>9.1299999999999992E-2</v>
      </c>
      <c r="F403" s="5">
        <v>4660</v>
      </c>
      <c r="G403" s="5">
        <v>90</v>
      </c>
      <c r="I403" s="40">
        <f t="shared" si="13"/>
        <v>4660</v>
      </c>
      <c r="J403" s="40">
        <f t="shared" si="14"/>
        <v>90</v>
      </c>
      <c r="K403" s="1">
        <v>4660</v>
      </c>
      <c r="L403" s="1">
        <v>90</v>
      </c>
      <c r="M403">
        <f t="shared" si="15"/>
        <v>0</v>
      </c>
      <c r="N403" s="1">
        <v>0.51900000000000002</v>
      </c>
      <c r="O403" s="1">
        <v>60</v>
      </c>
      <c r="P403" s="24">
        <v>9.1300000000000006E-2</v>
      </c>
      <c r="Q403" s="31">
        <f>C403-N403</f>
        <v>-1.9999999999997797E-4</v>
      </c>
      <c r="R403" s="41">
        <f>D403-O403</f>
        <v>0</v>
      </c>
      <c r="S403" s="41">
        <f>E403-P403</f>
        <v>0</v>
      </c>
    </row>
    <row r="404" spans="1:23" x14ac:dyDescent="0.15">
      <c r="A404" s="1">
        <v>6</v>
      </c>
      <c r="B404" s="1">
        <v>12</v>
      </c>
      <c r="C404" s="10">
        <v>0.51880000000000004</v>
      </c>
      <c r="D404" s="5">
        <v>60</v>
      </c>
      <c r="E404" s="10">
        <v>0.1013</v>
      </c>
      <c r="F404" s="5">
        <v>5300</v>
      </c>
      <c r="G404" s="5">
        <v>100</v>
      </c>
      <c r="I404" s="40">
        <f t="shared" si="13"/>
        <v>5300</v>
      </c>
      <c r="J404" s="40">
        <f t="shared" si="14"/>
        <v>100</v>
      </c>
      <c r="K404" s="1">
        <v>5300</v>
      </c>
      <c r="L404" s="1">
        <v>100</v>
      </c>
      <c r="M404">
        <f t="shared" si="15"/>
        <v>0</v>
      </c>
      <c r="N404" s="1">
        <v>0.51900000000000002</v>
      </c>
      <c r="O404" s="1">
        <v>60</v>
      </c>
      <c r="P404" s="24">
        <v>0.1013</v>
      </c>
      <c r="Q404" s="31">
        <f>C404-N404</f>
        <v>-1.9999999999997797E-4</v>
      </c>
      <c r="R404" s="41">
        <f>D404-O404</f>
        <v>0</v>
      </c>
      <c r="S404" s="41">
        <f>E404-P404</f>
        <v>0</v>
      </c>
    </row>
    <row r="405" spans="1:23" s="15" customFormat="1" x14ac:dyDescent="0.15">
      <c r="A405" s="1">
        <v>6</v>
      </c>
      <c r="B405" s="1">
        <v>12</v>
      </c>
      <c r="C405" s="10">
        <v>0.51880000000000004</v>
      </c>
      <c r="D405" s="5">
        <v>60</v>
      </c>
      <c r="E405" s="10">
        <v>0.1113</v>
      </c>
      <c r="F405" s="5">
        <v>5980</v>
      </c>
      <c r="G405" s="5">
        <v>120</v>
      </c>
      <c r="H405" s="12"/>
      <c r="I405" s="40">
        <f t="shared" si="13"/>
        <v>5980</v>
      </c>
      <c r="J405" s="40">
        <f t="shared" si="14"/>
        <v>120</v>
      </c>
      <c r="K405" s="1">
        <v>5980</v>
      </c>
      <c r="L405" s="1">
        <v>120</v>
      </c>
      <c r="M405">
        <f t="shared" si="15"/>
        <v>0</v>
      </c>
      <c r="N405" s="1">
        <v>0.51900000000000002</v>
      </c>
      <c r="O405" s="1">
        <v>60</v>
      </c>
      <c r="P405" s="24">
        <v>0.1113</v>
      </c>
      <c r="Q405" s="31">
        <f>C405-N405</f>
        <v>-1.9999999999997797E-4</v>
      </c>
      <c r="R405" s="41">
        <f>D405-O405</f>
        <v>0</v>
      </c>
      <c r="S405" s="41">
        <f>E405-P405</f>
        <v>0</v>
      </c>
      <c r="U405" s="12"/>
      <c r="V405" s="12"/>
      <c r="W405" s="12"/>
    </row>
    <row r="406" spans="1:23" x14ac:dyDescent="0.15">
      <c r="A406" s="1">
        <v>6</v>
      </c>
      <c r="B406" s="1">
        <v>12</v>
      </c>
      <c r="C406" s="10">
        <v>0.51880000000000004</v>
      </c>
      <c r="D406" s="5">
        <v>60</v>
      </c>
      <c r="E406" s="10">
        <v>0.12129999999999999</v>
      </c>
      <c r="F406" s="5">
        <v>6280</v>
      </c>
      <c r="G406" s="5">
        <v>120</v>
      </c>
      <c r="I406" s="40">
        <f t="shared" si="13"/>
        <v>6280</v>
      </c>
      <c r="J406" s="40">
        <f t="shared" si="14"/>
        <v>120</v>
      </c>
      <c r="K406" s="1">
        <v>6280</v>
      </c>
      <c r="L406" s="1">
        <v>120</v>
      </c>
      <c r="M406">
        <f t="shared" si="15"/>
        <v>0</v>
      </c>
      <c r="N406" s="1">
        <v>0.51900000000000002</v>
      </c>
      <c r="O406" s="1">
        <v>60</v>
      </c>
      <c r="P406" s="24">
        <v>0.12130000000000001</v>
      </c>
      <c r="Q406" s="31">
        <f>C406-N406</f>
        <v>-1.9999999999997797E-4</v>
      </c>
      <c r="R406" s="41">
        <f>D406-O406</f>
        <v>0</v>
      </c>
      <c r="S406" s="41">
        <f>E406-P406</f>
        <v>0</v>
      </c>
    </row>
    <row r="407" spans="1:23" x14ac:dyDescent="0.15">
      <c r="A407" s="1">
        <v>6</v>
      </c>
      <c r="B407" s="1">
        <v>12</v>
      </c>
      <c r="C407" s="10">
        <v>0.51880000000000004</v>
      </c>
      <c r="D407" s="5">
        <v>60</v>
      </c>
      <c r="E407" s="10">
        <v>0.1313</v>
      </c>
      <c r="F407" s="5">
        <v>6400</v>
      </c>
      <c r="G407" s="5">
        <v>120</v>
      </c>
      <c r="I407" s="40">
        <f t="shared" si="13"/>
        <v>6400</v>
      </c>
      <c r="J407" s="40">
        <f t="shared" si="14"/>
        <v>120</v>
      </c>
      <c r="K407" s="1">
        <v>6400</v>
      </c>
      <c r="L407" s="1">
        <v>120</v>
      </c>
      <c r="M407">
        <f t="shared" si="15"/>
        <v>0</v>
      </c>
      <c r="N407" s="1">
        <v>0.51900000000000002</v>
      </c>
      <c r="O407" s="1">
        <v>60</v>
      </c>
      <c r="P407" s="24">
        <v>0.1313</v>
      </c>
      <c r="Q407" s="31">
        <f>C407-N407</f>
        <v>-1.9999999999997797E-4</v>
      </c>
      <c r="R407" s="41">
        <f>D407-O407</f>
        <v>0</v>
      </c>
      <c r="S407" s="41">
        <f>E407-P407</f>
        <v>0</v>
      </c>
    </row>
    <row r="408" spans="1:23" x14ac:dyDescent="0.15">
      <c r="A408" s="1">
        <v>6</v>
      </c>
      <c r="B408" s="1">
        <v>12</v>
      </c>
      <c r="C408" s="10">
        <v>0.51880000000000004</v>
      </c>
      <c r="D408" s="5">
        <v>60</v>
      </c>
      <c r="E408" s="10">
        <v>0.14130000000000001</v>
      </c>
      <c r="F408" s="5">
        <v>6440</v>
      </c>
      <c r="G408" s="5">
        <v>130</v>
      </c>
      <c r="I408" s="40">
        <f t="shared" si="13"/>
        <v>6440</v>
      </c>
      <c r="J408" s="40">
        <f t="shared" si="14"/>
        <v>130</v>
      </c>
      <c r="K408" s="1">
        <v>6440</v>
      </c>
      <c r="L408" s="1">
        <v>130</v>
      </c>
      <c r="M408">
        <f t="shared" si="15"/>
        <v>0</v>
      </c>
      <c r="N408" s="1">
        <v>0.51900000000000002</v>
      </c>
      <c r="O408" s="1">
        <v>60</v>
      </c>
      <c r="P408" s="24">
        <v>0.14130000000000001</v>
      </c>
      <c r="Q408" s="31">
        <f>C408-N408</f>
        <v>-1.9999999999997797E-4</v>
      </c>
      <c r="R408" s="41">
        <f>D408-O408</f>
        <v>0</v>
      </c>
      <c r="S408" s="41">
        <f>E408-P408</f>
        <v>0</v>
      </c>
    </row>
    <row r="409" spans="1:23" x14ac:dyDescent="0.15">
      <c r="A409" s="1">
        <v>6</v>
      </c>
      <c r="B409" s="1">
        <v>12</v>
      </c>
      <c r="C409" s="10">
        <v>0.51880000000000004</v>
      </c>
      <c r="D409" s="5">
        <v>60</v>
      </c>
      <c r="E409" s="10">
        <v>0.15130000000000002</v>
      </c>
      <c r="F409" s="5">
        <v>6060</v>
      </c>
      <c r="G409" s="5">
        <v>130</v>
      </c>
      <c r="I409" s="40">
        <f t="shared" si="13"/>
        <v>6060</v>
      </c>
      <c r="J409" s="40">
        <f t="shared" si="14"/>
        <v>130</v>
      </c>
      <c r="K409" s="1">
        <v>6060</v>
      </c>
      <c r="L409" s="1">
        <v>130</v>
      </c>
      <c r="M409">
        <f t="shared" si="15"/>
        <v>0</v>
      </c>
      <c r="N409" s="1">
        <v>0.51900000000000002</v>
      </c>
      <c r="O409" s="1">
        <v>60</v>
      </c>
      <c r="P409" s="24">
        <v>0.15129999999999999</v>
      </c>
      <c r="Q409" s="31">
        <f>C409-N409</f>
        <v>-1.9999999999997797E-4</v>
      </c>
      <c r="R409" s="41">
        <f>D409-O409</f>
        <v>0</v>
      </c>
      <c r="S409" s="41">
        <f>E409-P409</f>
        <v>0</v>
      </c>
    </row>
    <row r="410" spans="1:23" x14ac:dyDescent="0.15">
      <c r="A410" s="1">
        <v>6</v>
      </c>
      <c r="B410" s="1">
        <v>12</v>
      </c>
      <c r="C410" s="10">
        <v>0.51880000000000004</v>
      </c>
      <c r="D410" s="5">
        <v>60</v>
      </c>
      <c r="E410" s="10">
        <v>0.1613</v>
      </c>
      <c r="F410" s="5">
        <v>5490</v>
      </c>
      <c r="G410" s="5">
        <v>120</v>
      </c>
      <c r="I410" s="40">
        <f t="shared" si="13"/>
        <v>5490</v>
      </c>
      <c r="J410" s="40">
        <f t="shared" si="14"/>
        <v>120</v>
      </c>
      <c r="K410" s="1">
        <v>5490</v>
      </c>
      <c r="L410" s="1">
        <v>120</v>
      </c>
      <c r="M410">
        <f t="shared" si="15"/>
        <v>0</v>
      </c>
      <c r="N410" s="1">
        <v>0.51900000000000002</v>
      </c>
      <c r="O410" s="1">
        <v>60</v>
      </c>
      <c r="P410" s="24">
        <v>0.1613</v>
      </c>
      <c r="Q410" s="31">
        <f>C410-N410</f>
        <v>-1.9999999999997797E-4</v>
      </c>
      <c r="R410" s="41">
        <f>D410-O410</f>
        <v>0</v>
      </c>
      <c r="S410" s="41">
        <f>E410-P410</f>
        <v>0</v>
      </c>
    </row>
    <row r="411" spans="1:23" x14ac:dyDescent="0.15">
      <c r="A411" s="1">
        <v>6</v>
      </c>
      <c r="B411" s="1">
        <v>12</v>
      </c>
      <c r="C411" s="10">
        <v>0.51880000000000004</v>
      </c>
      <c r="D411" s="5">
        <v>60</v>
      </c>
      <c r="E411" s="10">
        <v>0.17130000000000001</v>
      </c>
      <c r="F411" s="5">
        <v>4910</v>
      </c>
      <c r="G411" s="5">
        <v>120</v>
      </c>
      <c r="I411" s="40">
        <f t="shared" si="13"/>
        <v>4910</v>
      </c>
      <c r="J411" s="40">
        <f t="shared" si="14"/>
        <v>120</v>
      </c>
      <c r="K411" s="1">
        <v>4910</v>
      </c>
      <c r="L411" s="1">
        <v>120</v>
      </c>
      <c r="M411">
        <f t="shared" si="15"/>
        <v>0</v>
      </c>
      <c r="N411" s="1">
        <v>0.51900000000000002</v>
      </c>
      <c r="O411" s="1">
        <v>60</v>
      </c>
      <c r="P411" s="24">
        <v>0.17130000000000001</v>
      </c>
      <c r="Q411" s="31">
        <f>C411-N411</f>
        <v>-1.9999999999997797E-4</v>
      </c>
      <c r="R411" s="41">
        <f>D411-O411</f>
        <v>0</v>
      </c>
      <c r="S411" s="41">
        <f>E411-P411</f>
        <v>0</v>
      </c>
    </row>
    <row r="412" spans="1:23" x14ac:dyDescent="0.15">
      <c r="A412" s="1">
        <v>6</v>
      </c>
      <c r="B412" s="1">
        <v>12</v>
      </c>
      <c r="C412" s="10">
        <v>0.51880000000000004</v>
      </c>
      <c r="D412" s="5">
        <v>60</v>
      </c>
      <c r="E412" s="10">
        <v>0.18130000000000002</v>
      </c>
      <c r="F412" s="5">
        <v>4280</v>
      </c>
      <c r="G412" s="5">
        <v>110</v>
      </c>
      <c r="I412" s="40">
        <f t="shared" si="13"/>
        <v>4280</v>
      </c>
      <c r="J412" s="40">
        <f t="shared" si="14"/>
        <v>110</v>
      </c>
      <c r="K412" s="1">
        <v>4280</v>
      </c>
      <c r="L412" s="1">
        <v>110</v>
      </c>
      <c r="M412">
        <f t="shared" si="15"/>
        <v>0</v>
      </c>
      <c r="N412" s="1">
        <v>0.51900000000000002</v>
      </c>
      <c r="O412" s="1">
        <v>60</v>
      </c>
      <c r="P412" s="24">
        <v>0.18129999999999999</v>
      </c>
      <c r="Q412" s="31">
        <f>C412-N412</f>
        <v>-1.9999999999997797E-4</v>
      </c>
      <c r="R412" s="41">
        <f>D412-O412</f>
        <v>0</v>
      </c>
      <c r="S412" s="41">
        <f>E412-P412</f>
        <v>0</v>
      </c>
    </row>
    <row r="413" spans="1:23" x14ac:dyDescent="0.15">
      <c r="A413" s="1">
        <v>6</v>
      </c>
      <c r="B413" s="1">
        <v>12</v>
      </c>
      <c r="C413" s="10">
        <v>0.51880000000000004</v>
      </c>
      <c r="D413" s="5">
        <v>60</v>
      </c>
      <c r="E413" s="10">
        <v>0.1913</v>
      </c>
      <c r="F413" s="5">
        <v>3530</v>
      </c>
      <c r="G413" s="5">
        <v>100</v>
      </c>
      <c r="I413" s="40">
        <f t="shared" si="13"/>
        <v>3530</v>
      </c>
      <c r="J413" s="40">
        <f t="shared" si="14"/>
        <v>100</v>
      </c>
      <c r="K413" s="1">
        <v>3530</v>
      </c>
      <c r="L413" s="1">
        <v>100</v>
      </c>
      <c r="M413">
        <f t="shared" si="15"/>
        <v>0</v>
      </c>
      <c r="N413" s="1">
        <v>0.51900000000000002</v>
      </c>
      <c r="O413" s="1">
        <v>60</v>
      </c>
      <c r="P413" s="24">
        <v>0.1913</v>
      </c>
      <c r="Q413" s="31">
        <f>C413-N413</f>
        <v>-1.9999999999997797E-4</v>
      </c>
      <c r="R413" s="41">
        <f>D413-O413</f>
        <v>0</v>
      </c>
      <c r="S413" s="41">
        <f>E413-P413</f>
        <v>0</v>
      </c>
    </row>
    <row r="414" spans="1:23" x14ac:dyDescent="0.15">
      <c r="A414" s="1">
        <v>6</v>
      </c>
      <c r="B414" s="1">
        <v>12</v>
      </c>
      <c r="C414" s="10">
        <v>0.51880000000000004</v>
      </c>
      <c r="D414" s="5">
        <v>60</v>
      </c>
      <c r="E414" s="10">
        <v>0.20130000000000001</v>
      </c>
      <c r="F414" s="5">
        <v>3190</v>
      </c>
      <c r="G414" s="5">
        <v>100</v>
      </c>
      <c r="I414" s="40">
        <f t="shared" si="13"/>
        <v>3190</v>
      </c>
      <c r="J414" s="40">
        <f t="shared" si="14"/>
        <v>100</v>
      </c>
      <c r="K414" s="1">
        <v>3190</v>
      </c>
      <c r="L414" s="1">
        <v>100</v>
      </c>
      <c r="M414">
        <f t="shared" si="15"/>
        <v>0</v>
      </c>
      <c r="N414" s="1">
        <v>0.51900000000000002</v>
      </c>
      <c r="O414" s="1">
        <v>60</v>
      </c>
      <c r="P414" s="24">
        <v>0.20130000000000001</v>
      </c>
      <c r="Q414" s="31">
        <f>C414-N414</f>
        <v>-1.9999999999997797E-4</v>
      </c>
      <c r="R414" s="41">
        <f>D414-O414</f>
        <v>0</v>
      </c>
      <c r="S414" s="41">
        <f>E414-P414</f>
        <v>0</v>
      </c>
    </row>
    <row r="415" spans="1:23" x14ac:dyDescent="0.15">
      <c r="A415" s="1">
        <v>6</v>
      </c>
      <c r="B415" s="1">
        <v>12</v>
      </c>
      <c r="C415" s="10">
        <v>0.51880000000000004</v>
      </c>
      <c r="D415" s="5">
        <v>60</v>
      </c>
      <c r="E415" s="10">
        <v>0.21130000000000002</v>
      </c>
      <c r="F415" s="5">
        <v>2880</v>
      </c>
      <c r="G415" s="5">
        <v>90</v>
      </c>
      <c r="I415" s="40">
        <f t="shared" si="13"/>
        <v>2880</v>
      </c>
      <c r="J415" s="40">
        <f t="shared" si="14"/>
        <v>90</v>
      </c>
      <c r="K415" s="1">
        <v>2880</v>
      </c>
      <c r="L415" s="1">
        <v>90</v>
      </c>
      <c r="M415">
        <f t="shared" si="15"/>
        <v>0</v>
      </c>
      <c r="N415" s="1">
        <v>0.51900000000000002</v>
      </c>
      <c r="O415" s="1">
        <v>60</v>
      </c>
      <c r="P415" s="24">
        <v>0.21129999999999999</v>
      </c>
      <c r="Q415" s="31">
        <f>C415-N415</f>
        <v>-1.9999999999997797E-4</v>
      </c>
      <c r="R415" s="41">
        <f>D415-O415</f>
        <v>0</v>
      </c>
      <c r="S415" s="41">
        <f>E415-P415</f>
        <v>0</v>
      </c>
    </row>
    <row r="416" spans="1:23" x14ac:dyDescent="0.15">
      <c r="A416" s="1">
        <v>6</v>
      </c>
      <c r="B416" s="1">
        <v>12</v>
      </c>
      <c r="C416" s="10">
        <v>0.51880000000000004</v>
      </c>
      <c r="D416" s="5">
        <v>60</v>
      </c>
      <c r="E416" s="10">
        <v>0.22130000000000002</v>
      </c>
      <c r="F416" s="5">
        <v>2510</v>
      </c>
      <c r="G416" s="5">
        <v>80</v>
      </c>
      <c r="I416" s="40">
        <f t="shared" si="13"/>
        <v>2510</v>
      </c>
      <c r="J416" s="40">
        <f t="shared" si="14"/>
        <v>80</v>
      </c>
      <c r="K416" s="1">
        <v>2510</v>
      </c>
      <c r="L416" s="1">
        <v>80</v>
      </c>
      <c r="M416">
        <f t="shared" si="15"/>
        <v>0</v>
      </c>
      <c r="N416" s="1">
        <v>0.51900000000000002</v>
      </c>
      <c r="O416" s="1">
        <v>60</v>
      </c>
      <c r="P416" s="24">
        <v>0.2213</v>
      </c>
      <c r="Q416" s="31">
        <f>C416-N416</f>
        <v>-1.9999999999997797E-4</v>
      </c>
      <c r="R416" s="41">
        <f>D416-O416</f>
        <v>0</v>
      </c>
      <c r="S416" s="41">
        <f>E416-P416</f>
        <v>0</v>
      </c>
    </row>
    <row r="417" spans="1:19" x14ac:dyDescent="0.15">
      <c r="A417" s="1">
        <v>6</v>
      </c>
      <c r="B417" s="1">
        <v>12</v>
      </c>
      <c r="C417" s="10">
        <v>0.51880000000000004</v>
      </c>
      <c r="D417" s="5">
        <v>60</v>
      </c>
      <c r="E417" s="10">
        <v>0.23130000000000001</v>
      </c>
      <c r="F417" s="5">
        <v>2360</v>
      </c>
      <c r="G417" s="5">
        <v>80</v>
      </c>
      <c r="I417" s="40">
        <f t="shared" si="13"/>
        <v>2360</v>
      </c>
      <c r="J417" s="40">
        <f t="shared" si="14"/>
        <v>80</v>
      </c>
      <c r="K417" s="1">
        <v>2360</v>
      </c>
      <c r="L417" s="1">
        <v>80</v>
      </c>
      <c r="M417">
        <f t="shared" si="15"/>
        <v>0</v>
      </c>
      <c r="N417" s="1">
        <v>0.51900000000000002</v>
      </c>
      <c r="O417" s="1">
        <v>60</v>
      </c>
      <c r="P417" s="24">
        <v>0.23130000000000001</v>
      </c>
      <c r="Q417" s="31">
        <f>C417-N417</f>
        <v>-1.9999999999997797E-4</v>
      </c>
      <c r="R417" s="41">
        <f>D417-O417</f>
        <v>0</v>
      </c>
      <c r="S417" s="41">
        <f>E417-P417</f>
        <v>0</v>
      </c>
    </row>
    <row r="418" spans="1:19" x14ac:dyDescent="0.15">
      <c r="A418" s="1">
        <v>6</v>
      </c>
      <c r="B418" s="1">
        <v>12</v>
      </c>
      <c r="C418" s="10">
        <v>0.51880000000000004</v>
      </c>
      <c r="D418" s="5">
        <v>60</v>
      </c>
      <c r="E418" s="10">
        <v>0.24130000000000001</v>
      </c>
      <c r="F418" s="5">
        <v>2310</v>
      </c>
      <c r="G418" s="5">
        <v>80</v>
      </c>
      <c r="I418" s="40">
        <f t="shared" si="13"/>
        <v>2310</v>
      </c>
      <c r="J418" s="40">
        <f t="shared" si="14"/>
        <v>80</v>
      </c>
      <c r="K418" s="1">
        <v>2310</v>
      </c>
      <c r="L418" s="1">
        <v>80</v>
      </c>
      <c r="M418">
        <f t="shared" si="15"/>
        <v>0</v>
      </c>
      <c r="N418" s="1">
        <v>0.51900000000000002</v>
      </c>
      <c r="O418" s="1">
        <v>60</v>
      </c>
      <c r="P418" s="24">
        <v>0.24129999999999999</v>
      </c>
      <c r="Q418" s="31">
        <f>C418-N418</f>
        <v>-1.9999999999997797E-4</v>
      </c>
      <c r="R418" s="41">
        <f>D418-O418</f>
        <v>0</v>
      </c>
      <c r="S418" s="41">
        <f>E418-P418</f>
        <v>0</v>
      </c>
    </row>
    <row r="419" spans="1:19" x14ac:dyDescent="0.15">
      <c r="A419" s="1">
        <v>6</v>
      </c>
      <c r="B419" s="1">
        <v>12</v>
      </c>
      <c r="C419" s="10">
        <v>0.51880000000000004</v>
      </c>
      <c r="D419" s="5">
        <v>60</v>
      </c>
      <c r="E419" s="10">
        <v>0.25130000000000002</v>
      </c>
      <c r="F419" s="5">
        <v>2430</v>
      </c>
      <c r="G419" s="5">
        <v>80</v>
      </c>
      <c r="I419" s="40">
        <f t="shared" si="13"/>
        <v>2430</v>
      </c>
      <c r="J419" s="40">
        <f t="shared" si="14"/>
        <v>80</v>
      </c>
      <c r="K419" s="1">
        <v>2430</v>
      </c>
      <c r="L419" s="1">
        <v>80</v>
      </c>
      <c r="M419">
        <f t="shared" si="15"/>
        <v>0</v>
      </c>
      <c r="N419" s="1">
        <v>0.51900000000000002</v>
      </c>
      <c r="O419" s="1">
        <v>60</v>
      </c>
      <c r="P419" s="24">
        <v>0.25130000000000002</v>
      </c>
      <c r="Q419" s="31">
        <f>C419-N419</f>
        <v>-1.9999999999997797E-4</v>
      </c>
      <c r="R419" s="41">
        <f>D419-O419</f>
        <v>0</v>
      </c>
      <c r="S419" s="41">
        <f>E419-P419</f>
        <v>0</v>
      </c>
    </row>
    <row r="420" spans="1:19" x14ac:dyDescent="0.15">
      <c r="A420" s="1">
        <v>6</v>
      </c>
      <c r="B420" s="1">
        <v>12</v>
      </c>
      <c r="C420" s="10">
        <v>0.51880000000000004</v>
      </c>
      <c r="D420" s="5">
        <v>60</v>
      </c>
      <c r="E420" s="10">
        <v>0.26130000000000003</v>
      </c>
      <c r="F420" s="5">
        <v>2620</v>
      </c>
      <c r="G420" s="5">
        <v>90</v>
      </c>
      <c r="I420" s="40">
        <f t="shared" si="13"/>
        <v>2620</v>
      </c>
      <c r="J420" s="40">
        <f t="shared" si="14"/>
        <v>90</v>
      </c>
      <c r="K420" s="1">
        <v>2620</v>
      </c>
      <c r="L420" s="1">
        <v>90</v>
      </c>
      <c r="M420">
        <f t="shared" si="15"/>
        <v>0</v>
      </c>
      <c r="N420" s="1">
        <v>0.51900000000000002</v>
      </c>
      <c r="O420" s="1">
        <v>60</v>
      </c>
      <c r="P420" s="24">
        <v>0.26129999999999998</v>
      </c>
      <c r="Q420" s="31">
        <f>C420-N420</f>
        <v>-1.9999999999997797E-4</v>
      </c>
      <c r="R420" s="41">
        <f>D420-O420</f>
        <v>0</v>
      </c>
      <c r="S420" s="41">
        <f>E420-P420</f>
        <v>0</v>
      </c>
    </row>
    <row r="421" spans="1:19" x14ac:dyDescent="0.15">
      <c r="A421" s="1">
        <v>6</v>
      </c>
      <c r="B421" s="1">
        <v>12</v>
      </c>
      <c r="C421" s="10">
        <v>0.51880000000000004</v>
      </c>
      <c r="D421" s="5">
        <v>60</v>
      </c>
      <c r="E421" s="10">
        <v>0.27129999999999999</v>
      </c>
      <c r="F421" s="5">
        <v>2650</v>
      </c>
      <c r="G421" s="5">
        <v>100</v>
      </c>
      <c r="I421" s="40">
        <f t="shared" si="13"/>
        <v>2650</v>
      </c>
      <c r="J421" s="40">
        <f t="shared" si="14"/>
        <v>100</v>
      </c>
      <c r="K421" s="1">
        <v>2650</v>
      </c>
      <c r="L421" s="1">
        <v>100</v>
      </c>
      <c r="M421">
        <f t="shared" si="15"/>
        <v>0</v>
      </c>
      <c r="N421" s="1">
        <v>0.51900000000000002</v>
      </c>
      <c r="O421" s="1">
        <v>60</v>
      </c>
      <c r="P421" s="24">
        <v>0.27129999999999999</v>
      </c>
      <c r="Q421" s="31">
        <f>C421-N421</f>
        <v>-1.9999999999997797E-4</v>
      </c>
      <c r="R421" s="41">
        <f>D421-O421</f>
        <v>0</v>
      </c>
      <c r="S421" s="41">
        <f>E421-P421</f>
        <v>0</v>
      </c>
    </row>
    <row r="422" spans="1:19" x14ac:dyDescent="0.15">
      <c r="A422" s="1">
        <v>6</v>
      </c>
      <c r="B422" s="1">
        <v>12</v>
      </c>
      <c r="C422" s="10">
        <v>0.51880000000000004</v>
      </c>
      <c r="D422" s="5">
        <v>60</v>
      </c>
      <c r="E422" s="10">
        <v>0.28129999999999999</v>
      </c>
      <c r="F422" s="5">
        <v>3090</v>
      </c>
      <c r="G422" s="5">
        <v>100</v>
      </c>
      <c r="I422" s="40">
        <f t="shared" si="13"/>
        <v>3090</v>
      </c>
      <c r="J422" s="40">
        <f t="shared" si="14"/>
        <v>100</v>
      </c>
      <c r="K422" s="1">
        <v>3090</v>
      </c>
      <c r="L422" s="1">
        <v>100</v>
      </c>
      <c r="M422">
        <f t="shared" si="15"/>
        <v>0</v>
      </c>
      <c r="N422" s="1">
        <v>0.51900000000000002</v>
      </c>
      <c r="O422" s="1">
        <v>60</v>
      </c>
      <c r="P422" s="24">
        <v>0.28129999999999999</v>
      </c>
      <c r="Q422" s="31">
        <f>C422-N422</f>
        <v>-1.9999999999997797E-4</v>
      </c>
      <c r="R422" s="41">
        <f>D422-O422</f>
        <v>0</v>
      </c>
      <c r="S422" s="41">
        <f>E422-P422</f>
        <v>0</v>
      </c>
    </row>
    <row r="423" spans="1:19" x14ac:dyDescent="0.15">
      <c r="A423" s="1">
        <v>6</v>
      </c>
      <c r="B423" s="1">
        <v>12</v>
      </c>
      <c r="C423" s="10">
        <v>0.51880000000000004</v>
      </c>
      <c r="D423" s="5">
        <v>60</v>
      </c>
      <c r="E423" s="10">
        <v>0.2913</v>
      </c>
      <c r="F423" s="5">
        <v>3200</v>
      </c>
      <c r="G423" s="5">
        <v>110</v>
      </c>
      <c r="I423" s="40">
        <f t="shared" si="13"/>
        <v>3200</v>
      </c>
      <c r="J423" s="40">
        <f t="shared" si="14"/>
        <v>110</v>
      </c>
      <c r="K423" s="1">
        <v>3200</v>
      </c>
      <c r="L423" s="1">
        <v>110</v>
      </c>
      <c r="M423">
        <f t="shared" si="15"/>
        <v>0</v>
      </c>
      <c r="N423" s="1">
        <v>0.51900000000000002</v>
      </c>
      <c r="O423" s="1">
        <v>60</v>
      </c>
      <c r="P423" s="24">
        <v>0.2913</v>
      </c>
      <c r="Q423" s="31">
        <f>C423-N423</f>
        <v>-1.9999999999997797E-4</v>
      </c>
      <c r="R423" s="41">
        <f>D423-O423</f>
        <v>0</v>
      </c>
      <c r="S423" s="41">
        <f>E423-P423</f>
        <v>0</v>
      </c>
    </row>
    <row r="424" spans="1:19" x14ac:dyDescent="0.15">
      <c r="A424" s="1">
        <v>6</v>
      </c>
      <c r="B424" s="1">
        <v>12</v>
      </c>
      <c r="C424" s="10">
        <v>0.51880000000000004</v>
      </c>
      <c r="D424" s="5">
        <v>60</v>
      </c>
      <c r="E424" s="10">
        <v>0.30130000000000001</v>
      </c>
      <c r="F424" s="5">
        <v>3470</v>
      </c>
      <c r="G424" s="5">
        <v>120</v>
      </c>
      <c r="I424" s="40">
        <f t="shared" si="13"/>
        <v>3470</v>
      </c>
      <c r="J424" s="40">
        <f t="shared" si="14"/>
        <v>120</v>
      </c>
      <c r="K424" s="1">
        <v>3470</v>
      </c>
      <c r="L424" s="1">
        <v>120</v>
      </c>
      <c r="M424">
        <f t="shared" si="15"/>
        <v>0</v>
      </c>
      <c r="N424" s="1">
        <v>0.51900000000000002</v>
      </c>
      <c r="O424" s="1">
        <v>60</v>
      </c>
      <c r="P424" s="24">
        <v>0.30130000000000001</v>
      </c>
      <c r="Q424" s="31">
        <f>C424-N424</f>
        <v>-1.9999999999997797E-4</v>
      </c>
      <c r="R424" s="41">
        <f>D424-O424</f>
        <v>0</v>
      </c>
      <c r="S424" s="41">
        <f>E424-P424</f>
        <v>0</v>
      </c>
    </row>
    <row r="425" spans="1:19" x14ac:dyDescent="0.15">
      <c r="A425" s="1">
        <v>6</v>
      </c>
      <c r="B425" s="1">
        <v>12</v>
      </c>
      <c r="C425" s="10">
        <v>0.51880000000000004</v>
      </c>
      <c r="D425" s="5">
        <v>60</v>
      </c>
      <c r="E425" s="10">
        <v>0.31130000000000002</v>
      </c>
      <c r="F425" s="5">
        <v>3560</v>
      </c>
      <c r="G425" s="5">
        <v>120</v>
      </c>
      <c r="I425" s="40">
        <f t="shared" si="13"/>
        <v>3560</v>
      </c>
      <c r="J425" s="40">
        <f t="shared" si="14"/>
        <v>120</v>
      </c>
      <c r="K425" s="1">
        <v>3560</v>
      </c>
      <c r="L425" s="1">
        <v>120</v>
      </c>
      <c r="M425">
        <f t="shared" si="15"/>
        <v>0</v>
      </c>
      <c r="N425" s="1">
        <v>0.51900000000000002</v>
      </c>
      <c r="O425" s="1">
        <v>60</v>
      </c>
      <c r="P425" s="24">
        <v>0.31130000000000002</v>
      </c>
      <c r="Q425" s="31">
        <f>C425-N425</f>
        <v>-1.9999999999997797E-4</v>
      </c>
      <c r="R425" s="41">
        <f>D425-O425</f>
        <v>0</v>
      </c>
      <c r="S425" s="41">
        <f>E425-P425</f>
        <v>0</v>
      </c>
    </row>
    <row r="426" spans="1:19" x14ac:dyDescent="0.15">
      <c r="A426" s="1">
        <v>6</v>
      </c>
      <c r="B426" s="1">
        <v>12</v>
      </c>
      <c r="C426" s="10">
        <v>0.51880000000000004</v>
      </c>
      <c r="D426" s="5">
        <v>60</v>
      </c>
      <c r="E426" s="10">
        <v>0.32130000000000003</v>
      </c>
      <c r="F426" s="5">
        <v>3810</v>
      </c>
      <c r="G426" s="5">
        <v>140</v>
      </c>
      <c r="I426" s="40">
        <f t="shared" si="13"/>
        <v>3810</v>
      </c>
      <c r="J426" s="40">
        <f t="shared" si="14"/>
        <v>140</v>
      </c>
      <c r="K426" s="1">
        <v>3810</v>
      </c>
      <c r="L426" s="1">
        <v>140</v>
      </c>
      <c r="M426">
        <f t="shared" si="15"/>
        <v>0</v>
      </c>
      <c r="N426" s="1">
        <v>0.51900000000000002</v>
      </c>
      <c r="O426" s="1">
        <v>60</v>
      </c>
      <c r="P426" s="24">
        <v>0.32129999999999997</v>
      </c>
      <c r="Q426" s="31">
        <f>C426-N426</f>
        <v>-1.9999999999997797E-4</v>
      </c>
      <c r="R426" s="41">
        <f>D426-O426</f>
        <v>0</v>
      </c>
      <c r="S426" s="41">
        <f>E426-P426</f>
        <v>0</v>
      </c>
    </row>
    <row r="427" spans="1:19" x14ac:dyDescent="0.15">
      <c r="A427" s="1">
        <v>6</v>
      </c>
      <c r="B427" s="1">
        <v>12</v>
      </c>
      <c r="C427" s="10">
        <v>0.51880000000000004</v>
      </c>
      <c r="D427" s="5">
        <v>60</v>
      </c>
      <c r="E427" s="10">
        <v>0.33130000000000004</v>
      </c>
      <c r="F427" s="5">
        <v>3850</v>
      </c>
      <c r="G427" s="5">
        <v>150</v>
      </c>
      <c r="I427" s="40">
        <f t="shared" si="13"/>
        <v>3850</v>
      </c>
      <c r="J427" s="40">
        <f t="shared" si="14"/>
        <v>150</v>
      </c>
      <c r="K427" s="1">
        <v>3850</v>
      </c>
      <c r="L427" s="1">
        <v>150</v>
      </c>
      <c r="M427">
        <f t="shared" si="15"/>
        <v>0</v>
      </c>
      <c r="N427" s="1">
        <v>0.51900000000000002</v>
      </c>
      <c r="O427" s="1">
        <v>60</v>
      </c>
      <c r="P427" s="24">
        <v>0.33129999999999998</v>
      </c>
      <c r="Q427" s="31">
        <f>C427-N427</f>
        <v>-1.9999999999997797E-4</v>
      </c>
      <c r="R427" s="41">
        <f>D427-O427</f>
        <v>0</v>
      </c>
      <c r="S427" s="41">
        <f>E427-P427</f>
        <v>0</v>
      </c>
    </row>
    <row r="428" spans="1:19" x14ac:dyDescent="0.15">
      <c r="A428" s="1">
        <v>6</v>
      </c>
      <c r="B428" s="1">
        <v>12</v>
      </c>
      <c r="C428" s="10">
        <v>0.51880000000000004</v>
      </c>
      <c r="D428" s="5">
        <v>60</v>
      </c>
      <c r="E428" s="10">
        <v>0.34129999999999999</v>
      </c>
      <c r="F428" s="5">
        <v>3840</v>
      </c>
      <c r="G428" s="5">
        <v>170</v>
      </c>
      <c r="I428" s="40">
        <f t="shared" si="13"/>
        <v>3840</v>
      </c>
      <c r="J428" s="40">
        <f t="shared" si="14"/>
        <v>170</v>
      </c>
      <c r="K428" s="1">
        <v>3840</v>
      </c>
      <c r="L428" s="1">
        <v>170</v>
      </c>
      <c r="M428">
        <f t="shared" si="15"/>
        <v>0</v>
      </c>
      <c r="N428" s="1">
        <v>0.51900000000000002</v>
      </c>
      <c r="O428" s="1">
        <v>60</v>
      </c>
      <c r="P428" s="24">
        <v>0.34129999999999999</v>
      </c>
      <c r="Q428" s="31">
        <f>C428-N428</f>
        <v>-1.9999999999997797E-4</v>
      </c>
      <c r="R428" s="41">
        <f>D428-O428</f>
        <v>0</v>
      </c>
      <c r="S428" s="41">
        <f>E428-P428</f>
        <v>0</v>
      </c>
    </row>
    <row r="429" spans="1:19" x14ac:dyDescent="0.15">
      <c r="A429" s="1">
        <v>6</v>
      </c>
      <c r="B429" s="1">
        <v>12</v>
      </c>
      <c r="C429" s="10">
        <v>0.51880000000000004</v>
      </c>
      <c r="D429" s="5">
        <v>60</v>
      </c>
      <c r="E429" s="10">
        <v>0.3513</v>
      </c>
      <c r="F429" s="5">
        <v>4130</v>
      </c>
      <c r="G429" s="5">
        <v>200</v>
      </c>
      <c r="I429" s="40">
        <f t="shared" si="13"/>
        <v>4130</v>
      </c>
      <c r="J429" s="40">
        <f t="shared" si="14"/>
        <v>200</v>
      </c>
      <c r="K429" s="1">
        <v>4130</v>
      </c>
      <c r="L429" s="1">
        <v>200</v>
      </c>
      <c r="M429">
        <f t="shared" si="15"/>
        <v>0</v>
      </c>
      <c r="N429" s="1">
        <v>0.51900000000000002</v>
      </c>
      <c r="O429" s="1">
        <v>60</v>
      </c>
      <c r="P429" s="24">
        <v>0.3513</v>
      </c>
      <c r="Q429" s="31">
        <f>C429-N429</f>
        <v>-1.9999999999997797E-4</v>
      </c>
      <c r="R429" s="41">
        <f>D429-O429</f>
        <v>0</v>
      </c>
      <c r="S429" s="41">
        <f>E429-P429</f>
        <v>0</v>
      </c>
    </row>
    <row r="430" spans="1:19" x14ac:dyDescent="0.15">
      <c r="A430" s="1">
        <v>6</v>
      </c>
      <c r="B430" s="1">
        <v>12</v>
      </c>
      <c r="C430" s="10">
        <v>0.51880000000000004</v>
      </c>
      <c r="D430" s="5">
        <v>60</v>
      </c>
      <c r="E430" s="10">
        <v>0.36130000000000001</v>
      </c>
      <c r="F430" s="5">
        <v>4000</v>
      </c>
      <c r="G430" s="5">
        <v>230</v>
      </c>
      <c r="I430" s="40">
        <f t="shared" si="13"/>
        <v>4000</v>
      </c>
      <c r="J430" s="40">
        <f t="shared" si="14"/>
        <v>230</v>
      </c>
      <c r="K430" s="1">
        <v>4000</v>
      </c>
      <c r="L430" s="1">
        <v>230</v>
      </c>
      <c r="M430">
        <f t="shared" si="15"/>
        <v>0</v>
      </c>
      <c r="N430" s="1">
        <v>0.51900000000000002</v>
      </c>
      <c r="O430" s="1">
        <v>60</v>
      </c>
      <c r="P430" s="24">
        <v>0.36130000000000001</v>
      </c>
      <c r="Q430" s="31">
        <f>C430-N430</f>
        <v>-1.9999999999997797E-4</v>
      </c>
      <c r="R430" s="41">
        <f>D430-O430</f>
        <v>0</v>
      </c>
      <c r="S430" s="41">
        <f>E430-P430</f>
        <v>0</v>
      </c>
    </row>
    <row r="431" spans="1:19" x14ac:dyDescent="0.15">
      <c r="A431" s="1">
        <v>6</v>
      </c>
      <c r="B431" s="1">
        <v>12</v>
      </c>
      <c r="C431" s="10">
        <v>0.51880000000000004</v>
      </c>
      <c r="D431" s="5">
        <v>60</v>
      </c>
      <c r="E431" s="10">
        <v>0.37130000000000002</v>
      </c>
      <c r="F431" s="5">
        <v>3920</v>
      </c>
      <c r="G431" s="5">
        <v>270</v>
      </c>
      <c r="I431" s="40">
        <f t="shared" si="13"/>
        <v>3920</v>
      </c>
      <c r="J431" s="40">
        <f t="shared" si="14"/>
        <v>270</v>
      </c>
      <c r="K431" s="1">
        <v>3920</v>
      </c>
      <c r="L431" s="1">
        <v>270</v>
      </c>
      <c r="M431">
        <f t="shared" si="15"/>
        <v>0</v>
      </c>
      <c r="N431" s="1">
        <v>0.51900000000000002</v>
      </c>
      <c r="O431" s="1">
        <v>60</v>
      </c>
      <c r="P431" s="24">
        <v>0.37130000000000002</v>
      </c>
      <c r="Q431" s="31">
        <f>C431-N431</f>
        <v>-1.9999999999997797E-4</v>
      </c>
      <c r="R431" s="41">
        <f>D431-O431</f>
        <v>0</v>
      </c>
      <c r="S431" s="41">
        <f>E431-P431</f>
        <v>0</v>
      </c>
    </row>
    <row r="432" spans="1:19" x14ac:dyDescent="0.15">
      <c r="A432" s="12">
        <v>6</v>
      </c>
      <c r="B432" s="12">
        <v>12</v>
      </c>
      <c r="C432" s="13">
        <v>0.4798</v>
      </c>
      <c r="D432" s="14">
        <v>60</v>
      </c>
      <c r="E432" s="13">
        <v>1.23E-2</v>
      </c>
      <c r="F432" s="14">
        <v>380</v>
      </c>
      <c r="G432" s="14">
        <v>10</v>
      </c>
      <c r="I432" s="40">
        <f t="shared" si="13"/>
        <v>380</v>
      </c>
      <c r="J432" s="40">
        <f t="shared" si="14"/>
        <v>10</v>
      </c>
      <c r="K432" s="12">
        <v>380</v>
      </c>
      <c r="L432" s="12">
        <v>10</v>
      </c>
      <c r="M432">
        <f t="shared" si="15"/>
        <v>0</v>
      </c>
      <c r="N432" s="12">
        <v>0.48</v>
      </c>
      <c r="O432" s="12">
        <v>60</v>
      </c>
      <c r="P432" s="24">
        <v>1.23E-2</v>
      </c>
      <c r="Q432" s="31">
        <f>C432-N432</f>
        <v>-1.9999999999997797E-4</v>
      </c>
      <c r="R432" s="41">
        <f>D432-O432</f>
        <v>0</v>
      </c>
      <c r="S432" s="41">
        <f>E432-P432</f>
        <v>0</v>
      </c>
    </row>
    <row r="433" spans="1:23" x14ac:dyDescent="0.15">
      <c r="A433" s="1">
        <v>6</v>
      </c>
      <c r="B433" s="1">
        <v>12</v>
      </c>
      <c r="C433" s="10">
        <v>0.4798</v>
      </c>
      <c r="D433" s="5">
        <v>60</v>
      </c>
      <c r="E433" s="10">
        <v>1.7299999999999999E-2</v>
      </c>
      <c r="F433" s="5">
        <v>350</v>
      </c>
      <c r="G433" s="5">
        <v>20</v>
      </c>
      <c r="I433" s="40">
        <f t="shared" si="13"/>
        <v>350</v>
      </c>
      <c r="J433" s="40">
        <f t="shared" si="14"/>
        <v>20</v>
      </c>
      <c r="K433" s="1">
        <v>350</v>
      </c>
      <c r="L433" s="1">
        <v>20</v>
      </c>
      <c r="M433">
        <f t="shared" si="15"/>
        <v>0</v>
      </c>
      <c r="N433" s="1">
        <v>0.48</v>
      </c>
      <c r="O433" s="1">
        <v>60</v>
      </c>
      <c r="P433" s="24">
        <v>1.7299999999999999E-2</v>
      </c>
      <c r="Q433" s="31">
        <f>C433-N433</f>
        <v>-1.9999999999997797E-4</v>
      </c>
      <c r="R433" s="41">
        <f>D433-O433</f>
        <v>0</v>
      </c>
      <c r="S433" s="41">
        <f>E433-P433</f>
        <v>0</v>
      </c>
    </row>
    <row r="434" spans="1:23" x14ac:dyDescent="0.15">
      <c r="A434" s="1">
        <v>6</v>
      </c>
      <c r="B434" s="1">
        <v>12</v>
      </c>
      <c r="C434" s="10">
        <v>0.4798</v>
      </c>
      <c r="D434" s="5">
        <v>60</v>
      </c>
      <c r="E434" s="10">
        <v>2.23E-2</v>
      </c>
      <c r="F434" s="5">
        <v>490</v>
      </c>
      <c r="G434" s="5">
        <v>20</v>
      </c>
      <c r="I434" s="40">
        <f t="shared" si="13"/>
        <v>490</v>
      </c>
      <c r="J434" s="40">
        <f t="shared" si="14"/>
        <v>20</v>
      </c>
      <c r="K434" s="1">
        <v>490</v>
      </c>
      <c r="L434" s="1">
        <v>20</v>
      </c>
      <c r="M434">
        <f t="shared" si="15"/>
        <v>0</v>
      </c>
      <c r="N434" s="1">
        <v>0.48</v>
      </c>
      <c r="O434" s="1">
        <v>60</v>
      </c>
      <c r="P434" s="24">
        <v>2.23E-2</v>
      </c>
      <c r="Q434" s="31">
        <f>C434-N434</f>
        <v>-1.9999999999997797E-4</v>
      </c>
      <c r="R434" s="41">
        <f>D434-O434</f>
        <v>0</v>
      </c>
      <c r="S434" s="41">
        <f>E434-P434</f>
        <v>0</v>
      </c>
    </row>
    <row r="435" spans="1:23" x14ac:dyDescent="0.15">
      <c r="A435" s="1">
        <v>6</v>
      </c>
      <c r="B435" s="1">
        <v>12</v>
      </c>
      <c r="C435" s="10">
        <v>0.4798</v>
      </c>
      <c r="D435" s="5">
        <v>60</v>
      </c>
      <c r="E435" s="10">
        <v>2.7300000000000001E-2</v>
      </c>
      <c r="F435" s="5">
        <v>1260</v>
      </c>
      <c r="G435" s="5">
        <v>30</v>
      </c>
      <c r="I435" s="40">
        <f t="shared" si="13"/>
        <v>1260</v>
      </c>
      <c r="J435" s="40">
        <f t="shared" si="14"/>
        <v>30</v>
      </c>
      <c r="K435" s="1">
        <v>1260</v>
      </c>
      <c r="L435" s="1">
        <v>30</v>
      </c>
      <c r="M435">
        <f t="shared" si="15"/>
        <v>0</v>
      </c>
      <c r="N435" s="1">
        <v>0.48</v>
      </c>
      <c r="O435" s="1">
        <v>60</v>
      </c>
      <c r="P435" s="24">
        <v>2.7300000000000001E-2</v>
      </c>
      <c r="Q435" s="31">
        <f>C435-N435</f>
        <v>-1.9999999999997797E-4</v>
      </c>
      <c r="R435" s="41">
        <f>D435-O435</f>
        <v>0</v>
      </c>
      <c r="S435" s="41">
        <f>E435-P435</f>
        <v>0</v>
      </c>
    </row>
    <row r="436" spans="1:23" x14ac:dyDescent="0.15">
      <c r="A436" s="1">
        <v>6</v>
      </c>
      <c r="B436" s="1">
        <v>12</v>
      </c>
      <c r="C436" s="10">
        <v>0.4798</v>
      </c>
      <c r="D436" s="5">
        <v>60</v>
      </c>
      <c r="E436" s="10">
        <v>3.2299999999999995E-2</v>
      </c>
      <c r="F436" s="5">
        <v>1700</v>
      </c>
      <c r="G436" s="5">
        <v>30</v>
      </c>
      <c r="I436" s="40">
        <f t="shared" si="13"/>
        <v>1700</v>
      </c>
      <c r="J436" s="40">
        <f t="shared" si="14"/>
        <v>30</v>
      </c>
      <c r="K436" s="1">
        <v>1700</v>
      </c>
      <c r="L436" s="1">
        <v>30</v>
      </c>
      <c r="M436">
        <f t="shared" si="15"/>
        <v>0</v>
      </c>
      <c r="N436" s="1">
        <v>0.48</v>
      </c>
      <c r="O436" s="1">
        <v>60</v>
      </c>
      <c r="P436" s="24">
        <v>3.2300000000000002E-2</v>
      </c>
      <c r="Q436" s="31">
        <f>C436-N436</f>
        <v>-1.9999999999997797E-4</v>
      </c>
      <c r="R436" s="41">
        <f>D436-O436</f>
        <v>0</v>
      </c>
      <c r="S436" s="41">
        <f>E436-P436</f>
        <v>0</v>
      </c>
    </row>
    <row r="437" spans="1:23" x14ac:dyDescent="0.15">
      <c r="A437" s="1">
        <v>6</v>
      </c>
      <c r="B437" s="1">
        <v>12</v>
      </c>
      <c r="C437" s="10">
        <v>0.4798</v>
      </c>
      <c r="D437" s="5">
        <v>60</v>
      </c>
      <c r="E437" s="10">
        <v>3.73E-2</v>
      </c>
      <c r="F437" s="5">
        <v>1770</v>
      </c>
      <c r="G437" s="5">
        <v>40</v>
      </c>
      <c r="I437" s="40">
        <f t="shared" si="13"/>
        <v>1770</v>
      </c>
      <c r="J437" s="40">
        <f t="shared" si="14"/>
        <v>40</v>
      </c>
      <c r="K437" s="1">
        <v>1770</v>
      </c>
      <c r="L437" s="1">
        <v>40</v>
      </c>
      <c r="M437">
        <f t="shared" si="15"/>
        <v>0</v>
      </c>
      <c r="N437" s="1">
        <v>0.48</v>
      </c>
      <c r="O437" s="1">
        <v>60</v>
      </c>
      <c r="P437" s="24">
        <v>3.73E-2</v>
      </c>
      <c r="Q437" s="31">
        <f>C437-N437</f>
        <v>-1.9999999999997797E-4</v>
      </c>
      <c r="R437" s="41">
        <f>D437-O437</f>
        <v>0</v>
      </c>
      <c r="S437" s="41">
        <f>E437-P437</f>
        <v>0</v>
      </c>
    </row>
    <row r="438" spans="1:23" x14ac:dyDescent="0.15">
      <c r="A438" s="1">
        <v>6</v>
      </c>
      <c r="B438" s="1">
        <v>12</v>
      </c>
      <c r="C438" s="10">
        <v>0.4798</v>
      </c>
      <c r="D438" s="5">
        <v>60</v>
      </c>
      <c r="E438" s="10">
        <v>4.2299999999999997E-2</v>
      </c>
      <c r="F438" s="5">
        <v>2250</v>
      </c>
      <c r="G438" s="5">
        <v>40</v>
      </c>
      <c r="I438" s="40">
        <f t="shared" si="13"/>
        <v>2250</v>
      </c>
      <c r="J438" s="40">
        <f t="shared" si="14"/>
        <v>40</v>
      </c>
      <c r="K438" s="1">
        <v>2250</v>
      </c>
      <c r="L438" s="1">
        <v>40</v>
      </c>
      <c r="M438">
        <f t="shared" si="15"/>
        <v>0</v>
      </c>
      <c r="N438" s="1">
        <v>0.48</v>
      </c>
      <c r="O438" s="1">
        <v>60</v>
      </c>
      <c r="P438" s="24">
        <v>4.2299999999999997E-2</v>
      </c>
      <c r="Q438" s="31">
        <f>C438-N438</f>
        <v>-1.9999999999997797E-4</v>
      </c>
      <c r="R438" s="41">
        <f>D438-O438</f>
        <v>0</v>
      </c>
      <c r="S438" s="41">
        <f>E438-P438</f>
        <v>0</v>
      </c>
    </row>
    <row r="439" spans="1:23" x14ac:dyDescent="0.15">
      <c r="A439" s="1">
        <v>6</v>
      </c>
      <c r="B439" s="1">
        <v>12</v>
      </c>
      <c r="C439" s="10">
        <v>0.4798</v>
      </c>
      <c r="D439" s="5">
        <v>60</v>
      </c>
      <c r="E439" s="10">
        <v>4.7299999999999995E-2</v>
      </c>
      <c r="F439" s="5">
        <v>2600</v>
      </c>
      <c r="G439" s="5">
        <v>50</v>
      </c>
      <c r="I439" s="40">
        <f t="shared" si="13"/>
        <v>2600</v>
      </c>
      <c r="J439" s="40">
        <f t="shared" si="14"/>
        <v>50</v>
      </c>
      <c r="K439" s="1">
        <v>2600</v>
      </c>
      <c r="L439" s="1">
        <v>50</v>
      </c>
      <c r="M439">
        <f t="shared" si="15"/>
        <v>0</v>
      </c>
      <c r="N439" s="1">
        <v>0.48</v>
      </c>
      <c r="O439" s="1">
        <v>60</v>
      </c>
      <c r="P439" s="24">
        <v>4.7300000000000002E-2</v>
      </c>
      <c r="Q439" s="31">
        <f>C439-N439</f>
        <v>-1.9999999999997797E-4</v>
      </c>
      <c r="R439" s="41">
        <f>D439-O439</f>
        <v>0</v>
      </c>
      <c r="S439" s="41">
        <f>E439-P439</f>
        <v>0</v>
      </c>
    </row>
    <row r="440" spans="1:23" x14ac:dyDescent="0.15">
      <c r="A440" s="1">
        <v>6</v>
      </c>
      <c r="B440" s="1">
        <v>12</v>
      </c>
      <c r="C440" s="10">
        <v>0.4798</v>
      </c>
      <c r="D440" s="5">
        <v>60</v>
      </c>
      <c r="E440" s="10">
        <v>5.2299999999999999E-2</v>
      </c>
      <c r="F440" s="5">
        <v>3140</v>
      </c>
      <c r="G440" s="5">
        <v>60</v>
      </c>
      <c r="I440" s="40">
        <f t="shared" si="13"/>
        <v>3140</v>
      </c>
      <c r="J440" s="40">
        <f t="shared" si="14"/>
        <v>60</v>
      </c>
      <c r="K440" s="1">
        <v>3140</v>
      </c>
      <c r="L440" s="1">
        <v>60</v>
      </c>
      <c r="M440">
        <f t="shared" si="15"/>
        <v>0</v>
      </c>
      <c r="N440" s="1">
        <v>0.48</v>
      </c>
      <c r="O440" s="1">
        <v>60</v>
      </c>
      <c r="P440" s="24">
        <v>5.2299999999999999E-2</v>
      </c>
      <c r="Q440" s="31">
        <f>C440-N440</f>
        <v>-1.9999999999997797E-4</v>
      </c>
      <c r="R440" s="41">
        <f>D440-O440</f>
        <v>0</v>
      </c>
      <c r="S440" s="41">
        <f>E440-P440</f>
        <v>0</v>
      </c>
    </row>
    <row r="441" spans="1:23" x14ac:dyDescent="0.15">
      <c r="A441" s="1">
        <v>6</v>
      </c>
      <c r="B441" s="1">
        <v>12</v>
      </c>
      <c r="C441" s="10">
        <v>0.4798</v>
      </c>
      <c r="D441" s="5">
        <v>60</v>
      </c>
      <c r="E441" s="10">
        <v>5.7299999999999997E-2</v>
      </c>
      <c r="F441" s="5">
        <v>3600</v>
      </c>
      <c r="G441" s="5">
        <v>60</v>
      </c>
      <c r="I441" s="40">
        <f t="shared" ref="I441:I504" si="16">F441</f>
        <v>3600</v>
      </c>
      <c r="J441" s="40">
        <f t="shared" ref="J441:J504" si="17">G441</f>
        <v>60</v>
      </c>
      <c r="K441" s="1">
        <v>3600</v>
      </c>
      <c r="L441" s="1">
        <v>60</v>
      </c>
      <c r="M441">
        <f t="shared" si="15"/>
        <v>0</v>
      </c>
      <c r="N441" s="1">
        <v>0.48</v>
      </c>
      <c r="O441" s="1">
        <v>60</v>
      </c>
      <c r="P441" s="24">
        <v>5.7299999999999997E-2</v>
      </c>
      <c r="Q441" s="31">
        <f>C441-N441</f>
        <v>-1.9999999999997797E-4</v>
      </c>
      <c r="R441" s="41">
        <f>D441-O441</f>
        <v>0</v>
      </c>
      <c r="S441" s="41">
        <f>E441-P441</f>
        <v>0</v>
      </c>
    </row>
    <row r="442" spans="1:23" s="15" customFormat="1" x14ac:dyDescent="0.15">
      <c r="A442" s="1">
        <v>6</v>
      </c>
      <c r="B442" s="1">
        <v>12</v>
      </c>
      <c r="C442" s="10">
        <v>0.4798</v>
      </c>
      <c r="D442" s="5">
        <v>60</v>
      </c>
      <c r="E442" s="10">
        <v>6.2299999999999994E-2</v>
      </c>
      <c r="F442" s="5">
        <v>4150</v>
      </c>
      <c r="G442" s="5">
        <v>70</v>
      </c>
      <c r="H442" s="12"/>
      <c r="I442" s="40">
        <f t="shared" si="16"/>
        <v>4150</v>
      </c>
      <c r="J442" s="40">
        <f t="shared" si="17"/>
        <v>70</v>
      </c>
      <c r="K442" s="1">
        <v>4150</v>
      </c>
      <c r="L442" s="1">
        <v>70</v>
      </c>
      <c r="M442">
        <f t="shared" si="15"/>
        <v>0</v>
      </c>
      <c r="N442" s="1">
        <v>0.48</v>
      </c>
      <c r="O442" s="1">
        <v>60</v>
      </c>
      <c r="P442" s="24">
        <v>6.2300000000000001E-2</v>
      </c>
      <c r="Q442" s="31">
        <f>C442-N442</f>
        <v>-1.9999999999997797E-4</v>
      </c>
      <c r="R442" s="41">
        <f>D442-O442</f>
        <v>0</v>
      </c>
      <c r="S442" s="41">
        <f>E442-P442</f>
        <v>0</v>
      </c>
      <c r="U442" s="12"/>
      <c r="V442" s="12"/>
      <c r="W442" s="12"/>
    </row>
    <row r="443" spans="1:23" x14ac:dyDescent="0.15">
      <c r="A443" s="1">
        <v>6</v>
      </c>
      <c r="B443" s="1">
        <v>12</v>
      </c>
      <c r="C443" s="10">
        <v>0.4798</v>
      </c>
      <c r="D443" s="5">
        <v>60</v>
      </c>
      <c r="E443" s="10">
        <v>6.7299999999999999E-2</v>
      </c>
      <c r="F443" s="5">
        <v>4780</v>
      </c>
      <c r="G443" s="5">
        <v>80</v>
      </c>
      <c r="I443" s="40">
        <f t="shared" si="16"/>
        <v>4780</v>
      </c>
      <c r="J443" s="40">
        <f t="shared" si="17"/>
        <v>80</v>
      </c>
      <c r="K443" s="1">
        <v>4780</v>
      </c>
      <c r="L443" s="1">
        <v>80</v>
      </c>
      <c r="M443">
        <f t="shared" si="15"/>
        <v>0</v>
      </c>
      <c r="N443" s="1">
        <v>0.48</v>
      </c>
      <c r="O443" s="1">
        <v>60</v>
      </c>
      <c r="P443" s="24">
        <v>6.7299999999999999E-2</v>
      </c>
      <c r="Q443" s="31">
        <f>C443-N443</f>
        <v>-1.9999999999997797E-4</v>
      </c>
      <c r="R443" s="41">
        <f>D443-O443</f>
        <v>0</v>
      </c>
      <c r="S443" s="41">
        <f>E443-P443</f>
        <v>0</v>
      </c>
    </row>
    <row r="444" spans="1:23" x14ac:dyDescent="0.15">
      <c r="A444" s="1">
        <v>6</v>
      </c>
      <c r="B444" s="1">
        <v>12</v>
      </c>
      <c r="C444" s="10">
        <v>0.4798</v>
      </c>
      <c r="D444" s="5">
        <v>60</v>
      </c>
      <c r="E444" s="10">
        <v>7.2300000000000003E-2</v>
      </c>
      <c r="F444" s="5">
        <v>5270</v>
      </c>
      <c r="G444" s="5">
        <v>90</v>
      </c>
      <c r="I444" s="40">
        <f t="shared" si="16"/>
        <v>5270</v>
      </c>
      <c r="J444" s="40">
        <f t="shared" si="17"/>
        <v>90</v>
      </c>
      <c r="K444" s="1">
        <v>5270</v>
      </c>
      <c r="L444" s="1">
        <v>90</v>
      </c>
      <c r="M444">
        <f t="shared" si="15"/>
        <v>0</v>
      </c>
      <c r="N444" s="1">
        <v>0.48</v>
      </c>
      <c r="O444" s="1">
        <v>60</v>
      </c>
      <c r="P444" s="24">
        <v>7.2300000000000003E-2</v>
      </c>
      <c r="Q444" s="31">
        <f>C444-N444</f>
        <v>-1.9999999999997797E-4</v>
      </c>
      <c r="R444" s="41">
        <f>D444-O444</f>
        <v>0</v>
      </c>
      <c r="S444" s="41">
        <f>E444-P444</f>
        <v>0</v>
      </c>
    </row>
    <row r="445" spans="1:23" x14ac:dyDescent="0.15">
      <c r="A445" s="1">
        <v>6</v>
      </c>
      <c r="B445" s="1">
        <v>12</v>
      </c>
      <c r="C445" s="10">
        <v>0.4798</v>
      </c>
      <c r="D445" s="5">
        <v>60</v>
      </c>
      <c r="E445" s="10">
        <v>7.7299999999999994E-2</v>
      </c>
      <c r="F445" s="5">
        <v>5740</v>
      </c>
      <c r="G445" s="5">
        <v>100</v>
      </c>
      <c r="I445" s="40">
        <f t="shared" si="16"/>
        <v>5740</v>
      </c>
      <c r="J445" s="40">
        <f t="shared" si="17"/>
        <v>100</v>
      </c>
      <c r="K445" s="1">
        <v>5740</v>
      </c>
      <c r="L445" s="1">
        <v>100</v>
      </c>
      <c r="M445">
        <f t="shared" si="15"/>
        <v>0</v>
      </c>
      <c r="N445" s="1">
        <v>0.48</v>
      </c>
      <c r="O445" s="1">
        <v>60</v>
      </c>
      <c r="P445" s="24">
        <v>7.7299999999999994E-2</v>
      </c>
      <c r="Q445" s="31">
        <f>C445-N445</f>
        <v>-1.9999999999997797E-4</v>
      </c>
      <c r="R445" s="41">
        <f>D445-O445</f>
        <v>0</v>
      </c>
      <c r="S445" s="41">
        <f>E445-P445</f>
        <v>0</v>
      </c>
    </row>
    <row r="446" spans="1:23" x14ac:dyDescent="0.15">
      <c r="A446" s="1">
        <v>6</v>
      </c>
      <c r="B446" s="1">
        <v>12</v>
      </c>
      <c r="C446" s="10">
        <v>0.4798</v>
      </c>
      <c r="D446" s="5">
        <v>60</v>
      </c>
      <c r="E446" s="10">
        <v>8.2299999999999998E-2</v>
      </c>
      <c r="F446" s="5">
        <v>6260</v>
      </c>
      <c r="G446" s="5">
        <v>100</v>
      </c>
      <c r="I446" s="40">
        <f t="shared" si="16"/>
        <v>6260</v>
      </c>
      <c r="J446" s="40">
        <f t="shared" si="17"/>
        <v>100</v>
      </c>
      <c r="K446" s="1">
        <v>6260</v>
      </c>
      <c r="L446" s="1">
        <v>100</v>
      </c>
      <c r="M446">
        <f t="shared" si="15"/>
        <v>0</v>
      </c>
      <c r="N446" s="1">
        <v>0.48</v>
      </c>
      <c r="O446" s="1">
        <v>60</v>
      </c>
      <c r="P446" s="24">
        <v>8.2299999999999998E-2</v>
      </c>
      <c r="Q446" s="31">
        <f>C446-N446</f>
        <v>-1.9999999999997797E-4</v>
      </c>
      <c r="R446" s="41">
        <f>D446-O446</f>
        <v>0</v>
      </c>
      <c r="S446" s="41">
        <f>E446-P446</f>
        <v>0</v>
      </c>
    </row>
    <row r="447" spans="1:23" ht="14" thickBot="1" x14ac:dyDescent="0.2">
      <c r="A447" s="1">
        <v>6</v>
      </c>
      <c r="B447" s="1">
        <v>12</v>
      </c>
      <c r="C447" s="10">
        <v>0.4798</v>
      </c>
      <c r="D447" s="5">
        <v>60</v>
      </c>
      <c r="E447" s="10">
        <v>8.7300000000000003E-2</v>
      </c>
      <c r="F447" s="5">
        <v>6660</v>
      </c>
      <c r="G447" s="5">
        <v>110</v>
      </c>
      <c r="I447" s="40">
        <f t="shared" si="16"/>
        <v>6660</v>
      </c>
      <c r="J447" s="40">
        <f t="shared" si="17"/>
        <v>110</v>
      </c>
      <c r="K447" s="1">
        <v>6660</v>
      </c>
      <c r="L447" s="1">
        <v>110</v>
      </c>
      <c r="M447">
        <f t="shared" si="15"/>
        <v>0</v>
      </c>
      <c r="N447" s="1">
        <v>0.48</v>
      </c>
      <c r="O447" s="1">
        <v>60</v>
      </c>
      <c r="P447" s="44">
        <v>8.7300000000000003E-2</v>
      </c>
      <c r="Q447" s="31">
        <f>C447-N447</f>
        <v>-1.9999999999997797E-4</v>
      </c>
      <c r="R447" s="41">
        <f>D447-O447</f>
        <v>0</v>
      </c>
      <c r="S447" s="41">
        <f>E447-P447</f>
        <v>0</v>
      </c>
    </row>
    <row r="448" spans="1:23" ht="14" thickTop="1" x14ac:dyDescent="0.15">
      <c r="A448" s="1">
        <v>6</v>
      </c>
      <c r="B448" s="1">
        <v>12</v>
      </c>
      <c r="C448" s="10">
        <v>0.4798</v>
      </c>
      <c r="D448" s="5">
        <v>60</v>
      </c>
      <c r="E448" s="10">
        <v>9.2299999999999993E-2</v>
      </c>
      <c r="F448" s="5">
        <v>6990</v>
      </c>
      <c r="G448" s="5">
        <v>120</v>
      </c>
      <c r="I448" s="40">
        <f t="shared" si="16"/>
        <v>6990</v>
      </c>
      <c r="J448" s="40">
        <f t="shared" si="17"/>
        <v>120</v>
      </c>
      <c r="K448" s="1">
        <v>6990</v>
      </c>
      <c r="L448" s="1">
        <v>120</v>
      </c>
      <c r="M448">
        <f t="shared" si="15"/>
        <v>0</v>
      </c>
      <c r="N448" s="1">
        <v>0.48</v>
      </c>
      <c r="O448" s="1">
        <v>60</v>
      </c>
      <c r="P448" s="24">
        <v>9.2299999999999993E-2</v>
      </c>
      <c r="Q448" s="31">
        <f>C448-N448</f>
        <v>-1.9999999999997797E-4</v>
      </c>
      <c r="R448" s="41">
        <f>D448-O448</f>
        <v>0</v>
      </c>
      <c r="S448" s="41">
        <f>E448-P448</f>
        <v>0</v>
      </c>
    </row>
    <row r="449" spans="1:19" x14ac:dyDescent="0.15">
      <c r="A449" s="1">
        <v>6</v>
      </c>
      <c r="B449" s="1">
        <v>12</v>
      </c>
      <c r="C449" s="10">
        <v>0.4798</v>
      </c>
      <c r="D449" s="5">
        <v>60</v>
      </c>
      <c r="E449" s="10">
        <v>9.7299999999999998E-2</v>
      </c>
      <c r="F449" s="5">
        <v>7510</v>
      </c>
      <c r="G449" s="5">
        <v>130</v>
      </c>
      <c r="I449" s="40">
        <f t="shared" si="16"/>
        <v>7510</v>
      </c>
      <c r="J449" s="40">
        <f t="shared" si="17"/>
        <v>130</v>
      </c>
      <c r="K449" s="1">
        <v>7510</v>
      </c>
      <c r="L449" s="1">
        <v>130</v>
      </c>
      <c r="M449">
        <f t="shared" si="15"/>
        <v>0</v>
      </c>
      <c r="N449" s="1">
        <v>0.48</v>
      </c>
      <c r="O449" s="1">
        <v>60</v>
      </c>
      <c r="P449" s="24">
        <v>9.7299999999999998E-2</v>
      </c>
      <c r="Q449" s="31">
        <f>C449-N449</f>
        <v>-1.9999999999997797E-4</v>
      </c>
      <c r="R449" s="41">
        <f>D449-O449</f>
        <v>0</v>
      </c>
      <c r="S449" s="41">
        <f>E449-P449</f>
        <v>0</v>
      </c>
    </row>
    <row r="450" spans="1:19" x14ac:dyDescent="0.15">
      <c r="A450" s="1">
        <v>6</v>
      </c>
      <c r="B450" s="1">
        <v>12</v>
      </c>
      <c r="C450" s="10">
        <v>0.4798</v>
      </c>
      <c r="D450" s="5">
        <v>60</v>
      </c>
      <c r="E450" s="10">
        <v>0.1023</v>
      </c>
      <c r="F450" s="5">
        <v>7690</v>
      </c>
      <c r="G450" s="5">
        <v>130</v>
      </c>
      <c r="I450" s="40">
        <f t="shared" si="16"/>
        <v>7690</v>
      </c>
      <c r="J450" s="40">
        <f t="shared" si="17"/>
        <v>130</v>
      </c>
      <c r="K450" s="1">
        <v>7690</v>
      </c>
      <c r="L450" s="1">
        <v>130</v>
      </c>
      <c r="M450">
        <f t="shared" si="15"/>
        <v>0</v>
      </c>
      <c r="N450" s="1">
        <v>0.48</v>
      </c>
      <c r="O450" s="1">
        <v>60</v>
      </c>
      <c r="P450" s="24">
        <v>0.1023</v>
      </c>
      <c r="Q450" s="31">
        <f>C450-N450</f>
        <v>-1.9999999999997797E-4</v>
      </c>
      <c r="R450" s="41">
        <f>D450-O450</f>
        <v>0</v>
      </c>
      <c r="S450" s="41">
        <f>E450-P450</f>
        <v>0</v>
      </c>
    </row>
    <row r="451" spans="1:19" x14ac:dyDescent="0.15">
      <c r="A451" s="1">
        <v>6</v>
      </c>
      <c r="B451" s="1">
        <v>12</v>
      </c>
      <c r="C451" s="10">
        <v>0.4798</v>
      </c>
      <c r="D451" s="5">
        <v>60</v>
      </c>
      <c r="E451" s="10">
        <v>0.10729999999999999</v>
      </c>
      <c r="F451" s="5">
        <v>7890</v>
      </c>
      <c r="G451" s="5">
        <v>130</v>
      </c>
      <c r="I451" s="40">
        <f t="shared" si="16"/>
        <v>7890</v>
      </c>
      <c r="J451" s="40">
        <f t="shared" si="17"/>
        <v>130</v>
      </c>
      <c r="K451" s="1">
        <v>7890</v>
      </c>
      <c r="L451" s="1">
        <v>140</v>
      </c>
      <c r="M451">
        <f t="shared" ref="M451:M514" si="18">I451+J451-K451-L451</f>
        <v>-10</v>
      </c>
      <c r="N451" s="1">
        <v>0.48</v>
      </c>
      <c r="O451" s="1">
        <v>60</v>
      </c>
      <c r="P451" s="24">
        <v>0.10730000000000001</v>
      </c>
      <c r="Q451" s="31">
        <f>C451-N451</f>
        <v>-1.9999999999997797E-4</v>
      </c>
      <c r="R451" s="41">
        <f>D451-O451</f>
        <v>0</v>
      </c>
      <c r="S451" s="41">
        <f>E451-P451</f>
        <v>0</v>
      </c>
    </row>
    <row r="452" spans="1:19" x14ac:dyDescent="0.15">
      <c r="A452" s="1">
        <v>6</v>
      </c>
      <c r="B452" s="1">
        <v>12</v>
      </c>
      <c r="C452" s="10">
        <v>0.4798</v>
      </c>
      <c r="D452" s="5">
        <v>60</v>
      </c>
      <c r="E452" s="10">
        <v>0.1123</v>
      </c>
      <c r="F452" s="5">
        <v>8189.9999999999991</v>
      </c>
      <c r="G452" s="5">
        <v>140</v>
      </c>
      <c r="I452" s="40">
        <f t="shared" si="16"/>
        <v>8189.9999999999991</v>
      </c>
      <c r="J452" s="40">
        <f t="shared" si="17"/>
        <v>140</v>
      </c>
      <c r="K452" s="1">
        <v>8190</v>
      </c>
      <c r="L452" s="1">
        <v>140</v>
      </c>
      <c r="M452">
        <f t="shared" si="18"/>
        <v>0</v>
      </c>
      <c r="N452" s="1">
        <v>0.48</v>
      </c>
      <c r="O452" s="1">
        <v>60</v>
      </c>
      <c r="P452" s="24">
        <v>0.1123</v>
      </c>
      <c r="Q452" s="31">
        <f>C452-N452</f>
        <v>-1.9999999999997797E-4</v>
      </c>
      <c r="R452" s="41">
        <f>D452-O452</f>
        <v>0</v>
      </c>
      <c r="S452" s="41">
        <f>E452-P452</f>
        <v>0</v>
      </c>
    </row>
    <row r="453" spans="1:19" x14ac:dyDescent="0.15">
      <c r="A453" s="1">
        <v>6</v>
      </c>
      <c r="B453" s="1">
        <v>12</v>
      </c>
      <c r="C453" s="10">
        <v>0.4798</v>
      </c>
      <c r="D453" s="5">
        <v>60</v>
      </c>
      <c r="E453" s="10">
        <v>0.1173</v>
      </c>
      <c r="F453" s="5">
        <v>8010</v>
      </c>
      <c r="G453" s="5">
        <v>150</v>
      </c>
      <c r="I453" s="40">
        <f t="shared" si="16"/>
        <v>8010</v>
      </c>
      <c r="J453" s="40">
        <f t="shared" si="17"/>
        <v>150</v>
      </c>
      <c r="K453" s="1">
        <v>8010</v>
      </c>
      <c r="L453" s="1">
        <v>150</v>
      </c>
      <c r="M453">
        <f t="shared" si="18"/>
        <v>0</v>
      </c>
      <c r="N453" s="1">
        <v>0.48</v>
      </c>
      <c r="O453" s="1">
        <v>60</v>
      </c>
      <c r="P453" s="24">
        <v>0.1173</v>
      </c>
      <c r="Q453" s="31">
        <f>C453-N453</f>
        <v>-1.9999999999997797E-4</v>
      </c>
      <c r="R453" s="41">
        <f>D453-O453</f>
        <v>0</v>
      </c>
      <c r="S453" s="41">
        <f>E453-P453</f>
        <v>0</v>
      </c>
    </row>
    <row r="454" spans="1:19" x14ac:dyDescent="0.15">
      <c r="A454" s="1">
        <v>6</v>
      </c>
      <c r="B454" s="1">
        <v>12</v>
      </c>
      <c r="C454" s="10">
        <v>0.4798</v>
      </c>
      <c r="D454" s="5">
        <v>60</v>
      </c>
      <c r="E454" s="10">
        <v>0.12229999999999999</v>
      </c>
      <c r="F454" s="5">
        <v>8119.9999999999991</v>
      </c>
      <c r="G454" s="5">
        <v>150</v>
      </c>
      <c r="I454" s="40">
        <f t="shared" si="16"/>
        <v>8119.9999999999991</v>
      </c>
      <c r="J454" s="40">
        <f t="shared" si="17"/>
        <v>150</v>
      </c>
      <c r="K454" s="1">
        <v>8120</v>
      </c>
      <c r="L454" s="1">
        <v>150</v>
      </c>
      <c r="M454">
        <f t="shared" si="18"/>
        <v>0</v>
      </c>
      <c r="N454" s="1">
        <v>0.48</v>
      </c>
      <c r="O454" s="1">
        <v>60</v>
      </c>
      <c r="P454" s="24">
        <v>0.12230000000000001</v>
      </c>
      <c r="Q454" s="31">
        <f>C454-N454</f>
        <v>-1.9999999999997797E-4</v>
      </c>
      <c r="R454" s="41">
        <f>D454-O454</f>
        <v>0</v>
      </c>
      <c r="S454" s="41">
        <f>E454-P454</f>
        <v>0</v>
      </c>
    </row>
    <row r="455" spans="1:19" x14ac:dyDescent="0.15">
      <c r="A455" s="1">
        <v>6</v>
      </c>
      <c r="B455" s="1">
        <v>12</v>
      </c>
      <c r="C455" s="10">
        <v>0.4798</v>
      </c>
      <c r="D455" s="5">
        <v>60</v>
      </c>
      <c r="E455" s="10">
        <v>0.1273</v>
      </c>
      <c r="F455" s="5">
        <v>8150</v>
      </c>
      <c r="G455" s="5">
        <v>150</v>
      </c>
      <c r="I455" s="40">
        <f t="shared" si="16"/>
        <v>8150</v>
      </c>
      <c r="J455" s="40">
        <f t="shared" si="17"/>
        <v>150</v>
      </c>
      <c r="K455" s="1">
        <v>8150</v>
      </c>
      <c r="L455" s="1">
        <v>150</v>
      </c>
      <c r="M455">
        <f t="shared" si="18"/>
        <v>0</v>
      </c>
      <c r="N455" s="1">
        <v>0.48</v>
      </c>
      <c r="O455" s="1">
        <v>60</v>
      </c>
      <c r="P455" s="24">
        <v>0.1273</v>
      </c>
      <c r="Q455" s="31">
        <f>C455-N455</f>
        <v>-1.9999999999997797E-4</v>
      </c>
      <c r="R455" s="41">
        <f>D455-O455</f>
        <v>0</v>
      </c>
      <c r="S455" s="41">
        <f>E455-P455</f>
        <v>0</v>
      </c>
    </row>
    <row r="456" spans="1:19" x14ac:dyDescent="0.15">
      <c r="A456" s="1">
        <v>6</v>
      </c>
      <c r="B456" s="1">
        <v>12</v>
      </c>
      <c r="C456" s="10">
        <v>0.4798</v>
      </c>
      <c r="D456" s="5">
        <v>60</v>
      </c>
      <c r="E456" s="10">
        <v>0.1323</v>
      </c>
      <c r="F456" s="5">
        <v>7930</v>
      </c>
      <c r="G456" s="5">
        <v>150</v>
      </c>
      <c r="I456" s="40">
        <f t="shared" si="16"/>
        <v>7930</v>
      </c>
      <c r="J456" s="40">
        <f t="shared" si="17"/>
        <v>150</v>
      </c>
      <c r="K456" s="1">
        <v>7930</v>
      </c>
      <c r="L456" s="1">
        <v>150</v>
      </c>
      <c r="M456">
        <f t="shared" si="18"/>
        <v>0</v>
      </c>
      <c r="N456" s="1">
        <v>0.48</v>
      </c>
      <c r="O456" s="1">
        <v>60</v>
      </c>
      <c r="P456" s="24">
        <v>0.1323</v>
      </c>
      <c r="Q456" s="31">
        <f>C456-N456</f>
        <v>-1.9999999999997797E-4</v>
      </c>
      <c r="R456" s="41">
        <f>D456-O456</f>
        <v>0</v>
      </c>
      <c r="S456" s="41">
        <f>E456-P456</f>
        <v>0</v>
      </c>
    </row>
    <row r="457" spans="1:19" x14ac:dyDescent="0.15">
      <c r="A457" s="1">
        <v>6</v>
      </c>
      <c r="B457" s="1">
        <v>12</v>
      </c>
      <c r="C457" s="10">
        <v>0.4798</v>
      </c>
      <c r="D457" s="5">
        <v>60</v>
      </c>
      <c r="E457" s="10">
        <v>0.13730000000000001</v>
      </c>
      <c r="F457" s="5">
        <v>7650</v>
      </c>
      <c r="G457" s="5">
        <v>150</v>
      </c>
      <c r="I457" s="40">
        <f t="shared" si="16"/>
        <v>7650</v>
      </c>
      <c r="J457" s="40">
        <f t="shared" si="17"/>
        <v>150</v>
      </c>
      <c r="K457" s="1">
        <v>7650</v>
      </c>
      <c r="L457" s="1">
        <v>150</v>
      </c>
      <c r="M457">
        <f t="shared" si="18"/>
        <v>0</v>
      </c>
      <c r="N457" s="1">
        <v>0.48</v>
      </c>
      <c r="O457" s="1">
        <v>60</v>
      </c>
      <c r="P457" s="24">
        <v>0.13730000000000001</v>
      </c>
      <c r="Q457" s="31">
        <f>C457-N457</f>
        <v>-1.9999999999997797E-4</v>
      </c>
      <c r="R457" s="41">
        <f>D457-O457</f>
        <v>0</v>
      </c>
      <c r="S457" s="41">
        <f>E457-P457</f>
        <v>0</v>
      </c>
    </row>
    <row r="458" spans="1:19" x14ac:dyDescent="0.15">
      <c r="A458" s="1">
        <v>6</v>
      </c>
      <c r="B458" s="1">
        <v>12</v>
      </c>
      <c r="C458" s="10">
        <v>0.4798</v>
      </c>
      <c r="D458" s="5">
        <v>60</v>
      </c>
      <c r="E458" s="10">
        <v>0.14230000000000001</v>
      </c>
      <c r="F458" s="5">
        <v>7140</v>
      </c>
      <c r="G458" s="5">
        <v>150</v>
      </c>
      <c r="I458" s="40">
        <f t="shared" si="16"/>
        <v>7140</v>
      </c>
      <c r="J458" s="40">
        <f t="shared" si="17"/>
        <v>150</v>
      </c>
      <c r="K458" s="1">
        <v>7140</v>
      </c>
      <c r="L458" s="1">
        <v>150</v>
      </c>
      <c r="M458">
        <f t="shared" si="18"/>
        <v>0</v>
      </c>
      <c r="N458" s="1">
        <v>0.48</v>
      </c>
      <c r="O458" s="1">
        <v>60</v>
      </c>
      <c r="P458" s="24">
        <v>0.14230000000000001</v>
      </c>
      <c r="Q458" s="31">
        <f>C458-N458</f>
        <v>-1.9999999999997797E-4</v>
      </c>
      <c r="R458" s="41">
        <f>D458-O458</f>
        <v>0</v>
      </c>
      <c r="S458" s="41">
        <f>E458-P458</f>
        <v>0</v>
      </c>
    </row>
    <row r="459" spans="1:19" x14ac:dyDescent="0.15">
      <c r="A459" s="1">
        <v>6</v>
      </c>
      <c r="B459" s="1">
        <v>12</v>
      </c>
      <c r="C459" s="10">
        <v>0.4798</v>
      </c>
      <c r="D459" s="5">
        <v>60</v>
      </c>
      <c r="E459" s="10">
        <v>0.14730000000000001</v>
      </c>
      <c r="F459" s="5">
        <v>6640</v>
      </c>
      <c r="G459" s="5">
        <v>140</v>
      </c>
      <c r="I459" s="40">
        <f t="shared" si="16"/>
        <v>6640</v>
      </c>
      <c r="J459" s="40">
        <f t="shared" si="17"/>
        <v>140</v>
      </c>
      <c r="K459" s="1">
        <v>6640</v>
      </c>
      <c r="L459" s="1">
        <v>140</v>
      </c>
      <c r="M459">
        <f t="shared" si="18"/>
        <v>0</v>
      </c>
      <c r="N459" s="1">
        <v>0.48</v>
      </c>
      <c r="O459" s="1">
        <v>60</v>
      </c>
      <c r="P459" s="24">
        <v>0.14729999999999999</v>
      </c>
      <c r="Q459" s="31">
        <f>C459-N459</f>
        <v>-1.9999999999997797E-4</v>
      </c>
      <c r="R459" s="41">
        <f>D459-O459</f>
        <v>0</v>
      </c>
      <c r="S459" s="41">
        <f>E459-P459</f>
        <v>0</v>
      </c>
    </row>
    <row r="460" spans="1:19" x14ac:dyDescent="0.15">
      <c r="A460" s="1">
        <v>6</v>
      </c>
      <c r="B460" s="1">
        <v>12</v>
      </c>
      <c r="C460" s="10">
        <v>0.4798</v>
      </c>
      <c r="D460" s="5">
        <v>60</v>
      </c>
      <c r="E460" s="10">
        <v>0.15230000000000002</v>
      </c>
      <c r="F460" s="5">
        <v>6290</v>
      </c>
      <c r="G460" s="5">
        <v>140</v>
      </c>
      <c r="I460" s="40">
        <f t="shared" si="16"/>
        <v>6290</v>
      </c>
      <c r="J460" s="40">
        <f t="shared" si="17"/>
        <v>140</v>
      </c>
      <c r="K460" s="1">
        <v>6290</v>
      </c>
      <c r="L460" s="1">
        <v>140</v>
      </c>
      <c r="M460">
        <f t="shared" si="18"/>
        <v>0</v>
      </c>
      <c r="N460" s="1">
        <v>0.48</v>
      </c>
      <c r="O460" s="1">
        <v>60</v>
      </c>
      <c r="P460" s="24">
        <v>0.15229999999999999</v>
      </c>
      <c r="Q460" s="31">
        <f>C460-N460</f>
        <v>-1.9999999999997797E-4</v>
      </c>
      <c r="R460" s="41">
        <f>D460-O460</f>
        <v>0</v>
      </c>
      <c r="S460" s="41">
        <f>E460-P460</f>
        <v>0</v>
      </c>
    </row>
    <row r="461" spans="1:19" x14ac:dyDescent="0.15">
      <c r="A461" s="1">
        <v>6</v>
      </c>
      <c r="B461" s="1">
        <v>12</v>
      </c>
      <c r="C461" s="10">
        <v>0.4798</v>
      </c>
      <c r="D461" s="5">
        <v>60</v>
      </c>
      <c r="E461" s="10">
        <v>0.15730000000000002</v>
      </c>
      <c r="F461" s="5">
        <v>5860</v>
      </c>
      <c r="G461" s="5">
        <v>140</v>
      </c>
      <c r="I461" s="40">
        <f t="shared" si="16"/>
        <v>5860</v>
      </c>
      <c r="J461" s="40">
        <f t="shared" si="17"/>
        <v>140</v>
      </c>
      <c r="K461" s="1">
        <v>5860</v>
      </c>
      <c r="L461" s="1">
        <v>140</v>
      </c>
      <c r="M461">
        <f t="shared" si="18"/>
        <v>0</v>
      </c>
      <c r="N461" s="1">
        <v>0.48</v>
      </c>
      <c r="O461" s="1">
        <v>60</v>
      </c>
      <c r="P461" s="24">
        <v>0.1573</v>
      </c>
      <c r="Q461" s="31">
        <f>C461-N461</f>
        <v>-1.9999999999997797E-4</v>
      </c>
      <c r="R461" s="41">
        <f>D461-O461</f>
        <v>0</v>
      </c>
      <c r="S461" s="41">
        <f>E461-P461</f>
        <v>0</v>
      </c>
    </row>
    <row r="462" spans="1:19" x14ac:dyDescent="0.15">
      <c r="A462" s="1">
        <v>6</v>
      </c>
      <c r="B462" s="1">
        <v>12</v>
      </c>
      <c r="C462" s="10">
        <v>0.4798</v>
      </c>
      <c r="D462" s="5">
        <v>60</v>
      </c>
      <c r="E462" s="10">
        <v>0.1623</v>
      </c>
      <c r="F462" s="5">
        <v>5500</v>
      </c>
      <c r="G462" s="5">
        <v>130</v>
      </c>
      <c r="I462" s="40">
        <f t="shared" si="16"/>
        <v>5500</v>
      </c>
      <c r="J462" s="40">
        <f t="shared" si="17"/>
        <v>130</v>
      </c>
      <c r="K462" s="1">
        <v>5500</v>
      </c>
      <c r="L462" s="1">
        <v>130</v>
      </c>
      <c r="M462">
        <f t="shared" si="18"/>
        <v>0</v>
      </c>
      <c r="N462" s="1">
        <v>0.48</v>
      </c>
      <c r="O462" s="1">
        <v>60</v>
      </c>
      <c r="P462" s="24">
        <v>0.1623</v>
      </c>
      <c r="Q462" s="31">
        <f>C462-N462</f>
        <v>-1.9999999999997797E-4</v>
      </c>
      <c r="R462" s="41">
        <f>D462-O462</f>
        <v>0</v>
      </c>
      <c r="S462" s="41">
        <f>E462-P462</f>
        <v>0</v>
      </c>
    </row>
    <row r="463" spans="1:19" x14ac:dyDescent="0.15">
      <c r="A463" s="1">
        <v>6</v>
      </c>
      <c r="B463" s="1">
        <v>12</v>
      </c>
      <c r="C463" s="10">
        <v>0.4798</v>
      </c>
      <c r="D463" s="5">
        <v>60</v>
      </c>
      <c r="E463" s="10">
        <v>0.1673</v>
      </c>
      <c r="F463" s="5">
        <v>5170</v>
      </c>
      <c r="G463" s="5">
        <v>120</v>
      </c>
      <c r="I463" s="40">
        <f t="shared" si="16"/>
        <v>5170</v>
      </c>
      <c r="J463" s="40">
        <f t="shared" si="17"/>
        <v>120</v>
      </c>
      <c r="K463" s="1">
        <v>5170</v>
      </c>
      <c r="L463" s="1">
        <v>120</v>
      </c>
      <c r="M463">
        <f t="shared" si="18"/>
        <v>0</v>
      </c>
      <c r="N463" s="1">
        <v>0.48</v>
      </c>
      <c r="O463" s="1">
        <v>60</v>
      </c>
      <c r="P463" s="24">
        <v>0.1673</v>
      </c>
      <c r="Q463" s="31">
        <f>C463-N463</f>
        <v>-1.9999999999997797E-4</v>
      </c>
      <c r="R463" s="41">
        <f>D463-O463</f>
        <v>0</v>
      </c>
      <c r="S463" s="41">
        <f>E463-P463</f>
        <v>0</v>
      </c>
    </row>
    <row r="464" spans="1:19" x14ac:dyDescent="0.15">
      <c r="A464" s="1">
        <v>6</v>
      </c>
      <c r="B464" s="1">
        <v>12</v>
      </c>
      <c r="C464" s="10">
        <v>0.4798</v>
      </c>
      <c r="D464" s="5">
        <v>60</v>
      </c>
      <c r="E464" s="10">
        <v>0.17230000000000001</v>
      </c>
      <c r="F464" s="5">
        <v>4680</v>
      </c>
      <c r="G464" s="5">
        <v>110</v>
      </c>
      <c r="I464" s="40">
        <f t="shared" si="16"/>
        <v>4680</v>
      </c>
      <c r="J464" s="40">
        <f t="shared" si="17"/>
        <v>110</v>
      </c>
      <c r="K464" s="1">
        <v>4680</v>
      </c>
      <c r="L464" s="1">
        <v>110</v>
      </c>
      <c r="M464">
        <f t="shared" si="18"/>
        <v>0</v>
      </c>
      <c r="N464" s="1">
        <v>0.48</v>
      </c>
      <c r="O464" s="1">
        <v>60</v>
      </c>
      <c r="P464" s="24">
        <v>0.17230000000000001</v>
      </c>
      <c r="Q464" s="31">
        <f>C464-N464</f>
        <v>-1.9999999999997797E-4</v>
      </c>
      <c r="R464" s="41">
        <f>D464-O464</f>
        <v>0</v>
      </c>
      <c r="S464" s="41">
        <f>E464-P464</f>
        <v>0</v>
      </c>
    </row>
    <row r="465" spans="1:19" x14ac:dyDescent="0.15">
      <c r="A465" s="1">
        <v>6</v>
      </c>
      <c r="B465" s="1">
        <v>12</v>
      </c>
      <c r="C465" s="10">
        <v>0.4798</v>
      </c>
      <c r="D465" s="5">
        <v>60</v>
      </c>
      <c r="E465" s="10">
        <v>0.17730000000000001</v>
      </c>
      <c r="F465" s="5">
        <v>4330</v>
      </c>
      <c r="G465" s="5">
        <v>110</v>
      </c>
      <c r="I465" s="40">
        <f t="shared" si="16"/>
        <v>4330</v>
      </c>
      <c r="J465" s="40">
        <f t="shared" si="17"/>
        <v>110</v>
      </c>
      <c r="K465" s="1">
        <v>4330</v>
      </c>
      <c r="L465" s="1">
        <v>110</v>
      </c>
      <c r="M465">
        <f t="shared" si="18"/>
        <v>0</v>
      </c>
      <c r="N465" s="1">
        <v>0.48</v>
      </c>
      <c r="O465" s="1">
        <v>60</v>
      </c>
      <c r="P465" s="24">
        <v>0.17730000000000001</v>
      </c>
      <c r="Q465" s="31">
        <f>C465-N465</f>
        <v>-1.9999999999997797E-4</v>
      </c>
      <c r="R465" s="41">
        <f>D465-O465</f>
        <v>0</v>
      </c>
      <c r="S465" s="41">
        <f>E465-P465</f>
        <v>0</v>
      </c>
    </row>
    <row r="466" spans="1:19" x14ac:dyDescent="0.15">
      <c r="A466" s="1">
        <v>6</v>
      </c>
      <c r="B466" s="1">
        <v>12</v>
      </c>
      <c r="C466" s="10">
        <v>0.4798</v>
      </c>
      <c r="D466" s="5">
        <v>60</v>
      </c>
      <c r="E466" s="10">
        <v>0.18230000000000002</v>
      </c>
      <c r="F466" s="5">
        <v>3990</v>
      </c>
      <c r="G466" s="5">
        <v>110</v>
      </c>
      <c r="I466" s="40">
        <f t="shared" si="16"/>
        <v>3990</v>
      </c>
      <c r="J466" s="40">
        <f t="shared" si="17"/>
        <v>110</v>
      </c>
      <c r="K466" s="1">
        <v>3990</v>
      </c>
      <c r="L466" s="1">
        <v>110</v>
      </c>
      <c r="M466">
        <f t="shared" si="18"/>
        <v>0</v>
      </c>
      <c r="N466" s="1">
        <v>0.48</v>
      </c>
      <c r="O466" s="1">
        <v>60</v>
      </c>
      <c r="P466" s="24">
        <v>0.18229999999999999</v>
      </c>
      <c r="Q466" s="31">
        <f>C466-N466</f>
        <v>-1.9999999999997797E-4</v>
      </c>
      <c r="R466" s="41">
        <f>D466-O466</f>
        <v>0</v>
      </c>
      <c r="S466" s="41">
        <f>E466-P466</f>
        <v>0</v>
      </c>
    </row>
    <row r="467" spans="1:19" x14ac:dyDescent="0.15">
      <c r="A467" s="1">
        <v>6</v>
      </c>
      <c r="B467" s="1">
        <v>12</v>
      </c>
      <c r="C467" s="10">
        <v>0.4798</v>
      </c>
      <c r="D467" s="5">
        <v>60</v>
      </c>
      <c r="E467" s="10">
        <v>0.18730000000000002</v>
      </c>
      <c r="F467" s="5">
        <v>3680</v>
      </c>
      <c r="G467" s="5">
        <v>100</v>
      </c>
      <c r="I467" s="40">
        <f t="shared" si="16"/>
        <v>3680</v>
      </c>
      <c r="J467" s="40">
        <f t="shared" si="17"/>
        <v>100</v>
      </c>
      <c r="K467" s="1">
        <v>3680</v>
      </c>
      <c r="L467" s="1">
        <v>100</v>
      </c>
      <c r="M467">
        <f t="shared" si="18"/>
        <v>0</v>
      </c>
      <c r="N467" s="1">
        <v>0.48</v>
      </c>
      <c r="O467" s="1">
        <v>60</v>
      </c>
      <c r="P467" s="24">
        <v>0.18729999999999999</v>
      </c>
      <c r="Q467" s="31">
        <f>C467-N467</f>
        <v>-1.9999999999997797E-4</v>
      </c>
      <c r="R467" s="41">
        <f>D467-O467</f>
        <v>0</v>
      </c>
      <c r="S467" s="41">
        <f>E467-P467</f>
        <v>0</v>
      </c>
    </row>
    <row r="468" spans="1:19" x14ac:dyDescent="0.15">
      <c r="A468" s="1">
        <v>6</v>
      </c>
      <c r="B468" s="1">
        <v>12</v>
      </c>
      <c r="C468" s="10">
        <v>0.4798</v>
      </c>
      <c r="D468" s="5">
        <v>60</v>
      </c>
      <c r="E468" s="10">
        <v>0.1923</v>
      </c>
      <c r="F468" s="5">
        <v>3410</v>
      </c>
      <c r="G468" s="5">
        <v>100</v>
      </c>
      <c r="I468" s="40">
        <f t="shared" si="16"/>
        <v>3410</v>
      </c>
      <c r="J468" s="40">
        <f t="shared" si="17"/>
        <v>100</v>
      </c>
      <c r="K468" s="1">
        <v>3410</v>
      </c>
      <c r="L468" s="1">
        <v>100</v>
      </c>
      <c r="M468">
        <f t="shared" si="18"/>
        <v>0</v>
      </c>
      <c r="N468" s="1">
        <v>0.48</v>
      </c>
      <c r="O468" s="1">
        <v>60</v>
      </c>
      <c r="P468" s="24">
        <v>0.1923</v>
      </c>
      <c r="Q468" s="31">
        <f>C468-N468</f>
        <v>-1.9999999999997797E-4</v>
      </c>
      <c r="R468" s="41">
        <f>D468-O468</f>
        <v>0</v>
      </c>
      <c r="S468" s="41">
        <f>E468-P468</f>
        <v>0</v>
      </c>
    </row>
    <row r="469" spans="1:19" x14ac:dyDescent="0.15">
      <c r="A469" s="1">
        <v>6</v>
      </c>
      <c r="B469" s="1">
        <v>12</v>
      </c>
      <c r="C469" s="10">
        <v>0.4798</v>
      </c>
      <c r="D469" s="5">
        <v>60</v>
      </c>
      <c r="E469" s="10">
        <v>0.1973</v>
      </c>
      <c r="F469" s="5">
        <v>3260</v>
      </c>
      <c r="G469" s="5">
        <v>90</v>
      </c>
      <c r="I469" s="40">
        <f t="shared" si="16"/>
        <v>3260</v>
      </c>
      <c r="J469" s="40">
        <f t="shared" si="17"/>
        <v>90</v>
      </c>
      <c r="K469" s="1">
        <v>3260</v>
      </c>
      <c r="L469" s="1">
        <v>90</v>
      </c>
      <c r="M469">
        <f t="shared" si="18"/>
        <v>0</v>
      </c>
      <c r="N469" s="1">
        <v>0.48</v>
      </c>
      <c r="O469" s="1">
        <v>60</v>
      </c>
      <c r="P469" s="24">
        <v>0.1973</v>
      </c>
      <c r="Q469" s="31">
        <f>C469-N469</f>
        <v>-1.9999999999997797E-4</v>
      </c>
      <c r="R469" s="41">
        <f>D469-O469</f>
        <v>0</v>
      </c>
      <c r="S469" s="41">
        <f>E469-P469</f>
        <v>0</v>
      </c>
    </row>
    <row r="470" spans="1:19" x14ac:dyDescent="0.15">
      <c r="A470" s="1">
        <v>6</v>
      </c>
      <c r="B470" s="1">
        <v>12</v>
      </c>
      <c r="C470" s="10">
        <v>0.4798</v>
      </c>
      <c r="D470" s="5">
        <v>60</v>
      </c>
      <c r="E470" s="10">
        <v>0.20230000000000001</v>
      </c>
      <c r="F470" s="5">
        <v>3100</v>
      </c>
      <c r="G470" s="5">
        <v>90</v>
      </c>
      <c r="I470" s="40">
        <f t="shared" si="16"/>
        <v>3100</v>
      </c>
      <c r="J470" s="40">
        <f t="shared" si="17"/>
        <v>90</v>
      </c>
      <c r="K470" s="1">
        <v>3100</v>
      </c>
      <c r="L470" s="1">
        <v>90</v>
      </c>
      <c r="M470">
        <f t="shared" si="18"/>
        <v>0</v>
      </c>
      <c r="N470" s="1">
        <v>0.48</v>
      </c>
      <c r="O470" s="1">
        <v>60</v>
      </c>
      <c r="P470" s="24">
        <v>0.20230000000000001</v>
      </c>
      <c r="Q470" s="31">
        <f>C470-N470</f>
        <v>-1.9999999999997797E-4</v>
      </c>
      <c r="R470" s="41">
        <f>D470-O470</f>
        <v>0</v>
      </c>
      <c r="S470" s="41">
        <f>E470-P470</f>
        <v>0</v>
      </c>
    </row>
    <row r="471" spans="1:19" x14ac:dyDescent="0.15">
      <c r="A471" s="1">
        <v>6</v>
      </c>
      <c r="B471" s="1">
        <v>12</v>
      </c>
      <c r="C471" s="10">
        <v>0.4798</v>
      </c>
      <c r="D471" s="5">
        <v>60</v>
      </c>
      <c r="E471" s="10">
        <v>0.20730000000000001</v>
      </c>
      <c r="F471" s="5">
        <v>2960</v>
      </c>
      <c r="G471" s="5">
        <v>90</v>
      </c>
      <c r="I471" s="40">
        <f t="shared" si="16"/>
        <v>2960</v>
      </c>
      <c r="J471" s="40">
        <f t="shared" si="17"/>
        <v>90</v>
      </c>
      <c r="K471" s="1">
        <v>2960</v>
      </c>
      <c r="L471" s="1">
        <v>90</v>
      </c>
      <c r="M471">
        <f t="shared" si="18"/>
        <v>0</v>
      </c>
      <c r="N471" s="1">
        <v>0.48</v>
      </c>
      <c r="O471" s="1">
        <v>60</v>
      </c>
      <c r="P471" s="24">
        <v>0.20730000000000001</v>
      </c>
      <c r="Q471" s="31">
        <f>C471-N471</f>
        <v>-1.9999999999997797E-4</v>
      </c>
      <c r="R471" s="41">
        <f>D471-O471</f>
        <v>0</v>
      </c>
      <c r="S471" s="41">
        <f>E471-P471</f>
        <v>0</v>
      </c>
    </row>
    <row r="472" spans="1:19" x14ac:dyDescent="0.15">
      <c r="A472" s="1">
        <v>6</v>
      </c>
      <c r="B472" s="1">
        <v>12</v>
      </c>
      <c r="C472" s="10">
        <v>0.4798</v>
      </c>
      <c r="D472" s="5">
        <v>60</v>
      </c>
      <c r="E472" s="10">
        <v>0.21230000000000002</v>
      </c>
      <c r="F472" s="5">
        <v>2850</v>
      </c>
      <c r="G472" s="5">
        <v>90</v>
      </c>
      <c r="I472" s="40">
        <f t="shared" si="16"/>
        <v>2850</v>
      </c>
      <c r="J472" s="40">
        <f t="shared" si="17"/>
        <v>90</v>
      </c>
      <c r="K472" s="1">
        <v>2850</v>
      </c>
      <c r="L472" s="1">
        <v>90</v>
      </c>
      <c r="M472">
        <f t="shared" si="18"/>
        <v>0</v>
      </c>
      <c r="N472" s="1">
        <v>0.48</v>
      </c>
      <c r="O472" s="1">
        <v>60</v>
      </c>
      <c r="P472" s="24">
        <v>0.21229999999999999</v>
      </c>
      <c r="Q472" s="31">
        <f>C472-N472</f>
        <v>-1.9999999999997797E-4</v>
      </c>
      <c r="R472" s="41">
        <f>D472-O472</f>
        <v>0</v>
      </c>
      <c r="S472" s="41">
        <f>E472-P472</f>
        <v>0</v>
      </c>
    </row>
    <row r="473" spans="1:19" x14ac:dyDescent="0.15">
      <c r="A473" s="1">
        <v>6</v>
      </c>
      <c r="B473" s="1">
        <v>12</v>
      </c>
      <c r="C473" s="10">
        <v>0.4798</v>
      </c>
      <c r="D473" s="5">
        <v>60</v>
      </c>
      <c r="E473" s="10">
        <v>0.21730000000000002</v>
      </c>
      <c r="F473" s="5">
        <v>2760</v>
      </c>
      <c r="G473" s="5">
        <v>90</v>
      </c>
      <c r="I473" s="40">
        <f t="shared" si="16"/>
        <v>2760</v>
      </c>
      <c r="J473" s="40">
        <f t="shared" si="17"/>
        <v>90</v>
      </c>
      <c r="K473" s="1">
        <v>2760</v>
      </c>
      <c r="L473" s="1">
        <v>90</v>
      </c>
      <c r="M473">
        <f t="shared" si="18"/>
        <v>0</v>
      </c>
      <c r="N473" s="1">
        <v>0.48</v>
      </c>
      <c r="O473" s="1">
        <v>60</v>
      </c>
      <c r="P473" s="24">
        <v>0.21729999999999999</v>
      </c>
      <c r="Q473" s="31">
        <f>C473-N473</f>
        <v>-1.9999999999997797E-4</v>
      </c>
      <c r="R473" s="41">
        <f>D473-O473</f>
        <v>0</v>
      </c>
      <c r="S473" s="41">
        <f>E473-P473</f>
        <v>0</v>
      </c>
    </row>
    <row r="474" spans="1:19" x14ac:dyDescent="0.15">
      <c r="A474" s="1">
        <v>6</v>
      </c>
      <c r="B474" s="1">
        <v>12</v>
      </c>
      <c r="C474" s="10">
        <v>0.4798</v>
      </c>
      <c r="D474" s="5">
        <v>60</v>
      </c>
      <c r="E474" s="10">
        <v>0.2223</v>
      </c>
      <c r="F474" s="5">
        <v>2690</v>
      </c>
      <c r="G474" s="5">
        <v>90</v>
      </c>
      <c r="I474" s="40">
        <f t="shared" si="16"/>
        <v>2690</v>
      </c>
      <c r="J474" s="40">
        <f t="shared" si="17"/>
        <v>90</v>
      </c>
      <c r="K474" s="1">
        <v>2690</v>
      </c>
      <c r="L474" s="1">
        <v>90</v>
      </c>
      <c r="M474">
        <f t="shared" si="18"/>
        <v>0</v>
      </c>
      <c r="N474" s="1">
        <v>0.48</v>
      </c>
      <c r="O474" s="1">
        <v>60</v>
      </c>
      <c r="P474" s="24">
        <v>0.2223</v>
      </c>
      <c r="Q474" s="31">
        <f>C474-N474</f>
        <v>-1.9999999999997797E-4</v>
      </c>
      <c r="R474" s="41">
        <f>D474-O474</f>
        <v>0</v>
      </c>
      <c r="S474" s="41">
        <f>E474-P474</f>
        <v>0</v>
      </c>
    </row>
    <row r="475" spans="1:19" x14ac:dyDescent="0.15">
      <c r="A475" s="1">
        <v>6</v>
      </c>
      <c r="B475" s="1">
        <v>12</v>
      </c>
      <c r="C475" s="10">
        <v>0.4798</v>
      </c>
      <c r="D475" s="5">
        <v>60</v>
      </c>
      <c r="E475" s="10">
        <v>0.2273</v>
      </c>
      <c r="F475" s="5">
        <v>2710</v>
      </c>
      <c r="G475" s="5">
        <v>90</v>
      </c>
      <c r="I475" s="40">
        <f t="shared" si="16"/>
        <v>2710</v>
      </c>
      <c r="J475" s="40">
        <f t="shared" si="17"/>
        <v>90</v>
      </c>
      <c r="K475" s="1">
        <v>2710</v>
      </c>
      <c r="L475" s="1">
        <v>90</v>
      </c>
      <c r="M475">
        <f t="shared" si="18"/>
        <v>0</v>
      </c>
      <c r="N475" s="1">
        <v>0.48</v>
      </c>
      <c r="O475" s="1">
        <v>60</v>
      </c>
      <c r="P475" s="24">
        <v>0.2273</v>
      </c>
      <c r="Q475" s="31">
        <f>C475-N475</f>
        <v>-1.9999999999997797E-4</v>
      </c>
      <c r="R475" s="41">
        <f>D475-O475</f>
        <v>0</v>
      </c>
      <c r="S475" s="41">
        <f>E475-P475</f>
        <v>0</v>
      </c>
    </row>
    <row r="476" spans="1:19" x14ac:dyDescent="0.15">
      <c r="A476" s="1">
        <v>6</v>
      </c>
      <c r="B476" s="1">
        <v>12</v>
      </c>
      <c r="C476" s="10">
        <v>0.4798</v>
      </c>
      <c r="D476" s="5">
        <v>60</v>
      </c>
      <c r="E476" s="10">
        <v>0.23230000000000001</v>
      </c>
      <c r="F476" s="5">
        <v>2700</v>
      </c>
      <c r="G476" s="5">
        <v>90</v>
      </c>
      <c r="I476" s="40">
        <f t="shared" si="16"/>
        <v>2700</v>
      </c>
      <c r="J476" s="40">
        <f t="shared" si="17"/>
        <v>90</v>
      </c>
      <c r="K476" s="1">
        <v>2700</v>
      </c>
      <c r="L476" s="1">
        <v>90</v>
      </c>
      <c r="M476">
        <f t="shared" si="18"/>
        <v>0</v>
      </c>
      <c r="N476" s="1">
        <v>0.48</v>
      </c>
      <c r="O476" s="1">
        <v>60</v>
      </c>
      <c r="P476" s="24">
        <v>0.23230000000000001</v>
      </c>
      <c r="Q476" s="31">
        <f>C476-N476</f>
        <v>-1.9999999999997797E-4</v>
      </c>
      <c r="R476" s="41">
        <f>D476-O476</f>
        <v>0</v>
      </c>
      <c r="S476" s="41">
        <f>E476-P476</f>
        <v>0</v>
      </c>
    </row>
    <row r="477" spans="1:19" x14ac:dyDescent="0.15">
      <c r="A477" s="1">
        <v>6</v>
      </c>
      <c r="B477" s="1">
        <v>12</v>
      </c>
      <c r="C477" s="10">
        <v>0.4798</v>
      </c>
      <c r="D477" s="5">
        <v>60</v>
      </c>
      <c r="E477" s="10">
        <v>0.23730000000000001</v>
      </c>
      <c r="F477" s="5">
        <v>2790</v>
      </c>
      <c r="G477" s="5">
        <v>90</v>
      </c>
      <c r="I477" s="40">
        <f t="shared" si="16"/>
        <v>2790</v>
      </c>
      <c r="J477" s="40">
        <f t="shared" si="17"/>
        <v>90</v>
      </c>
      <c r="K477" s="1">
        <v>2790</v>
      </c>
      <c r="L477" s="1">
        <v>90</v>
      </c>
      <c r="M477">
        <f t="shared" si="18"/>
        <v>0</v>
      </c>
      <c r="N477" s="1">
        <v>0.48</v>
      </c>
      <c r="O477" s="1">
        <v>60</v>
      </c>
      <c r="P477" s="24">
        <v>0.23730000000000001</v>
      </c>
      <c r="Q477" s="31">
        <f>C477-N477</f>
        <v>-1.9999999999997797E-4</v>
      </c>
      <c r="R477" s="41">
        <f>D477-O477</f>
        <v>0</v>
      </c>
      <c r="S477" s="41">
        <f>E477-P477</f>
        <v>0</v>
      </c>
    </row>
    <row r="478" spans="1:19" x14ac:dyDescent="0.15">
      <c r="A478" s="1">
        <v>6</v>
      </c>
      <c r="B478" s="1">
        <v>12</v>
      </c>
      <c r="C478" s="10">
        <v>0.4798</v>
      </c>
      <c r="D478" s="5">
        <v>60</v>
      </c>
      <c r="E478" s="10">
        <v>0.24230000000000002</v>
      </c>
      <c r="F478" s="5">
        <v>2770</v>
      </c>
      <c r="G478" s="5">
        <v>100</v>
      </c>
      <c r="I478" s="40">
        <f t="shared" si="16"/>
        <v>2770</v>
      </c>
      <c r="J478" s="40">
        <f t="shared" si="17"/>
        <v>100</v>
      </c>
      <c r="K478" s="1">
        <v>2770</v>
      </c>
      <c r="L478" s="1">
        <v>100</v>
      </c>
      <c r="M478">
        <f t="shared" si="18"/>
        <v>0</v>
      </c>
      <c r="N478" s="1">
        <v>0.48</v>
      </c>
      <c r="O478" s="1">
        <v>60</v>
      </c>
      <c r="P478" s="24">
        <v>0.24229999999999999</v>
      </c>
      <c r="Q478" s="31">
        <f>C478-N478</f>
        <v>-1.9999999999997797E-4</v>
      </c>
      <c r="R478" s="41">
        <f>D478-O478</f>
        <v>0</v>
      </c>
      <c r="S478" s="41">
        <f>E478-P478</f>
        <v>0</v>
      </c>
    </row>
    <row r="479" spans="1:19" x14ac:dyDescent="0.15">
      <c r="A479" s="1">
        <v>6</v>
      </c>
      <c r="B479" s="1">
        <v>12</v>
      </c>
      <c r="C479" s="10">
        <v>0.4798</v>
      </c>
      <c r="D479" s="5">
        <v>60</v>
      </c>
      <c r="E479" s="10">
        <v>0.24730000000000002</v>
      </c>
      <c r="F479" s="5">
        <v>2940</v>
      </c>
      <c r="G479" s="5">
        <v>100</v>
      </c>
      <c r="I479" s="40">
        <f t="shared" si="16"/>
        <v>2940</v>
      </c>
      <c r="J479" s="40">
        <f t="shared" si="17"/>
        <v>100</v>
      </c>
      <c r="K479" s="1">
        <v>2940</v>
      </c>
      <c r="L479" s="1">
        <v>100</v>
      </c>
      <c r="M479">
        <f t="shared" si="18"/>
        <v>0</v>
      </c>
      <c r="N479" s="1">
        <v>0.48</v>
      </c>
      <c r="O479" s="1">
        <v>60</v>
      </c>
      <c r="P479" s="24">
        <v>0.24729999999999999</v>
      </c>
      <c r="Q479" s="31">
        <f>C479-N479</f>
        <v>-1.9999999999997797E-4</v>
      </c>
      <c r="R479" s="41">
        <f>D479-O479</f>
        <v>0</v>
      </c>
      <c r="S479" s="41">
        <f>E479-P479</f>
        <v>0</v>
      </c>
    </row>
    <row r="480" spans="1:19" x14ac:dyDescent="0.15">
      <c r="A480" s="1">
        <v>6</v>
      </c>
      <c r="B480" s="1">
        <v>12</v>
      </c>
      <c r="C480" s="10">
        <v>0.4798</v>
      </c>
      <c r="D480" s="5">
        <v>60</v>
      </c>
      <c r="E480" s="10">
        <v>0.25230000000000002</v>
      </c>
      <c r="F480" s="5">
        <v>3070</v>
      </c>
      <c r="G480" s="5">
        <v>110</v>
      </c>
      <c r="I480" s="40">
        <f t="shared" si="16"/>
        <v>3070</v>
      </c>
      <c r="J480" s="40">
        <f t="shared" si="17"/>
        <v>110</v>
      </c>
      <c r="K480" s="1">
        <v>3070</v>
      </c>
      <c r="L480" s="1">
        <v>110</v>
      </c>
      <c r="M480">
        <f t="shared" si="18"/>
        <v>0</v>
      </c>
      <c r="N480" s="1">
        <v>0.48</v>
      </c>
      <c r="O480" s="1">
        <v>60</v>
      </c>
      <c r="P480" s="24">
        <v>0.25230000000000002</v>
      </c>
      <c r="Q480" s="31">
        <f>C480-N480</f>
        <v>-1.9999999999997797E-4</v>
      </c>
      <c r="R480" s="41">
        <f>D480-O480</f>
        <v>0</v>
      </c>
      <c r="S480" s="41">
        <f>E480-P480</f>
        <v>0</v>
      </c>
    </row>
    <row r="481" spans="1:19" x14ac:dyDescent="0.15">
      <c r="A481" s="1">
        <v>6</v>
      </c>
      <c r="B481" s="1">
        <v>12</v>
      </c>
      <c r="C481" s="10">
        <v>0.4798</v>
      </c>
      <c r="D481" s="5">
        <v>60</v>
      </c>
      <c r="E481" s="10">
        <v>0.25730000000000003</v>
      </c>
      <c r="F481" s="5">
        <v>3180</v>
      </c>
      <c r="G481" s="5">
        <v>110</v>
      </c>
      <c r="I481" s="40">
        <f t="shared" si="16"/>
        <v>3180</v>
      </c>
      <c r="J481" s="40">
        <f t="shared" si="17"/>
        <v>110</v>
      </c>
      <c r="K481" s="1">
        <v>3180</v>
      </c>
      <c r="L481" s="1">
        <v>110</v>
      </c>
      <c r="M481">
        <f t="shared" si="18"/>
        <v>0</v>
      </c>
      <c r="N481" s="1">
        <v>0.48</v>
      </c>
      <c r="O481" s="1">
        <v>60</v>
      </c>
      <c r="P481" s="24">
        <v>0.25729999999999997</v>
      </c>
      <c r="Q481" s="31">
        <f>C481-N481</f>
        <v>-1.9999999999997797E-4</v>
      </c>
      <c r="R481" s="41">
        <f>D481-O481</f>
        <v>0</v>
      </c>
      <c r="S481" s="41">
        <f>E481-P481</f>
        <v>0</v>
      </c>
    </row>
    <row r="482" spans="1:19" x14ac:dyDescent="0.15">
      <c r="A482" s="1">
        <v>6</v>
      </c>
      <c r="B482" s="1">
        <v>12</v>
      </c>
      <c r="C482" s="10">
        <v>0.4798</v>
      </c>
      <c r="D482" s="5">
        <v>60</v>
      </c>
      <c r="E482" s="10">
        <v>0.26230000000000003</v>
      </c>
      <c r="F482" s="5">
        <v>3210</v>
      </c>
      <c r="G482" s="5">
        <v>120</v>
      </c>
      <c r="I482" s="40">
        <f t="shared" si="16"/>
        <v>3210</v>
      </c>
      <c r="J482" s="40">
        <f t="shared" si="17"/>
        <v>120</v>
      </c>
      <c r="K482" s="1">
        <v>3210</v>
      </c>
      <c r="L482" s="1">
        <v>120</v>
      </c>
      <c r="M482">
        <f t="shared" si="18"/>
        <v>0</v>
      </c>
      <c r="N482" s="1">
        <v>0.48</v>
      </c>
      <c r="O482" s="1">
        <v>60</v>
      </c>
      <c r="P482" s="24">
        <v>0.26229999999999998</v>
      </c>
      <c r="Q482" s="31">
        <f>C482-N482</f>
        <v>-1.9999999999997797E-4</v>
      </c>
      <c r="R482" s="41">
        <f>D482-O482</f>
        <v>0</v>
      </c>
      <c r="S482" s="41">
        <f>E482-P482</f>
        <v>0</v>
      </c>
    </row>
    <row r="483" spans="1:19" x14ac:dyDescent="0.15">
      <c r="A483" s="1">
        <v>6</v>
      </c>
      <c r="B483" s="1">
        <v>12</v>
      </c>
      <c r="C483" s="10">
        <v>0.4798</v>
      </c>
      <c r="D483" s="5">
        <v>60</v>
      </c>
      <c r="E483" s="10">
        <v>0.26730000000000004</v>
      </c>
      <c r="F483" s="5">
        <v>3300</v>
      </c>
      <c r="G483" s="5">
        <v>120</v>
      </c>
      <c r="I483" s="40">
        <f t="shared" si="16"/>
        <v>3300</v>
      </c>
      <c r="J483" s="40">
        <f t="shared" si="17"/>
        <v>120</v>
      </c>
      <c r="K483" s="1">
        <v>3300</v>
      </c>
      <c r="L483" s="1">
        <v>120</v>
      </c>
      <c r="M483">
        <f t="shared" si="18"/>
        <v>0</v>
      </c>
      <c r="N483" s="1">
        <v>0.48</v>
      </c>
      <c r="O483" s="1">
        <v>60</v>
      </c>
      <c r="P483" s="24">
        <v>0.26729999999999998</v>
      </c>
      <c r="Q483" s="31">
        <f>C483-N483</f>
        <v>-1.9999999999997797E-4</v>
      </c>
      <c r="R483" s="41">
        <f>D483-O483</f>
        <v>0</v>
      </c>
      <c r="S483" s="41">
        <f>E483-P483</f>
        <v>0</v>
      </c>
    </row>
    <row r="484" spans="1:19" x14ac:dyDescent="0.15">
      <c r="A484" s="1">
        <v>6</v>
      </c>
      <c r="B484" s="1">
        <v>12</v>
      </c>
      <c r="C484" s="10">
        <v>0.4798</v>
      </c>
      <c r="D484" s="5">
        <v>60</v>
      </c>
      <c r="E484" s="10">
        <v>0.27229999999999999</v>
      </c>
      <c r="F484" s="5">
        <v>3330</v>
      </c>
      <c r="G484" s="5">
        <v>140</v>
      </c>
      <c r="I484" s="40">
        <f t="shared" si="16"/>
        <v>3330</v>
      </c>
      <c r="J484" s="40">
        <f t="shared" si="17"/>
        <v>140</v>
      </c>
      <c r="K484" s="1">
        <v>3330</v>
      </c>
      <c r="L484" s="1">
        <v>140</v>
      </c>
      <c r="M484">
        <f t="shared" si="18"/>
        <v>0</v>
      </c>
      <c r="N484" s="1">
        <v>0.48</v>
      </c>
      <c r="O484" s="1">
        <v>60</v>
      </c>
      <c r="P484" s="24">
        <v>0.27229999999999999</v>
      </c>
      <c r="Q484" s="31">
        <f>C484-N484</f>
        <v>-1.9999999999997797E-4</v>
      </c>
      <c r="R484" s="41">
        <f>D484-O484</f>
        <v>0</v>
      </c>
      <c r="S484" s="41">
        <f>E484-P484</f>
        <v>0</v>
      </c>
    </row>
    <row r="485" spans="1:19" x14ac:dyDescent="0.15">
      <c r="A485" s="1">
        <v>6</v>
      </c>
      <c r="B485" s="1">
        <v>12</v>
      </c>
      <c r="C485" s="10">
        <v>0.4798</v>
      </c>
      <c r="D485" s="5">
        <v>60</v>
      </c>
      <c r="E485" s="10">
        <v>0.27729999999999999</v>
      </c>
      <c r="F485" s="5">
        <v>3470</v>
      </c>
      <c r="G485" s="5">
        <v>140</v>
      </c>
      <c r="I485" s="40">
        <f t="shared" si="16"/>
        <v>3470</v>
      </c>
      <c r="J485" s="40">
        <f t="shared" si="17"/>
        <v>140</v>
      </c>
      <c r="K485" s="1">
        <v>3470</v>
      </c>
      <c r="L485" s="1">
        <v>140</v>
      </c>
      <c r="M485">
        <f t="shared" si="18"/>
        <v>0</v>
      </c>
      <c r="N485" s="1">
        <v>0.48</v>
      </c>
      <c r="O485" s="1">
        <v>60</v>
      </c>
      <c r="P485" s="24">
        <v>0.27729999999999999</v>
      </c>
      <c r="Q485" s="31">
        <f>C485-N485</f>
        <v>-1.9999999999997797E-4</v>
      </c>
      <c r="R485" s="41">
        <f>D485-O485</f>
        <v>0</v>
      </c>
      <c r="S485" s="41">
        <f>E485-P485</f>
        <v>0</v>
      </c>
    </row>
    <row r="486" spans="1:19" x14ac:dyDescent="0.15">
      <c r="A486" s="1">
        <v>6</v>
      </c>
      <c r="B486" s="1">
        <v>12</v>
      </c>
      <c r="C486" s="10">
        <v>0.4798</v>
      </c>
      <c r="D486" s="5">
        <v>60</v>
      </c>
      <c r="E486" s="10">
        <v>0.2823</v>
      </c>
      <c r="F486" s="5">
        <v>3650</v>
      </c>
      <c r="G486" s="5">
        <v>140</v>
      </c>
      <c r="I486" s="40">
        <f t="shared" si="16"/>
        <v>3650</v>
      </c>
      <c r="J486" s="40">
        <f t="shared" si="17"/>
        <v>140</v>
      </c>
      <c r="K486" s="1">
        <v>3650</v>
      </c>
      <c r="L486" s="1">
        <v>140</v>
      </c>
      <c r="M486">
        <f t="shared" si="18"/>
        <v>0</v>
      </c>
      <c r="N486" s="1">
        <v>0.48</v>
      </c>
      <c r="O486" s="1">
        <v>60</v>
      </c>
      <c r="P486" s="24">
        <v>0.2823</v>
      </c>
      <c r="Q486" s="31">
        <f>C486-N486</f>
        <v>-1.9999999999997797E-4</v>
      </c>
      <c r="R486" s="41">
        <f>D486-O486</f>
        <v>0</v>
      </c>
      <c r="S486" s="41">
        <f>E486-P486</f>
        <v>0</v>
      </c>
    </row>
    <row r="487" spans="1:19" x14ac:dyDescent="0.15">
      <c r="A487" s="1">
        <v>6</v>
      </c>
      <c r="B487" s="1">
        <v>12</v>
      </c>
      <c r="C487" s="10">
        <v>0.4798</v>
      </c>
      <c r="D487" s="5">
        <v>60</v>
      </c>
      <c r="E487" s="10">
        <v>0.2873</v>
      </c>
      <c r="F487" s="5">
        <v>3700</v>
      </c>
      <c r="G487" s="5">
        <v>150</v>
      </c>
      <c r="I487" s="40">
        <f t="shared" si="16"/>
        <v>3700</v>
      </c>
      <c r="J487" s="40">
        <f t="shared" si="17"/>
        <v>150</v>
      </c>
      <c r="K487" s="1">
        <v>3700</v>
      </c>
      <c r="L487" s="1">
        <v>150</v>
      </c>
      <c r="M487">
        <f t="shared" si="18"/>
        <v>0</v>
      </c>
      <c r="N487" s="1">
        <v>0.48</v>
      </c>
      <c r="O487" s="1">
        <v>60</v>
      </c>
      <c r="P487" s="24">
        <v>0.2873</v>
      </c>
      <c r="Q487" s="31">
        <f>C487-N487</f>
        <v>-1.9999999999997797E-4</v>
      </c>
      <c r="R487" s="41">
        <f>D487-O487</f>
        <v>0</v>
      </c>
      <c r="S487" s="41">
        <f>E487-P487</f>
        <v>0</v>
      </c>
    </row>
    <row r="488" spans="1:19" x14ac:dyDescent="0.15">
      <c r="A488" s="1">
        <v>6</v>
      </c>
      <c r="B488" s="1">
        <v>12</v>
      </c>
      <c r="C488" s="10">
        <v>0.4798</v>
      </c>
      <c r="D488" s="5">
        <v>60</v>
      </c>
      <c r="E488" s="10">
        <v>0.2923</v>
      </c>
      <c r="F488" s="5">
        <v>3820</v>
      </c>
      <c r="G488" s="5">
        <v>170</v>
      </c>
      <c r="I488" s="40">
        <f t="shared" si="16"/>
        <v>3820</v>
      </c>
      <c r="J488" s="40">
        <f t="shared" si="17"/>
        <v>170</v>
      </c>
      <c r="K488" s="1">
        <v>3820</v>
      </c>
      <c r="L488" s="1">
        <v>170</v>
      </c>
      <c r="M488">
        <f t="shared" si="18"/>
        <v>0</v>
      </c>
      <c r="N488" s="1">
        <v>0.48</v>
      </c>
      <c r="O488" s="1">
        <v>60</v>
      </c>
      <c r="P488" s="24">
        <v>0.2923</v>
      </c>
      <c r="Q488" s="31">
        <f>C488-N488</f>
        <v>-1.9999999999997797E-4</v>
      </c>
      <c r="R488" s="41">
        <f>D488-O488</f>
        <v>0</v>
      </c>
      <c r="S488" s="41">
        <f>E488-P488</f>
        <v>0</v>
      </c>
    </row>
    <row r="489" spans="1:19" x14ac:dyDescent="0.15">
      <c r="A489" s="1">
        <v>6</v>
      </c>
      <c r="B489" s="1">
        <v>12</v>
      </c>
      <c r="C489" s="10">
        <v>0.4798</v>
      </c>
      <c r="D489" s="5">
        <v>60</v>
      </c>
      <c r="E489" s="10">
        <v>0.29730000000000001</v>
      </c>
      <c r="F489" s="5">
        <v>4040</v>
      </c>
      <c r="G489" s="5">
        <v>170</v>
      </c>
      <c r="I489" s="40">
        <f t="shared" si="16"/>
        <v>4040</v>
      </c>
      <c r="J489" s="40">
        <f t="shared" si="17"/>
        <v>170</v>
      </c>
      <c r="K489" s="1">
        <v>4040</v>
      </c>
      <c r="L489" s="1">
        <v>170</v>
      </c>
      <c r="M489">
        <f t="shared" si="18"/>
        <v>0</v>
      </c>
      <c r="N489" s="1">
        <v>0.48</v>
      </c>
      <c r="O489" s="1">
        <v>60</v>
      </c>
      <c r="P489" s="24">
        <v>0.29730000000000001</v>
      </c>
      <c r="Q489" s="31">
        <f>C489-N489</f>
        <v>-1.9999999999997797E-4</v>
      </c>
      <c r="R489" s="41">
        <f>D489-O489</f>
        <v>0</v>
      </c>
      <c r="S489" s="41">
        <f>E489-P489</f>
        <v>0</v>
      </c>
    </row>
    <row r="490" spans="1:19" x14ac:dyDescent="0.15">
      <c r="A490" s="1">
        <v>6</v>
      </c>
      <c r="B490" s="1">
        <v>12</v>
      </c>
      <c r="C490" s="10">
        <v>0.4798</v>
      </c>
      <c r="D490" s="5">
        <v>60</v>
      </c>
      <c r="E490" s="10">
        <v>0.30230000000000001</v>
      </c>
      <c r="F490" s="5">
        <v>4000</v>
      </c>
      <c r="G490" s="5">
        <v>180</v>
      </c>
      <c r="I490" s="40">
        <f t="shared" si="16"/>
        <v>4000</v>
      </c>
      <c r="J490" s="40">
        <f t="shared" si="17"/>
        <v>180</v>
      </c>
      <c r="K490" s="1">
        <v>4000</v>
      </c>
      <c r="L490" s="1">
        <v>180</v>
      </c>
      <c r="M490">
        <f t="shared" si="18"/>
        <v>0</v>
      </c>
      <c r="N490" s="1">
        <v>0.48</v>
      </c>
      <c r="O490" s="1">
        <v>60</v>
      </c>
      <c r="P490" s="24">
        <v>0.30230000000000001</v>
      </c>
      <c r="Q490" s="31">
        <f>C490-N490</f>
        <v>-1.9999999999997797E-4</v>
      </c>
      <c r="R490" s="41">
        <f>D490-O490</f>
        <v>0</v>
      </c>
      <c r="S490" s="41">
        <f>E490-P490</f>
        <v>0</v>
      </c>
    </row>
    <row r="491" spans="1:19" x14ac:dyDescent="0.15">
      <c r="A491" s="1">
        <v>6</v>
      </c>
      <c r="B491" s="1">
        <v>12</v>
      </c>
      <c r="C491" s="10">
        <v>0.4798</v>
      </c>
      <c r="D491" s="5">
        <v>60</v>
      </c>
      <c r="E491" s="10">
        <v>0.30730000000000002</v>
      </c>
      <c r="F491" s="5">
        <v>4110</v>
      </c>
      <c r="G491" s="5">
        <v>190</v>
      </c>
      <c r="I491" s="40">
        <f t="shared" si="16"/>
        <v>4110</v>
      </c>
      <c r="J491" s="40">
        <f t="shared" si="17"/>
        <v>190</v>
      </c>
      <c r="K491" s="1">
        <v>4110</v>
      </c>
      <c r="L491" s="1">
        <v>190</v>
      </c>
      <c r="M491">
        <f t="shared" si="18"/>
        <v>0</v>
      </c>
      <c r="N491" s="1">
        <v>0.48</v>
      </c>
      <c r="O491" s="1">
        <v>60</v>
      </c>
      <c r="P491" s="24">
        <v>0.30730000000000002</v>
      </c>
      <c r="Q491" s="31">
        <f>C491-N491</f>
        <v>-1.9999999999997797E-4</v>
      </c>
      <c r="R491" s="41">
        <f>D491-O491</f>
        <v>0</v>
      </c>
      <c r="S491" s="41">
        <f>E491-P491</f>
        <v>0</v>
      </c>
    </row>
    <row r="492" spans="1:19" x14ac:dyDescent="0.15">
      <c r="A492" s="1">
        <v>6</v>
      </c>
      <c r="B492" s="1">
        <v>12</v>
      </c>
      <c r="C492" s="10">
        <v>0.4798</v>
      </c>
      <c r="D492" s="5">
        <v>60</v>
      </c>
      <c r="E492" s="10">
        <v>0.31230000000000002</v>
      </c>
      <c r="F492" s="5">
        <v>4340</v>
      </c>
      <c r="G492" s="5">
        <v>210</v>
      </c>
      <c r="I492" s="40">
        <f t="shared" si="16"/>
        <v>4340</v>
      </c>
      <c r="J492" s="40">
        <f t="shared" si="17"/>
        <v>210</v>
      </c>
      <c r="K492" s="1">
        <v>4340</v>
      </c>
      <c r="L492" s="1">
        <v>210</v>
      </c>
      <c r="M492">
        <f t="shared" si="18"/>
        <v>0</v>
      </c>
      <c r="N492" s="1">
        <v>0.48</v>
      </c>
      <c r="O492" s="1">
        <v>60</v>
      </c>
      <c r="P492" s="24">
        <v>0.31230000000000002</v>
      </c>
      <c r="Q492" s="31">
        <f>C492-N492</f>
        <v>-1.9999999999997797E-4</v>
      </c>
      <c r="R492" s="41">
        <f>D492-O492</f>
        <v>0</v>
      </c>
      <c r="S492" s="41">
        <f>E492-P492</f>
        <v>0</v>
      </c>
    </row>
    <row r="493" spans="1:19" x14ac:dyDescent="0.15">
      <c r="A493" s="1">
        <v>6</v>
      </c>
      <c r="B493" s="1">
        <v>12</v>
      </c>
      <c r="C493" s="10">
        <v>0.4798</v>
      </c>
      <c r="D493" s="5">
        <v>60</v>
      </c>
      <c r="E493" s="10">
        <v>0.31730000000000003</v>
      </c>
      <c r="F493" s="5">
        <v>4380</v>
      </c>
      <c r="G493" s="5">
        <v>220</v>
      </c>
      <c r="I493" s="40">
        <f t="shared" si="16"/>
        <v>4380</v>
      </c>
      <c r="J493" s="40">
        <f t="shared" si="17"/>
        <v>220</v>
      </c>
      <c r="K493" s="1">
        <v>4380</v>
      </c>
      <c r="L493" s="1">
        <v>220</v>
      </c>
      <c r="M493">
        <f t="shared" si="18"/>
        <v>0</v>
      </c>
      <c r="N493" s="1">
        <v>0.48</v>
      </c>
      <c r="O493" s="1">
        <v>60</v>
      </c>
      <c r="P493" s="24">
        <v>0.31730000000000003</v>
      </c>
      <c r="Q493" s="31">
        <f>C493-N493</f>
        <v>-1.9999999999997797E-4</v>
      </c>
      <c r="R493" s="41">
        <f>D493-O493</f>
        <v>0</v>
      </c>
      <c r="S493" s="41">
        <f>E493-P493</f>
        <v>0</v>
      </c>
    </row>
    <row r="494" spans="1:19" x14ac:dyDescent="0.15">
      <c r="A494" s="1">
        <v>6</v>
      </c>
      <c r="B494" s="1">
        <v>12</v>
      </c>
      <c r="C494" s="10">
        <v>0.4798</v>
      </c>
      <c r="D494" s="5">
        <v>60</v>
      </c>
      <c r="E494" s="10">
        <v>0.32230000000000003</v>
      </c>
      <c r="F494" s="5">
        <v>4260</v>
      </c>
      <c r="G494" s="5">
        <v>240</v>
      </c>
      <c r="I494" s="40">
        <f t="shared" si="16"/>
        <v>4260</v>
      </c>
      <c r="J494" s="40">
        <f t="shared" si="17"/>
        <v>240</v>
      </c>
      <c r="K494" s="1">
        <v>4260</v>
      </c>
      <c r="L494" s="1">
        <v>240</v>
      </c>
      <c r="M494">
        <f t="shared" si="18"/>
        <v>0</v>
      </c>
      <c r="N494" s="1">
        <v>0.48</v>
      </c>
      <c r="O494" s="1">
        <v>60</v>
      </c>
      <c r="P494" s="24">
        <v>0.32229999999999998</v>
      </c>
      <c r="Q494" s="31">
        <f>C494-N494</f>
        <v>-1.9999999999997797E-4</v>
      </c>
      <c r="R494" s="41">
        <f>D494-O494</f>
        <v>0</v>
      </c>
      <c r="S494" s="41">
        <f>E494-P494</f>
        <v>0</v>
      </c>
    </row>
    <row r="495" spans="1:19" x14ac:dyDescent="0.15">
      <c r="A495" s="1">
        <v>6</v>
      </c>
      <c r="B495" s="1">
        <v>12</v>
      </c>
      <c r="C495" s="10">
        <v>0.4798</v>
      </c>
      <c r="D495" s="5">
        <v>60</v>
      </c>
      <c r="E495" s="10">
        <v>0.32730000000000004</v>
      </c>
      <c r="F495" s="5">
        <v>4450</v>
      </c>
      <c r="G495" s="5">
        <v>260</v>
      </c>
      <c r="I495" s="40">
        <f t="shared" si="16"/>
        <v>4450</v>
      </c>
      <c r="J495" s="40">
        <f t="shared" si="17"/>
        <v>260</v>
      </c>
      <c r="K495" s="1">
        <v>4450</v>
      </c>
      <c r="L495" s="1">
        <v>260</v>
      </c>
      <c r="M495">
        <f t="shared" si="18"/>
        <v>0</v>
      </c>
      <c r="N495" s="1">
        <v>0.48</v>
      </c>
      <c r="O495" s="1">
        <v>60</v>
      </c>
      <c r="P495" s="24">
        <v>0.32729999999999998</v>
      </c>
      <c r="Q495" s="31">
        <f>C495-N495</f>
        <v>-1.9999999999997797E-4</v>
      </c>
      <c r="R495" s="41">
        <f>D495-O495</f>
        <v>0</v>
      </c>
      <c r="S495" s="41">
        <f>E495-P495</f>
        <v>0</v>
      </c>
    </row>
    <row r="496" spans="1:19" x14ac:dyDescent="0.15">
      <c r="A496" s="1">
        <v>6</v>
      </c>
      <c r="B496" s="1">
        <v>12</v>
      </c>
      <c r="C496" s="10">
        <v>0.4798</v>
      </c>
      <c r="D496" s="5">
        <v>60</v>
      </c>
      <c r="E496" s="10">
        <v>0.33229999999999998</v>
      </c>
      <c r="F496" s="5">
        <v>4550</v>
      </c>
      <c r="G496" s="5">
        <v>290</v>
      </c>
      <c r="I496" s="40">
        <f t="shared" si="16"/>
        <v>4550</v>
      </c>
      <c r="J496" s="40">
        <f t="shared" si="17"/>
        <v>290</v>
      </c>
      <c r="K496" s="1">
        <v>4550</v>
      </c>
      <c r="L496" s="1">
        <v>290</v>
      </c>
      <c r="M496">
        <f t="shared" si="18"/>
        <v>0</v>
      </c>
      <c r="N496" s="1">
        <v>0.48</v>
      </c>
      <c r="O496" s="1">
        <v>60</v>
      </c>
      <c r="P496" s="24">
        <v>0.33229999999999998</v>
      </c>
      <c r="Q496" s="31">
        <f>C496-N496</f>
        <v>-1.9999999999997797E-4</v>
      </c>
      <c r="R496" s="41">
        <f>D496-O496</f>
        <v>0</v>
      </c>
      <c r="S496" s="41">
        <f>E496-P496</f>
        <v>0</v>
      </c>
    </row>
    <row r="497" spans="1:23" x14ac:dyDescent="0.15">
      <c r="A497" s="1">
        <v>6</v>
      </c>
      <c r="B497" s="1">
        <v>12</v>
      </c>
      <c r="C497" s="10">
        <v>0.4798</v>
      </c>
      <c r="D497" s="5">
        <v>60</v>
      </c>
      <c r="E497" s="10">
        <v>0.33729999999999999</v>
      </c>
      <c r="F497" s="5">
        <v>4530</v>
      </c>
      <c r="G497" s="5">
        <v>310</v>
      </c>
      <c r="I497" s="40">
        <f t="shared" si="16"/>
        <v>4530</v>
      </c>
      <c r="J497" s="40">
        <f t="shared" si="17"/>
        <v>310</v>
      </c>
      <c r="K497" s="1">
        <v>4530</v>
      </c>
      <c r="L497" s="1">
        <v>310</v>
      </c>
      <c r="M497">
        <f t="shared" si="18"/>
        <v>0</v>
      </c>
      <c r="N497" s="1">
        <v>0.48</v>
      </c>
      <c r="O497" s="1">
        <v>60</v>
      </c>
      <c r="P497" s="24">
        <v>0.33729999999999999</v>
      </c>
      <c r="Q497" s="31">
        <f>C497-N497</f>
        <v>-1.9999999999997797E-4</v>
      </c>
      <c r="R497" s="41">
        <f>D497-O497</f>
        <v>0</v>
      </c>
      <c r="S497" s="41">
        <f>E497-P497</f>
        <v>0</v>
      </c>
    </row>
    <row r="498" spans="1:23" x14ac:dyDescent="0.15">
      <c r="A498" s="1">
        <v>6</v>
      </c>
      <c r="B498" s="1">
        <v>12</v>
      </c>
      <c r="C498" s="10">
        <v>0.4798</v>
      </c>
      <c r="D498" s="5">
        <v>60</v>
      </c>
      <c r="E498" s="10">
        <v>0.34229999999999999</v>
      </c>
      <c r="F498" s="5">
        <v>4620</v>
      </c>
      <c r="G498" s="5">
        <v>400</v>
      </c>
      <c r="I498" s="40">
        <f t="shared" si="16"/>
        <v>4620</v>
      </c>
      <c r="J498" s="40">
        <f t="shared" si="17"/>
        <v>400</v>
      </c>
      <c r="K498" s="1">
        <v>4620</v>
      </c>
      <c r="L498" s="1">
        <v>400</v>
      </c>
      <c r="M498">
        <f t="shared" si="18"/>
        <v>0</v>
      </c>
      <c r="N498" s="1">
        <v>0.48</v>
      </c>
      <c r="O498" s="1">
        <v>60</v>
      </c>
      <c r="P498" s="24">
        <v>0.34229999999999999</v>
      </c>
      <c r="Q498" s="31">
        <f>C498-N498</f>
        <v>-1.9999999999997797E-4</v>
      </c>
      <c r="R498" s="41">
        <f>D498-O498</f>
        <v>0</v>
      </c>
      <c r="S498" s="41">
        <f>E498-P498</f>
        <v>0</v>
      </c>
    </row>
    <row r="499" spans="1:23" x14ac:dyDescent="0.15">
      <c r="A499" s="12">
        <v>6</v>
      </c>
      <c r="B499" s="12">
        <v>12</v>
      </c>
      <c r="C499" s="13">
        <v>0.44</v>
      </c>
      <c r="D499" s="14">
        <v>60</v>
      </c>
      <c r="E499" s="13">
        <v>7.4999999999999997E-3</v>
      </c>
      <c r="F499" s="14">
        <v>830</v>
      </c>
      <c r="G499" s="14">
        <v>30</v>
      </c>
      <c r="I499" s="40">
        <f t="shared" si="16"/>
        <v>830</v>
      </c>
      <c r="J499" s="40">
        <f t="shared" si="17"/>
        <v>30</v>
      </c>
      <c r="K499" s="12">
        <v>830</v>
      </c>
      <c r="L499" s="12">
        <v>30</v>
      </c>
      <c r="M499">
        <f t="shared" si="18"/>
        <v>0</v>
      </c>
      <c r="N499" s="12">
        <v>0.44</v>
      </c>
      <c r="O499" s="12">
        <v>60</v>
      </c>
      <c r="P499" s="24">
        <v>7.4999999999999997E-3</v>
      </c>
      <c r="Q499" s="31">
        <f>C499-N499</f>
        <v>0</v>
      </c>
      <c r="R499" s="41">
        <f>D499-O499</f>
        <v>0</v>
      </c>
      <c r="S499" s="41">
        <f>E499-P499</f>
        <v>0</v>
      </c>
    </row>
    <row r="500" spans="1:23" x14ac:dyDescent="0.15">
      <c r="A500" s="1">
        <v>6</v>
      </c>
      <c r="B500" s="1">
        <v>12</v>
      </c>
      <c r="C500" s="10">
        <v>0.44</v>
      </c>
      <c r="D500" s="5">
        <v>60</v>
      </c>
      <c r="E500" s="10">
        <v>1.2500000000000001E-2</v>
      </c>
      <c r="F500" s="5">
        <v>1210</v>
      </c>
      <c r="G500" s="5">
        <v>40</v>
      </c>
      <c r="I500" s="40">
        <f t="shared" si="16"/>
        <v>1210</v>
      </c>
      <c r="J500" s="40">
        <f t="shared" si="17"/>
        <v>40</v>
      </c>
      <c r="K500" s="1">
        <v>1210</v>
      </c>
      <c r="L500" s="1">
        <v>40</v>
      </c>
      <c r="M500">
        <f t="shared" si="18"/>
        <v>0</v>
      </c>
      <c r="N500" s="1">
        <v>0.44</v>
      </c>
      <c r="O500" s="1">
        <v>60</v>
      </c>
      <c r="P500" s="24">
        <v>1.2500000000000001E-2</v>
      </c>
      <c r="Q500" s="31">
        <f>C500-N500</f>
        <v>0</v>
      </c>
      <c r="R500" s="41">
        <f>D500-O500</f>
        <v>0</v>
      </c>
      <c r="S500" s="41">
        <f>E500-P500</f>
        <v>0</v>
      </c>
    </row>
    <row r="501" spans="1:23" x14ac:dyDescent="0.15">
      <c r="A501" s="1">
        <v>6</v>
      </c>
      <c r="B501" s="1">
        <v>12</v>
      </c>
      <c r="C501" s="10">
        <v>0.44</v>
      </c>
      <c r="D501" s="5">
        <v>60</v>
      </c>
      <c r="E501" s="10">
        <v>1.7500000000000002E-2</v>
      </c>
      <c r="F501" s="5">
        <v>1320</v>
      </c>
      <c r="G501" s="5">
        <v>30</v>
      </c>
      <c r="I501" s="40">
        <f t="shared" si="16"/>
        <v>1320</v>
      </c>
      <c r="J501" s="40">
        <f t="shared" si="17"/>
        <v>30</v>
      </c>
      <c r="K501" s="1">
        <v>1320</v>
      </c>
      <c r="L501" s="1">
        <v>30</v>
      </c>
      <c r="M501">
        <f t="shared" si="18"/>
        <v>0</v>
      </c>
      <c r="N501" s="1">
        <v>0.44</v>
      </c>
      <c r="O501" s="1">
        <v>60</v>
      </c>
      <c r="P501" s="24">
        <v>1.7500000000000002E-2</v>
      </c>
      <c r="Q501" s="31">
        <f>C501-N501</f>
        <v>0</v>
      </c>
      <c r="R501" s="41">
        <f>D501-O501</f>
        <v>0</v>
      </c>
      <c r="S501" s="41">
        <f>E501-P501</f>
        <v>0</v>
      </c>
    </row>
    <row r="502" spans="1:23" x14ac:dyDescent="0.15">
      <c r="A502" s="1">
        <v>6</v>
      </c>
      <c r="B502" s="1">
        <v>12</v>
      </c>
      <c r="C502" s="10">
        <v>0.44</v>
      </c>
      <c r="D502" s="5">
        <v>60</v>
      </c>
      <c r="E502" s="10">
        <v>2.2499999999999999E-2</v>
      </c>
      <c r="F502" s="5">
        <v>1770</v>
      </c>
      <c r="G502" s="5">
        <v>30</v>
      </c>
      <c r="I502" s="40">
        <f t="shared" si="16"/>
        <v>1770</v>
      </c>
      <c r="J502" s="40">
        <f t="shared" si="17"/>
        <v>30</v>
      </c>
      <c r="K502" s="1">
        <v>1770</v>
      </c>
      <c r="L502" s="1">
        <v>30</v>
      </c>
      <c r="M502">
        <f t="shared" si="18"/>
        <v>0</v>
      </c>
      <c r="N502" s="1">
        <v>0.44</v>
      </c>
      <c r="O502" s="1">
        <v>60</v>
      </c>
      <c r="P502" s="24">
        <v>2.2499999999999999E-2</v>
      </c>
      <c r="Q502" s="31">
        <f>C502-N502</f>
        <v>0</v>
      </c>
      <c r="R502" s="41">
        <f>D502-O502</f>
        <v>0</v>
      </c>
      <c r="S502" s="41">
        <f>E502-P502</f>
        <v>0</v>
      </c>
    </row>
    <row r="503" spans="1:23" x14ac:dyDescent="0.15">
      <c r="A503" s="1">
        <v>6</v>
      </c>
      <c r="B503" s="1">
        <v>12</v>
      </c>
      <c r="C503" s="10">
        <v>0.44</v>
      </c>
      <c r="D503" s="5">
        <v>60</v>
      </c>
      <c r="E503" s="10">
        <v>2.75E-2</v>
      </c>
      <c r="F503" s="5">
        <v>2960</v>
      </c>
      <c r="G503" s="5">
        <v>50</v>
      </c>
      <c r="I503" s="40">
        <f t="shared" si="16"/>
        <v>2960</v>
      </c>
      <c r="J503" s="40">
        <f t="shared" si="17"/>
        <v>50</v>
      </c>
      <c r="K503" s="1">
        <v>2960</v>
      </c>
      <c r="L503" s="1">
        <v>50</v>
      </c>
      <c r="M503">
        <f t="shared" si="18"/>
        <v>0</v>
      </c>
      <c r="N503" s="1">
        <v>0.44</v>
      </c>
      <c r="O503" s="1">
        <v>60</v>
      </c>
      <c r="P503" s="24">
        <v>2.75E-2</v>
      </c>
      <c r="Q503" s="31">
        <f>C503-N503</f>
        <v>0</v>
      </c>
      <c r="R503" s="41">
        <f>D503-O503</f>
        <v>0</v>
      </c>
      <c r="S503" s="41">
        <f>E503-P503</f>
        <v>0</v>
      </c>
    </row>
    <row r="504" spans="1:23" x14ac:dyDescent="0.15">
      <c r="A504" s="1">
        <v>6</v>
      </c>
      <c r="B504" s="1">
        <v>12</v>
      </c>
      <c r="C504" s="10">
        <v>0.44</v>
      </c>
      <c r="D504" s="5">
        <v>60</v>
      </c>
      <c r="E504" s="10">
        <v>3.2500000000000001E-2</v>
      </c>
      <c r="F504" s="5">
        <v>3140</v>
      </c>
      <c r="G504" s="5">
        <v>60</v>
      </c>
      <c r="I504" s="40">
        <f t="shared" si="16"/>
        <v>3140</v>
      </c>
      <c r="J504" s="40">
        <f t="shared" si="17"/>
        <v>60</v>
      </c>
      <c r="K504" s="1">
        <v>3140</v>
      </c>
      <c r="L504" s="1">
        <v>60</v>
      </c>
      <c r="M504">
        <f t="shared" si="18"/>
        <v>0</v>
      </c>
      <c r="N504" s="1">
        <v>0.44</v>
      </c>
      <c r="O504" s="1">
        <v>60</v>
      </c>
      <c r="P504" s="24">
        <v>3.2500000000000001E-2</v>
      </c>
      <c r="Q504" s="31">
        <f>C504-N504</f>
        <v>0</v>
      </c>
      <c r="R504" s="41">
        <f>D504-O504</f>
        <v>0</v>
      </c>
      <c r="S504" s="41">
        <f>E504-P504</f>
        <v>0</v>
      </c>
    </row>
    <row r="505" spans="1:23" x14ac:dyDescent="0.15">
      <c r="A505" s="1">
        <v>6</v>
      </c>
      <c r="B505" s="1">
        <v>12</v>
      </c>
      <c r="C505" s="10">
        <v>0.44</v>
      </c>
      <c r="D505" s="5">
        <v>60</v>
      </c>
      <c r="E505" s="10">
        <v>3.7499999999999999E-2</v>
      </c>
      <c r="F505" s="5">
        <v>3640</v>
      </c>
      <c r="G505" s="5">
        <v>60</v>
      </c>
      <c r="I505" s="40">
        <f t="shared" ref="I505:I568" si="19">F505</f>
        <v>3640</v>
      </c>
      <c r="J505" s="40">
        <f t="shared" ref="J505:J568" si="20">G505</f>
        <v>60</v>
      </c>
      <c r="K505" s="1">
        <v>3640</v>
      </c>
      <c r="L505" s="1">
        <v>60</v>
      </c>
      <c r="M505">
        <f t="shared" si="18"/>
        <v>0</v>
      </c>
      <c r="N505" s="1">
        <v>0.44</v>
      </c>
      <c r="O505" s="1">
        <v>60</v>
      </c>
      <c r="P505" s="24">
        <v>3.7499999999999999E-2</v>
      </c>
      <c r="Q505" s="31">
        <f>C505-N505</f>
        <v>0</v>
      </c>
      <c r="R505" s="41">
        <f>D505-O505</f>
        <v>0</v>
      </c>
      <c r="S505" s="41">
        <f>E505-P505</f>
        <v>0</v>
      </c>
    </row>
    <row r="506" spans="1:23" x14ac:dyDescent="0.15">
      <c r="A506" s="1">
        <v>6</v>
      </c>
      <c r="B506" s="1">
        <v>12</v>
      </c>
      <c r="C506" s="10">
        <v>0.44</v>
      </c>
      <c r="D506" s="5">
        <v>60</v>
      </c>
      <c r="E506" s="10">
        <v>4.2500000000000003E-2</v>
      </c>
      <c r="F506" s="5">
        <v>4360</v>
      </c>
      <c r="G506" s="5">
        <v>70</v>
      </c>
      <c r="I506" s="40">
        <f t="shared" si="19"/>
        <v>4360</v>
      </c>
      <c r="J506" s="40">
        <f t="shared" si="20"/>
        <v>70</v>
      </c>
      <c r="K506" s="1">
        <v>4360</v>
      </c>
      <c r="L506" s="1">
        <v>70</v>
      </c>
      <c r="M506">
        <f t="shared" si="18"/>
        <v>0</v>
      </c>
      <c r="N506" s="1">
        <v>0.44</v>
      </c>
      <c r="O506" s="1">
        <v>60</v>
      </c>
      <c r="P506" s="24">
        <v>4.2500000000000003E-2</v>
      </c>
      <c r="Q506" s="31">
        <f>C506-N506</f>
        <v>0</v>
      </c>
      <c r="R506" s="41">
        <f>D506-O506</f>
        <v>0</v>
      </c>
      <c r="S506" s="41">
        <f>E506-P506</f>
        <v>0</v>
      </c>
    </row>
    <row r="507" spans="1:23" x14ac:dyDescent="0.15">
      <c r="A507" s="1">
        <v>6</v>
      </c>
      <c r="B507" s="1">
        <v>12</v>
      </c>
      <c r="C507" s="10">
        <v>0.44</v>
      </c>
      <c r="D507" s="5">
        <v>60</v>
      </c>
      <c r="E507" s="10">
        <v>4.7500000000000001E-2</v>
      </c>
      <c r="F507" s="5">
        <v>4940</v>
      </c>
      <c r="G507" s="5">
        <v>80</v>
      </c>
      <c r="I507" s="40">
        <f t="shared" si="19"/>
        <v>4940</v>
      </c>
      <c r="J507" s="40">
        <f t="shared" si="20"/>
        <v>80</v>
      </c>
      <c r="K507" s="1">
        <v>4940</v>
      </c>
      <c r="L507" s="1">
        <v>80</v>
      </c>
      <c r="M507">
        <f t="shared" si="18"/>
        <v>0</v>
      </c>
      <c r="N507" s="1">
        <v>0.44</v>
      </c>
      <c r="O507" s="1">
        <v>60</v>
      </c>
      <c r="P507" s="24">
        <v>4.7500000000000001E-2</v>
      </c>
      <c r="Q507" s="31">
        <f>C507-N507</f>
        <v>0</v>
      </c>
      <c r="R507" s="41">
        <f>D507-O507</f>
        <v>0</v>
      </c>
      <c r="S507" s="41">
        <f>E507-P507</f>
        <v>0</v>
      </c>
    </row>
    <row r="508" spans="1:23" x14ac:dyDescent="0.15">
      <c r="A508" s="1">
        <v>6</v>
      </c>
      <c r="B508" s="1">
        <v>12</v>
      </c>
      <c r="C508" s="10">
        <v>0.44</v>
      </c>
      <c r="D508" s="5">
        <v>60</v>
      </c>
      <c r="E508" s="10">
        <v>5.2499999999999998E-2</v>
      </c>
      <c r="F508" s="5">
        <v>5800</v>
      </c>
      <c r="G508" s="5">
        <v>90</v>
      </c>
      <c r="I508" s="40">
        <f t="shared" si="19"/>
        <v>5800</v>
      </c>
      <c r="J508" s="40">
        <f t="shared" si="20"/>
        <v>90</v>
      </c>
      <c r="K508" s="1">
        <v>5800</v>
      </c>
      <c r="L508" s="1">
        <v>90</v>
      </c>
      <c r="M508">
        <f t="shared" si="18"/>
        <v>0</v>
      </c>
      <c r="N508" s="1">
        <v>0.44</v>
      </c>
      <c r="O508" s="1">
        <v>60</v>
      </c>
      <c r="P508" s="24">
        <v>5.2499999999999998E-2</v>
      </c>
      <c r="Q508" s="31">
        <f>C508-N508</f>
        <v>0</v>
      </c>
      <c r="R508" s="41">
        <f>D508-O508</f>
        <v>0</v>
      </c>
      <c r="S508" s="41">
        <f>E508-P508</f>
        <v>0</v>
      </c>
    </row>
    <row r="509" spans="1:23" s="15" customFormat="1" x14ac:dyDescent="0.15">
      <c r="A509" s="1">
        <v>6</v>
      </c>
      <c r="B509" s="1">
        <v>12</v>
      </c>
      <c r="C509" s="10">
        <v>0.44</v>
      </c>
      <c r="D509" s="5">
        <v>60</v>
      </c>
      <c r="E509" s="10">
        <v>5.7500000000000002E-2</v>
      </c>
      <c r="F509" s="5">
        <v>6530</v>
      </c>
      <c r="G509" s="5">
        <v>100</v>
      </c>
      <c r="H509" s="12"/>
      <c r="I509" s="40">
        <f t="shared" si="19"/>
        <v>6530</v>
      </c>
      <c r="J509" s="40">
        <f t="shared" si="20"/>
        <v>100</v>
      </c>
      <c r="K509" s="1">
        <v>6530</v>
      </c>
      <c r="L509" s="1">
        <v>100</v>
      </c>
      <c r="M509">
        <f t="shared" si="18"/>
        <v>0</v>
      </c>
      <c r="N509" s="1">
        <v>0.44</v>
      </c>
      <c r="O509" s="1">
        <v>60</v>
      </c>
      <c r="P509" s="24">
        <v>5.7500000000000002E-2</v>
      </c>
      <c r="Q509" s="31">
        <f>C509-N509</f>
        <v>0</v>
      </c>
      <c r="R509" s="41">
        <f>D509-O509</f>
        <v>0</v>
      </c>
      <c r="S509" s="41">
        <f>E509-P509</f>
        <v>0</v>
      </c>
      <c r="U509" s="12"/>
      <c r="V509" s="12"/>
      <c r="W509" s="12"/>
    </row>
    <row r="510" spans="1:23" x14ac:dyDescent="0.15">
      <c r="A510" s="1">
        <v>6</v>
      </c>
      <c r="B510" s="1">
        <v>12</v>
      </c>
      <c r="C510" s="10">
        <v>0.44</v>
      </c>
      <c r="D510" s="5">
        <v>60</v>
      </c>
      <c r="E510" s="10">
        <v>6.25E-2</v>
      </c>
      <c r="F510" s="5">
        <v>7440</v>
      </c>
      <c r="G510" s="5">
        <v>120</v>
      </c>
      <c r="I510" s="40">
        <f t="shared" si="19"/>
        <v>7440</v>
      </c>
      <c r="J510" s="40">
        <f t="shared" si="20"/>
        <v>120</v>
      </c>
      <c r="K510" s="1">
        <v>7440</v>
      </c>
      <c r="L510" s="1">
        <v>120</v>
      </c>
      <c r="M510">
        <f t="shared" si="18"/>
        <v>0</v>
      </c>
      <c r="N510" s="1">
        <v>0.44</v>
      </c>
      <c r="O510" s="1">
        <v>60</v>
      </c>
      <c r="P510" s="24">
        <v>6.25E-2</v>
      </c>
      <c r="Q510" s="31">
        <f>C510-N510</f>
        <v>0</v>
      </c>
      <c r="R510" s="41">
        <f>D510-O510</f>
        <v>0</v>
      </c>
      <c r="S510" s="41">
        <f>E510-P510</f>
        <v>0</v>
      </c>
    </row>
    <row r="511" spans="1:23" x14ac:dyDescent="0.15">
      <c r="A511" s="1">
        <v>6</v>
      </c>
      <c r="B511" s="1">
        <v>12</v>
      </c>
      <c r="C511" s="10">
        <v>0.44</v>
      </c>
      <c r="D511" s="5">
        <v>60</v>
      </c>
      <c r="E511" s="10">
        <v>6.7500000000000004E-2</v>
      </c>
      <c r="F511" s="5">
        <v>8090</v>
      </c>
      <c r="G511" s="5">
        <v>130</v>
      </c>
      <c r="I511" s="40">
        <f t="shared" si="19"/>
        <v>8090</v>
      </c>
      <c r="J511" s="40">
        <f t="shared" si="20"/>
        <v>130</v>
      </c>
      <c r="K511" s="1">
        <v>8090</v>
      </c>
      <c r="L511" s="1">
        <v>130</v>
      </c>
      <c r="M511">
        <f t="shared" si="18"/>
        <v>0</v>
      </c>
      <c r="N511" s="1">
        <v>0.44</v>
      </c>
      <c r="O511" s="1">
        <v>60</v>
      </c>
      <c r="P511" s="24">
        <v>6.7500000000000004E-2</v>
      </c>
      <c r="Q511" s="31">
        <f>C511-N511</f>
        <v>0</v>
      </c>
      <c r="R511" s="41">
        <f>D511-O511</f>
        <v>0</v>
      </c>
      <c r="S511" s="41">
        <f>E511-P511</f>
        <v>0</v>
      </c>
    </row>
    <row r="512" spans="1:23" x14ac:dyDescent="0.15">
      <c r="A512" s="1">
        <v>6</v>
      </c>
      <c r="B512" s="1">
        <v>12</v>
      </c>
      <c r="C512" s="10">
        <v>0.44</v>
      </c>
      <c r="D512" s="5">
        <v>60</v>
      </c>
      <c r="E512" s="10">
        <v>7.2499999999999995E-2</v>
      </c>
      <c r="F512" s="5">
        <v>8920</v>
      </c>
      <c r="G512" s="5">
        <v>140</v>
      </c>
      <c r="I512" s="40">
        <f t="shared" si="19"/>
        <v>8920</v>
      </c>
      <c r="J512" s="40">
        <f t="shared" si="20"/>
        <v>140</v>
      </c>
      <c r="K512" s="1">
        <v>8920</v>
      </c>
      <c r="L512" s="1">
        <v>140</v>
      </c>
      <c r="M512">
        <f t="shared" si="18"/>
        <v>0</v>
      </c>
      <c r="N512" s="1">
        <v>0.44</v>
      </c>
      <c r="O512" s="1">
        <v>60</v>
      </c>
      <c r="P512" s="24">
        <v>7.2499999999999995E-2</v>
      </c>
      <c r="Q512" s="31">
        <f>C512-N512</f>
        <v>0</v>
      </c>
      <c r="R512" s="41">
        <f>D512-O512</f>
        <v>0</v>
      </c>
      <c r="S512" s="41">
        <f>E512-P512</f>
        <v>0</v>
      </c>
    </row>
    <row r="513" spans="1:19" x14ac:dyDescent="0.15">
      <c r="A513" s="1">
        <v>6</v>
      </c>
      <c r="B513" s="1">
        <v>12</v>
      </c>
      <c r="C513" s="10">
        <v>0.44</v>
      </c>
      <c r="D513" s="5">
        <v>60</v>
      </c>
      <c r="E513" s="10">
        <v>7.7499999999999999E-2</v>
      </c>
      <c r="F513" s="5">
        <v>9470</v>
      </c>
      <c r="G513" s="5">
        <v>150</v>
      </c>
      <c r="I513" s="40">
        <f t="shared" si="19"/>
        <v>9470</v>
      </c>
      <c r="J513" s="40">
        <f t="shared" si="20"/>
        <v>150</v>
      </c>
      <c r="K513" s="1">
        <v>9470</v>
      </c>
      <c r="L513" s="1">
        <v>150</v>
      </c>
      <c r="M513">
        <f t="shared" si="18"/>
        <v>0</v>
      </c>
      <c r="N513" s="1">
        <v>0.44</v>
      </c>
      <c r="O513" s="1">
        <v>60</v>
      </c>
      <c r="P513" s="24">
        <v>7.7499999999999999E-2</v>
      </c>
      <c r="Q513" s="31">
        <f>C513-N513</f>
        <v>0</v>
      </c>
      <c r="R513" s="41">
        <f>D513-O513</f>
        <v>0</v>
      </c>
      <c r="S513" s="41">
        <f>E513-P513</f>
        <v>0</v>
      </c>
    </row>
    <row r="514" spans="1:19" x14ac:dyDescent="0.15">
      <c r="A514" s="1">
        <v>6</v>
      </c>
      <c r="B514" s="1">
        <v>12</v>
      </c>
      <c r="C514" s="10">
        <v>0.44</v>
      </c>
      <c r="D514" s="5">
        <v>60</v>
      </c>
      <c r="E514" s="10">
        <v>8.2500000000000004E-2</v>
      </c>
      <c r="F514" s="5">
        <v>9950</v>
      </c>
      <c r="G514" s="5">
        <v>160</v>
      </c>
      <c r="I514" s="40">
        <f t="shared" si="19"/>
        <v>9950</v>
      </c>
      <c r="J514" s="40">
        <f t="shared" si="20"/>
        <v>160</v>
      </c>
      <c r="K514" s="1">
        <v>9950</v>
      </c>
      <c r="L514" s="1">
        <v>160</v>
      </c>
      <c r="M514">
        <f t="shared" si="18"/>
        <v>0</v>
      </c>
      <c r="N514" s="1">
        <v>0.44</v>
      </c>
      <c r="O514" s="1">
        <v>60</v>
      </c>
      <c r="P514" s="24">
        <v>8.2500000000000004E-2</v>
      </c>
      <c r="Q514" s="31">
        <f>C514-N514</f>
        <v>0</v>
      </c>
      <c r="R514" s="41">
        <f>D514-O514</f>
        <v>0</v>
      </c>
      <c r="S514" s="41">
        <f>E514-P514</f>
        <v>0</v>
      </c>
    </row>
    <row r="515" spans="1:19" x14ac:dyDescent="0.15">
      <c r="A515" s="1">
        <v>6</v>
      </c>
      <c r="B515" s="1">
        <v>12</v>
      </c>
      <c r="C515" s="10">
        <v>0.44</v>
      </c>
      <c r="D515" s="5">
        <v>60</v>
      </c>
      <c r="E515" s="10">
        <v>8.7499999999999994E-2</v>
      </c>
      <c r="F515" s="5">
        <v>10260</v>
      </c>
      <c r="G515" s="5">
        <v>170</v>
      </c>
      <c r="I515" s="40">
        <f t="shared" si="19"/>
        <v>10260</v>
      </c>
      <c r="J515" s="40">
        <f t="shared" si="20"/>
        <v>170</v>
      </c>
      <c r="K515" s="1">
        <v>10260</v>
      </c>
      <c r="L515" s="1">
        <v>170</v>
      </c>
      <c r="M515">
        <f t="shared" ref="M515:M578" si="21">I515+J515-K515-L515</f>
        <v>0</v>
      </c>
      <c r="N515" s="1">
        <v>0.44</v>
      </c>
      <c r="O515" s="1">
        <v>60</v>
      </c>
      <c r="P515" s="24">
        <v>8.7499999999999994E-2</v>
      </c>
      <c r="Q515" s="31">
        <f>C515-N515</f>
        <v>0</v>
      </c>
      <c r="R515" s="41">
        <f>D515-O515</f>
        <v>0</v>
      </c>
      <c r="S515" s="41">
        <f>E515-P515</f>
        <v>0</v>
      </c>
    </row>
    <row r="516" spans="1:19" x14ac:dyDescent="0.15">
      <c r="A516" s="1">
        <v>6</v>
      </c>
      <c r="B516" s="1">
        <v>12</v>
      </c>
      <c r="C516" s="10">
        <v>0.44</v>
      </c>
      <c r="D516" s="5">
        <v>60</v>
      </c>
      <c r="E516" s="10">
        <v>9.2499999999999999E-2</v>
      </c>
      <c r="F516" s="5">
        <v>10760</v>
      </c>
      <c r="G516" s="5">
        <v>180</v>
      </c>
      <c r="I516" s="40">
        <f t="shared" si="19"/>
        <v>10760</v>
      </c>
      <c r="J516" s="40">
        <f t="shared" si="20"/>
        <v>180</v>
      </c>
      <c r="K516" s="1">
        <v>10760</v>
      </c>
      <c r="L516" s="1">
        <v>180</v>
      </c>
      <c r="M516">
        <f t="shared" si="21"/>
        <v>0</v>
      </c>
      <c r="N516" s="1">
        <v>0.44</v>
      </c>
      <c r="O516" s="1">
        <v>60</v>
      </c>
      <c r="P516" s="24">
        <v>9.2499999999999999E-2</v>
      </c>
      <c r="Q516" s="31">
        <f>C516-N516</f>
        <v>0</v>
      </c>
      <c r="R516" s="41">
        <f>D516-O516</f>
        <v>0</v>
      </c>
      <c r="S516" s="41">
        <f>E516-P516</f>
        <v>0</v>
      </c>
    </row>
    <row r="517" spans="1:19" x14ac:dyDescent="0.15">
      <c r="A517" s="1">
        <v>6</v>
      </c>
      <c r="B517" s="1">
        <v>12</v>
      </c>
      <c r="C517" s="10">
        <v>0.44</v>
      </c>
      <c r="D517" s="5">
        <v>60</v>
      </c>
      <c r="E517" s="10">
        <v>9.7500000000000003E-2</v>
      </c>
      <c r="F517" s="5">
        <v>10920</v>
      </c>
      <c r="G517" s="5">
        <v>190</v>
      </c>
      <c r="I517" s="40">
        <f t="shared" si="19"/>
        <v>10920</v>
      </c>
      <c r="J517" s="40">
        <f t="shared" si="20"/>
        <v>190</v>
      </c>
      <c r="K517" s="1">
        <v>10920</v>
      </c>
      <c r="L517" s="1">
        <v>190</v>
      </c>
      <c r="M517">
        <f t="shared" si="21"/>
        <v>0</v>
      </c>
      <c r="N517" s="1">
        <v>0.44</v>
      </c>
      <c r="O517" s="1">
        <v>60</v>
      </c>
      <c r="P517" s="24">
        <v>9.7500000000000003E-2</v>
      </c>
      <c r="Q517" s="31">
        <f>C517-N517</f>
        <v>0</v>
      </c>
      <c r="R517" s="41">
        <f>D517-O517</f>
        <v>0</v>
      </c>
      <c r="S517" s="41">
        <f>E517-P517</f>
        <v>0</v>
      </c>
    </row>
    <row r="518" spans="1:19" x14ac:dyDescent="0.15">
      <c r="A518" s="1">
        <v>6</v>
      </c>
      <c r="B518" s="1">
        <v>12</v>
      </c>
      <c r="C518" s="10">
        <v>0.44</v>
      </c>
      <c r="D518" s="5">
        <v>60</v>
      </c>
      <c r="E518" s="10">
        <v>0.10249999999999999</v>
      </c>
      <c r="F518" s="5">
        <v>11230</v>
      </c>
      <c r="G518" s="5">
        <v>200</v>
      </c>
      <c r="I518" s="40">
        <f t="shared" si="19"/>
        <v>11230</v>
      </c>
      <c r="J518" s="40">
        <f t="shared" si="20"/>
        <v>200</v>
      </c>
      <c r="K518" s="1">
        <v>11230</v>
      </c>
      <c r="L518" s="1">
        <v>200</v>
      </c>
      <c r="M518">
        <f t="shared" si="21"/>
        <v>0</v>
      </c>
      <c r="N518" s="1">
        <v>0.44</v>
      </c>
      <c r="O518" s="1">
        <v>60</v>
      </c>
      <c r="P518" s="24">
        <v>0.10249999999999999</v>
      </c>
      <c r="Q518" s="31">
        <f>C518-N518</f>
        <v>0</v>
      </c>
      <c r="R518" s="41">
        <f>D518-O518</f>
        <v>0</v>
      </c>
      <c r="S518" s="41">
        <f>E518-P518</f>
        <v>0</v>
      </c>
    </row>
    <row r="519" spans="1:19" x14ac:dyDescent="0.15">
      <c r="A519" s="1">
        <v>6</v>
      </c>
      <c r="B519" s="1">
        <v>12</v>
      </c>
      <c r="C519" s="10">
        <v>0.44</v>
      </c>
      <c r="D519" s="5">
        <v>60</v>
      </c>
      <c r="E519" s="10">
        <v>0.1075</v>
      </c>
      <c r="F519" s="5">
        <v>11070</v>
      </c>
      <c r="G519" s="5">
        <v>200</v>
      </c>
      <c r="I519" s="40">
        <f t="shared" si="19"/>
        <v>11070</v>
      </c>
      <c r="J519" s="40">
        <f t="shared" si="20"/>
        <v>200</v>
      </c>
      <c r="K519" s="1">
        <v>11070</v>
      </c>
      <c r="L519" s="1">
        <v>200</v>
      </c>
      <c r="M519">
        <f t="shared" si="21"/>
        <v>0</v>
      </c>
      <c r="N519" s="1">
        <v>0.44</v>
      </c>
      <c r="O519" s="1">
        <v>60</v>
      </c>
      <c r="P519" s="24">
        <v>0.1075</v>
      </c>
      <c r="Q519" s="31">
        <f>C519-N519</f>
        <v>0</v>
      </c>
      <c r="R519" s="41">
        <f>D519-O519</f>
        <v>0</v>
      </c>
      <c r="S519" s="41">
        <f>E519-P519</f>
        <v>0</v>
      </c>
    </row>
    <row r="520" spans="1:19" x14ac:dyDescent="0.15">
      <c r="A520" s="1">
        <v>6</v>
      </c>
      <c r="B520" s="1">
        <v>12</v>
      </c>
      <c r="C520" s="10">
        <v>0.44</v>
      </c>
      <c r="D520" s="5">
        <v>60</v>
      </c>
      <c r="E520" s="10">
        <v>0.1125</v>
      </c>
      <c r="F520" s="5">
        <v>10810</v>
      </c>
      <c r="G520" s="5">
        <v>200</v>
      </c>
      <c r="I520" s="40">
        <f t="shared" si="19"/>
        <v>10810</v>
      </c>
      <c r="J520" s="40">
        <f t="shared" si="20"/>
        <v>200</v>
      </c>
      <c r="K520" s="1">
        <v>10810</v>
      </c>
      <c r="L520" s="1">
        <v>200</v>
      </c>
      <c r="M520">
        <f t="shared" si="21"/>
        <v>0</v>
      </c>
      <c r="N520" s="1">
        <v>0.44</v>
      </c>
      <c r="O520" s="1">
        <v>60</v>
      </c>
      <c r="P520" s="24">
        <v>0.1125</v>
      </c>
      <c r="Q520" s="31">
        <f>C520-N520</f>
        <v>0</v>
      </c>
      <c r="R520" s="41">
        <f>D520-O520</f>
        <v>0</v>
      </c>
      <c r="S520" s="41">
        <f>E520-P520</f>
        <v>0</v>
      </c>
    </row>
    <row r="521" spans="1:19" x14ac:dyDescent="0.15">
      <c r="A521" s="1">
        <v>6</v>
      </c>
      <c r="B521" s="1">
        <v>12</v>
      </c>
      <c r="C521" s="10">
        <v>0.44</v>
      </c>
      <c r="D521" s="5">
        <v>60</v>
      </c>
      <c r="E521" s="10">
        <v>0.11749999999999999</v>
      </c>
      <c r="F521" s="5">
        <v>10590</v>
      </c>
      <c r="G521" s="5">
        <v>200</v>
      </c>
      <c r="I521" s="40">
        <f t="shared" si="19"/>
        <v>10590</v>
      </c>
      <c r="J521" s="40">
        <f t="shared" si="20"/>
        <v>200</v>
      </c>
      <c r="K521" s="1">
        <v>10590</v>
      </c>
      <c r="L521" s="1">
        <v>200</v>
      </c>
      <c r="M521">
        <f t="shared" si="21"/>
        <v>0</v>
      </c>
      <c r="N521" s="1">
        <v>0.44</v>
      </c>
      <c r="O521" s="1">
        <v>60</v>
      </c>
      <c r="P521" s="24">
        <v>0.11749999999999999</v>
      </c>
      <c r="Q521" s="31">
        <f>C521-N521</f>
        <v>0</v>
      </c>
      <c r="R521" s="41">
        <f>D521-O521</f>
        <v>0</v>
      </c>
      <c r="S521" s="41">
        <f>E521-P521</f>
        <v>0</v>
      </c>
    </row>
    <row r="522" spans="1:19" ht="14" thickBot="1" x14ac:dyDescent="0.2">
      <c r="A522" s="1">
        <v>6</v>
      </c>
      <c r="B522" s="1">
        <v>12</v>
      </c>
      <c r="C522" s="10">
        <v>0.44</v>
      </c>
      <c r="D522" s="5">
        <v>60</v>
      </c>
      <c r="E522" s="10">
        <v>0.1225</v>
      </c>
      <c r="F522" s="5">
        <v>10170</v>
      </c>
      <c r="G522" s="5">
        <v>210</v>
      </c>
      <c r="I522" s="40">
        <f t="shared" si="19"/>
        <v>10170</v>
      </c>
      <c r="J522" s="40">
        <f t="shared" si="20"/>
        <v>210</v>
      </c>
      <c r="K522" s="1">
        <v>10170</v>
      </c>
      <c r="L522" s="1">
        <v>210</v>
      </c>
      <c r="M522">
        <f t="shared" si="21"/>
        <v>0</v>
      </c>
      <c r="N522" s="1">
        <v>0.44</v>
      </c>
      <c r="O522" s="1">
        <v>60</v>
      </c>
      <c r="P522" s="44">
        <v>0.1225</v>
      </c>
      <c r="Q522" s="31">
        <f>C522-N522</f>
        <v>0</v>
      </c>
      <c r="R522" s="41">
        <f>D522-O522</f>
        <v>0</v>
      </c>
      <c r="S522" s="41">
        <f>E522-P522</f>
        <v>0</v>
      </c>
    </row>
    <row r="523" spans="1:19" ht="14" thickTop="1" x14ac:dyDescent="0.15">
      <c r="A523" s="1">
        <v>6</v>
      </c>
      <c r="B523" s="1">
        <v>12</v>
      </c>
      <c r="C523" s="10">
        <v>0.44</v>
      </c>
      <c r="D523" s="5">
        <v>60</v>
      </c>
      <c r="E523" s="10">
        <v>0.1275</v>
      </c>
      <c r="F523" s="5">
        <v>9640</v>
      </c>
      <c r="G523" s="5">
        <v>200</v>
      </c>
      <c r="I523" s="40">
        <f t="shared" si="19"/>
        <v>9640</v>
      </c>
      <c r="J523" s="40">
        <f t="shared" si="20"/>
        <v>200</v>
      </c>
      <c r="K523" s="1">
        <v>9640</v>
      </c>
      <c r="L523" s="1">
        <v>200</v>
      </c>
      <c r="M523">
        <f t="shared" si="21"/>
        <v>0</v>
      </c>
      <c r="N523" s="1">
        <v>0.44</v>
      </c>
      <c r="O523" s="1">
        <v>60</v>
      </c>
      <c r="P523" s="24">
        <v>0.1275</v>
      </c>
      <c r="Q523" s="31">
        <f>C523-N523</f>
        <v>0</v>
      </c>
      <c r="R523" s="41">
        <f>D523-O523</f>
        <v>0</v>
      </c>
      <c r="S523" s="41">
        <f>E523-P523</f>
        <v>0</v>
      </c>
    </row>
    <row r="524" spans="1:19" x14ac:dyDescent="0.15">
      <c r="A524" s="1">
        <v>6</v>
      </c>
      <c r="B524" s="1">
        <v>12</v>
      </c>
      <c r="C524" s="10">
        <v>0.44</v>
      </c>
      <c r="D524" s="5">
        <v>60</v>
      </c>
      <c r="E524" s="10">
        <v>0.13250000000000001</v>
      </c>
      <c r="F524" s="5">
        <v>8810</v>
      </c>
      <c r="G524" s="5">
        <v>200</v>
      </c>
      <c r="I524" s="40">
        <f t="shared" si="19"/>
        <v>8810</v>
      </c>
      <c r="J524" s="40">
        <f t="shared" si="20"/>
        <v>200</v>
      </c>
      <c r="K524" s="1">
        <v>8810</v>
      </c>
      <c r="L524" s="1">
        <v>200</v>
      </c>
      <c r="M524">
        <f t="shared" si="21"/>
        <v>0</v>
      </c>
      <c r="N524" s="1">
        <v>0.44</v>
      </c>
      <c r="O524" s="1">
        <v>60</v>
      </c>
      <c r="P524" s="24">
        <v>0.13250000000000001</v>
      </c>
      <c r="Q524" s="31">
        <f>C524-N524</f>
        <v>0</v>
      </c>
      <c r="R524" s="41">
        <f>D524-O524</f>
        <v>0</v>
      </c>
      <c r="S524" s="41">
        <f>E524-P524</f>
        <v>0</v>
      </c>
    </row>
    <row r="525" spans="1:19" x14ac:dyDescent="0.15">
      <c r="A525" s="1">
        <v>6</v>
      </c>
      <c r="B525" s="1">
        <v>12</v>
      </c>
      <c r="C525" s="10">
        <v>0.44</v>
      </c>
      <c r="D525" s="5">
        <v>60</v>
      </c>
      <c r="E525" s="10">
        <v>0.13750000000000001</v>
      </c>
      <c r="F525" s="5">
        <v>8380</v>
      </c>
      <c r="G525" s="5">
        <v>200</v>
      </c>
      <c r="I525" s="40">
        <f t="shared" si="19"/>
        <v>8380</v>
      </c>
      <c r="J525" s="40">
        <f t="shared" si="20"/>
        <v>200</v>
      </c>
      <c r="K525" s="1">
        <v>8380</v>
      </c>
      <c r="L525" s="1">
        <v>200</v>
      </c>
      <c r="M525">
        <f t="shared" si="21"/>
        <v>0</v>
      </c>
      <c r="N525" s="1">
        <v>0.44</v>
      </c>
      <c r="O525" s="1">
        <v>60</v>
      </c>
      <c r="P525" s="24">
        <v>0.13750000000000001</v>
      </c>
      <c r="Q525" s="31">
        <f>C525-N525</f>
        <v>0</v>
      </c>
      <c r="R525" s="41">
        <f>D525-O525</f>
        <v>0</v>
      </c>
      <c r="S525" s="41">
        <f>E525-P525</f>
        <v>0</v>
      </c>
    </row>
    <row r="526" spans="1:19" x14ac:dyDescent="0.15">
      <c r="A526" s="1">
        <v>6</v>
      </c>
      <c r="B526" s="1">
        <v>12</v>
      </c>
      <c r="C526" s="10">
        <v>0.44</v>
      </c>
      <c r="D526" s="5">
        <v>60</v>
      </c>
      <c r="E526" s="10">
        <v>0.14249999999999999</v>
      </c>
      <c r="F526" s="5">
        <v>7560</v>
      </c>
      <c r="G526" s="5">
        <v>190</v>
      </c>
      <c r="I526" s="40">
        <f t="shared" si="19"/>
        <v>7560</v>
      </c>
      <c r="J526" s="40">
        <f t="shared" si="20"/>
        <v>190</v>
      </c>
      <c r="K526" s="1">
        <v>7560</v>
      </c>
      <c r="L526" s="1">
        <v>190</v>
      </c>
      <c r="M526">
        <f t="shared" si="21"/>
        <v>0</v>
      </c>
      <c r="N526" s="1">
        <v>0.44</v>
      </c>
      <c r="O526" s="1">
        <v>60</v>
      </c>
      <c r="P526" s="24">
        <v>0.14249999999999999</v>
      </c>
      <c r="Q526" s="31">
        <f>C526-N526</f>
        <v>0</v>
      </c>
      <c r="R526" s="41">
        <f>D526-O526</f>
        <v>0</v>
      </c>
      <c r="S526" s="41">
        <f>E526-P526</f>
        <v>0</v>
      </c>
    </row>
    <row r="527" spans="1:19" x14ac:dyDescent="0.15">
      <c r="A527" s="1">
        <v>6</v>
      </c>
      <c r="B527" s="1">
        <v>12</v>
      </c>
      <c r="C527" s="10">
        <v>0.44</v>
      </c>
      <c r="D527" s="5">
        <v>60</v>
      </c>
      <c r="E527" s="10">
        <v>0.14749999999999999</v>
      </c>
      <c r="F527" s="5">
        <v>7010</v>
      </c>
      <c r="G527" s="5">
        <v>180</v>
      </c>
      <c r="I527" s="40">
        <f t="shared" si="19"/>
        <v>7010</v>
      </c>
      <c r="J527" s="40">
        <f t="shared" si="20"/>
        <v>180</v>
      </c>
      <c r="K527" s="1">
        <v>7010</v>
      </c>
      <c r="L527" s="1">
        <v>180</v>
      </c>
      <c r="M527">
        <f t="shared" si="21"/>
        <v>0</v>
      </c>
      <c r="N527" s="1">
        <v>0.44</v>
      </c>
      <c r="O527" s="1">
        <v>60</v>
      </c>
      <c r="P527" s="24">
        <v>0.14749999999999999</v>
      </c>
      <c r="Q527" s="31">
        <f>C527-N527</f>
        <v>0</v>
      </c>
      <c r="R527" s="41">
        <f>D527-O527</f>
        <v>0</v>
      </c>
      <c r="S527" s="41">
        <f>E527-P527</f>
        <v>0</v>
      </c>
    </row>
    <row r="528" spans="1:19" x14ac:dyDescent="0.15">
      <c r="A528" s="1">
        <v>6</v>
      </c>
      <c r="B528" s="1">
        <v>12</v>
      </c>
      <c r="C528" s="10">
        <v>0.44</v>
      </c>
      <c r="D528" s="5">
        <v>60</v>
      </c>
      <c r="E528" s="10">
        <v>0.1525</v>
      </c>
      <c r="F528" s="5">
        <v>6290</v>
      </c>
      <c r="G528" s="5">
        <v>160</v>
      </c>
      <c r="I528" s="40">
        <f t="shared" si="19"/>
        <v>6290</v>
      </c>
      <c r="J528" s="40">
        <f t="shared" si="20"/>
        <v>160</v>
      </c>
      <c r="K528" s="1">
        <v>6290</v>
      </c>
      <c r="L528" s="1">
        <v>160</v>
      </c>
      <c r="M528">
        <f t="shared" si="21"/>
        <v>0</v>
      </c>
      <c r="N528" s="1">
        <v>0.44</v>
      </c>
      <c r="O528" s="1">
        <v>60</v>
      </c>
      <c r="P528" s="24">
        <v>0.1525</v>
      </c>
      <c r="Q528" s="31">
        <f>C528-N528</f>
        <v>0</v>
      </c>
      <c r="R528" s="41">
        <f>D528-O528</f>
        <v>0</v>
      </c>
      <c r="S528" s="41">
        <f>E528-P528</f>
        <v>0</v>
      </c>
    </row>
    <row r="529" spans="1:19" x14ac:dyDescent="0.15">
      <c r="A529" s="1">
        <v>6</v>
      </c>
      <c r="B529" s="1">
        <v>12</v>
      </c>
      <c r="C529" s="10">
        <v>0.44</v>
      </c>
      <c r="D529" s="5">
        <v>60</v>
      </c>
      <c r="E529" s="10">
        <v>0.1575</v>
      </c>
      <c r="F529" s="5">
        <v>5290</v>
      </c>
      <c r="G529" s="5">
        <v>150</v>
      </c>
      <c r="I529" s="40">
        <f t="shared" si="19"/>
        <v>5290</v>
      </c>
      <c r="J529" s="40">
        <f t="shared" si="20"/>
        <v>150</v>
      </c>
      <c r="K529" s="1">
        <v>5290</v>
      </c>
      <c r="L529" s="1">
        <v>150</v>
      </c>
      <c r="M529">
        <f t="shared" si="21"/>
        <v>0</v>
      </c>
      <c r="N529" s="1">
        <v>0.44</v>
      </c>
      <c r="O529" s="1">
        <v>60</v>
      </c>
      <c r="P529" s="24">
        <v>0.1575</v>
      </c>
      <c r="Q529" s="31">
        <f>C529-N529</f>
        <v>0</v>
      </c>
      <c r="R529" s="41">
        <f>D529-O529</f>
        <v>0</v>
      </c>
      <c r="S529" s="41">
        <f>E529-P529</f>
        <v>0</v>
      </c>
    </row>
    <row r="530" spans="1:19" x14ac:dyDescent="0.15">
      <c r="A530" s="1">
        <v>6</v>
      </c>
      <c r="B530" s="1">
        <v>12</v>
      </c>
      <c r="C530" s="10">
        <v>0.44</v>
      </c>
      <c r="D530" s="5">
        <v>60</v>
      </c>
      <c r="E530" s="10">
        <v>0.16250000000000001</v>
      </c>
      <c r="F530" s="5">
        <v>5360</v>
      </c>
      <c r="G530" s="5">
        <v>200</v>
      </c>
      <c r="I530" s="40">
        <f t="shared" si="19"/>
        <v>5360</v>
      </c>
      <c r="J530" s="40">
        <f t="shared" si="20"/>
        <v>200</v>
      </c>
      <c r="K530" s="1">
        <v>5360</v>
      </c>
      <c r="L530" s="1">
        <v>200</v>
      </c>
      <c r="M530">
        <f t="shared" si="21"/>
        <v>0</v>
      </c>
      <c r="N530" s="1">
        <v>0.44</v>
      </c>
      <c r="O530" s="1">
        <v>60</v>
      </c>
      <c r="P530" s="24">
        <v>0.16250000000000001</v>
      </c>
      <c r="Q530" s="31">
        <f>C530-N530</f>
        <v>0</v>
      </c>
      <c r="R530" s="41">
        <f>D530-O530</f>
        <v>0</v>
      </c>
      <c r="S530" s="41">
        <f>E530-P530</f>
        <v>0</v>
      </c>
    </row>
    <row r="531" spans="1:19" x14ac:dyDescent="0.15">
      <c r="A531" s="1">
        <v>6</v>
      </c>
      <c r="B531" s="1">
        <v>12</v>
      </c>
      <c r="C531" s="10">
        <v>0.44</v>
      </c>
      <c r="D531" s="5">
        <v>60</v>
      </c>
      <c r="E531" s="10">
        <v>0.16750000000000001</v>
      </c>
      <c r="F531" s="5">
        <v>4730</v>
      </c>
      <c r="G531" s="5">
        <v>150</v>
      </c>
      <c r="I531" s="40">
        <f t="shared" si="19"/>
        <v>4730</v>
      </c>
      <c r="J531" s="40">
        <f t="shared" si="20"/>
        <v>150</v>
      </c>
      <c r="K531" s="1">
        <v>4730</v>
      </c>
      <c r="L531" s="1">
        <v>150</v>
      </c>
      <c r="M531">
        <f t="shared" si="21"/>
        <v>0</v>
      </c>
      <c r="N531" s="1">
        <v>0.44</v>
      </c>
      <c r="O531" s="1">
        <v>60</v>
      </c>
      <c r="P531" s="24">
        <v>0.16750000000000001</v>
      </c>
      <c r="Q531" s="31">
        <f>C531-N531</f>
        <v>0</v>
      </c>
      <c r="R531" s="41">
        <f>D531-O531</f>
        <v>0</v>
      </c>
      <c r="S531" s="41">
        <f>E531-P531</f>
        <v>0</v>
      </c>
    </row>
    <row r="532" spans="1:19" x14ac:dyDescent="0.15">
      <c r="A532" s="1">
        <v>6</v>
      </c>
      <c r="B532" s="1">
        <v>12</v>
      </c>
      <c r="C532" s="10">
        <v>0.44</v>
      </c>
      <c r="D532" s="5">
        <v>60</v>
      </c>
      <c r="E532" s="10">
        <v>0.17249999999999999</v>
      </c>
      <c r="F532" s="5">
        <v>4410</v>
      </c>
      <c r="G532" s="5">
        <v>130</v>
      </c>
      <c r="I532" s="40">
        <f t="shared" si="19"/>
        <v>4410</v>
      </c>
      <c r="J532" s="40">
        <f t="shared" si="20"/>
        <v>130</v>
      </c>
      <c r="K532" s="1">
        <v>4410</v>
      </c>
      <c r="L532" s="1">
        <v>130</v>
      </c>
      <c r="M532">
        <f t="shared" si="21"/>
        <v>0</v>
      </c>
      <c r="N532" s="1">
        <v>0.44</v>
      </c>
      <c r="O532" s="1">
        <v>60</v>
      </c>
      <c r="P532" s="24">
        <v>0.17249999999999999</v>
      </c>
      <c r="Q532" s="31">
        <f>C532-N532</f>
        <v>0</v>
      </c>
      <c r="R532" s="41">
        <f>D532-O532</f>
        <v>0</v>
      </c>
      <c r="S532" s="41">
        <f>E532-P532</f>
        <v>0</v>
      </c>
    </row>
    <row r="533" spans="1:19" x14ac:dyDescent="0.15">
      <c r="A533" s="1">
        <v>6</v>
      </c>
      <c r="B533" s="1">
        <v>12</v>
      </c>
      <c r="C533" s="10">
        <v>0.44</v>
      </c>
      <c r="D533" s="5">
        <v>60</v>
      </c>
      <c r="E533" s="10">
        <v>0.17749999999999999</v>
      </c>
      <c r="F533" s="5">
        <v>3900</v>
      </c>
      <c r="G533" s="5">
        <v>130</v>
      </c>
      <c r="I533" s="40">
        <f t="shared" si="19"/>
        <v>3900</v>
      </c>
      <c r="J533" s="40">
        <f t="shared" si="20"/>
        <v>130</v>
      </c>
      <c r="K533" s="1">
        <v>3900</v>
      </c>
      <c r="L533" s="1">
        <v>130</v>
      </c>
      <c r="M533">
        <f t="shared" si="21"/>
        <v>0</v>
      </c>
      <c r="N533" s="1">
        <v>0.44</v>
      </c>
      <c r="O533" s="1">
        <v>60</v>
      </c>
      <c r="P533" s="24">
        <v>0.17749999999999999</v>
      </c>
      <c r="Q533" s="31">
        <f>C533-N533</f>
        <v>0</v>
      </c>
      <c r="R533" s="41">
        <f>D533-O533</f>
        <v>0</v>
      </c>
      <c r="S533" s="41">
        <f>E533-P533</f>
        <v>0</v>
      </c>
    </row>
    <row r="534" spans="1:19" x14ac:dyDescent="0.15">
      <c r="A534" s="1">
        <v>6</v>
      </c>
      <c r="B534" s="1">
        <v>12</v>
      </c>
      <c r="C534" s="10">
        <v>0.44</v>
      </c>
      <c r="D534" s="5">
        <v>60</v>
      </c>
      <c r="E534" s="10">
        <v>0.1825</v>
      </c>
      <c r="F534" s="5">
        <v>3550</v>
      </c>
      <c r="G534" s="5">
        <v>120</v>
      </c>
      <c r="I534" s="40">
        <f t="shared" si="19"/>
        <v>3550</v>
      </c>
      <c r="J534" s="40">
        <f t="shared" si="20"/>
        <v>120</v>
      </c>
      <c r="K534" s="1">
        <v>3550</v>
      </c>
      <c r="L534" s="1">
        <v>120</v>
      </c>
      <c r="M534">
        <f t="shared" si="21"/>
        <v>0</v>
      </c>
      <c r="N534" s="1">
        <v>0.44</v>
      </c>
      <c r="O534" s="1">
        <v>60</v>
      </c>
      <c r="P534" s="24">
        <v>0.1825</v>
      </c>
      <c r="Q534" s="31">
        <f>C534-N534</f>
        <v>0</v>
      </c>
      <c r="R534" s="41">
        <f>D534-O534</f>
        <v>0</v>
      </c>
      <c r="S534" s="41">
        <f>E534-P534</f>
        <v>0</v>
      </c>
    </row>
    <row r="535" spans="1:19" x14ac:dyDescent="0.15">
      <c r="A535" s="1">
        <v>6</v>
      </c>
      <c r="B535" s="1">
        <v>12</v>
      </c>
      <c r="C535" s="10">
        <v>0.44</v>
      </c>
      <c r="D535" s="5">
        <v>60</v>
      </c>
      <c r="E535" s="10">
        <v>0.1875</v>
      </c>
      <c r="F535" s="5">
        <v>3550</v>
      </c>
      <c r="G535" s="5">
        <v>120</v>
      </c>
      <c r="I535" s="40">
        <f t="shared" si="19"/>
        <v>3550</v>
      </c>
      <c r="J535" s="40">
        <f t="shared" si="20"/>
        <v>120</v>
      </c>
      <c r="K535" s="1">
        <v>3550</v>
      </c>
      <c r="L535" s="1">
        <v>120</v>
      </c>
      <c r="M535">
        <f t="shared" si="21"/>
        <v>0</v>
      </c>
      <c r="N535" s="1">
        <v>0.44</v>
      </c>
      <c r="O535" s="1">
        <v>60</v>
      </c>
      <c r="P535" s="24">
        <v>0.1875</v>
      </c>
      <c r="Q535" s="31">
        <f>C535-N535</f>
        <v>0</v>
      </c>
      <c r="R535" s="41">
        <f>D535-O535</f>
        <v>0</v>
      </c>
      <c r="S535" s="41">
        <f>E535-P535</f>
        <v>0</v>
      </c>
    </row>
    <row r="536" spans="1:19" x14ac:dyDescent="0.15">
      <c r="A536" s="1">
        <v>6</v>
      </c>
      <c r="B536" s="1">
        <v>12</v>
      </c>
      <c r="C536" s="10">
        <v>0.44</v>
      </c>
      <c r="D536" s="5">
        <v>60</v>
      </c>
      <c r="E536" s="10">
        <v>0.1925</v>
      </c>
      <c r="F536" s="5">
        <v>3250</v>
      </c>
      <c r="G536" s="5">
        <v>110</v>
      </c>
      <c r="I536" s="40">
        <f t="shared" si="19"/>
        <v>3250</v>
      </c>
      <c r="J536" s="40">
        <f t="shared" si="20"/>
        <v>110</v>
      </c>
      <c r="K536" s="1">
        <v>3250</v>
      </c>
      <c r="L536" s="1">
        <v>110</v>
      </c>
      <c r="M536">
        <f t="shared" si="21"/>
        <v>0</v>
      </c>
      <c r="N536" s="1">
        <v>0.44</v>
      </c>
      <c r="O536" s="1">
        <v>60</v>
      </c>
      <c r="P536" s="24">
        <v>0.1925</v>
      </c>
      <c r="Q536" s="31">
        <f>C536-N536</f>
        <v>0</v>
      </c>
      <c r="R536" s="41">
        <f>D536-O536</f>
        <v>0</v>
      </c>
      <c r="S536" s="41">
        <f>E536-P536</f>
        <v>0</v>
      </c>
    </row>
    <row r="537" spans="1:19" x14ac:dyDescent="0.15">
      <c r="A537" s="1">
        <v>6</v>
      </c>
      <c r="B537" s="1">
        <v>12</v>
      </c>
      <c r="C537" s="10">
        <v>0.44</v>
      </c>
      <c r="D537" s="5">
        <v>60</v>
      </c>
      <c r="E537" s="10">
        <v>0.19750000000000001</v>
      </c>
      <c r="F537" s="5">
        <v>3380</v>
      </c>
      <c r="G537" s="5">
        <v>110</v>
      </c>
      <c r="I537" s="40">
        <f t="shared" si="19"/>
        <v>3380</v>
      </c>
      <c r="J537" s="40">
        <f t="shared" si="20"/>
        <v>110</v>
      </c>
      <c r="K537" s="1">
        <v>3380</v>
      </c>
      <c r="L537" s="1">
        <v>110</v>
      </c>
      <c r="M537">
        <f t="shared" si="21"/>
        <v>0</v>
      </c>
      <c r="N537" s="1">
        <v>0.44</v>
      </c>
      <c r="O537" s="1">
        <v>60</v>
      </c>
      <c r="P537" s="24">
        <v>0.19750000000000001</v>
      </c>
      <c r="Q537" s="31">
        <f>C537-N537</f>
        <v>0</v>
      </c>
      <c r="R537" s="41">
        <f>D537-O537</f>
        <v>0</v>
      </c>
      <c r="S537" s="41">
        <f>E537-P537</f>
        <v>0</v>
      </c>
    </row>
    <row r="538" spans="1:19" x14ac:dyDescent="0.15">
      <c r="A538" s="1">
        <v>6</v>
      </c>
      <c r="B538" s="1">
        <v>12</v>
      </c>
      <c r="C538" s="10">
        <v>0.44</v>
      </c>
      <c r="D538" s="5">
        <v>60</v>
      </c>
      <c r="E538" s="10">
        <v>0.20250000000000001</v>
      </c>
      <c r="F538" s="5">
        <v>3280</v>
      </c>
      <c r="G538" s="5">
        <v>110</v>
      </c>
      <c r="I538" s="40">
        <f t="shared" si="19"/>
        <v>3280</v>
      </c>
      <c r="J538" s="40">
        <f t="shared" si="20"/>
        <v>110</v>
      </c>
      <c r="K538" s="1">
        <v>3280</v>
      </c>
      <c r="L538" s="1">
        <v>110</v>
      </c>
      <c r="M538">
        <f t="shared" si="21"/>
        <v>0</v>
      </c>
      <c r="N538" s="1">
        <v>0.44</v>
      </c>
      <c r="O538" s="1">
        <v>60</v>
      </c>
      <c r="P538" s="24">
        <v>0.20250000000000001</v>
      </c>
      <c r="Q538" s="31">
        <f>C538-N538</f>
        <v>0</v>
      </c>
      <c r="R538" s="41">
        <f>D538-O538</f>
        <v>0</v>
      </c>
      <c r="S538" s="41">
        <f>E538-P538</f>
        <v>0</v>
      </c>
    </row>
    <row r="539" spans="1:19" x14ac:dyDescent="0.15">
      <c r="A539" s="1">
        <v>6</v>
      </c>
      <c r="B539" s="1">
        <v>12</v>
      </c>
      <c r="C539" s="10">
        <v>0.44</v>
      </c>
      <c r="D539" s="5">
        <v>60</v>
      </c>
      <c r="E539" s="10">
        <v>0.20749999999999999</v>
      </c>
      <c r="F539" s="5">
        <v>3160</v>
      </c>
      <c r="G539" s="5">
        <v>110</v>
      </c>
      <c r="I539" s="40">
        <f t="shared" si="19"/>
        <v>3160</v>
      </c>
      <c r="J539" s="40">
        <f t="shared" si="20"/>
        <v>110</v>
      </c>
      <c r="K539" s="1">
        <v>3160</v>
      </c>
      <c r="L539" s="1">
        <v>110</v>
      </c>
      <c r="M539">
        <f t="shared" si="21"/>
        <v>0</v>
      </c>
      <c r="N539" s="1">
        <v>0.44</v>
      </c>
      <c r="O539" s="1">
        <v>60</v>
      </c>
      <c r="P539" s="24">
        <v>0.20749999999999999</v>
      </c>
      <c r="Q539" s="31">
        <f>C539-N539</f>
        <v>0</v>
      </c>
      <c r="R539" s="41">
        <f>D539-O539</f>
        <v>0</v>
      </c>
      <c r="S539" s="41">
        <f>E539-P539</f>
        <v>0</v>
      </c>
    </row>
    <row r="540" spans="1:19" x14ac:dyDescent="0.15">
      <c r="A540" s="1">
        <v>6</v>
      </c>
      <c r="B540" s="1">
        <v>12</v>
      </c>
      <c r="C540" s="10">
        <v>0.44</v>
      </c>
      <c r="D540" s="5">
        <v>60</v>
      </c>
      <c r="E540" s="10">
        <v>0.21249999999999999</v>
      </c>
      <c r="F540" s="5">
        <v>3200</v>
      </c>
      <c r="G540" s="5">
        <v>110</v>
      </c>
      <c r="I540" s="40">
        <f t="shared" si="19"/>
        <v>3200</v>
      </c>
      <c r="J540" s="40">
        <f t="shared" si="20"/>
        <v>110</v>
      </c>
      <c r="K540" s="1">
        <v>3200</v>
      </c>
      <c r="L540" s="1">
        <v>110</v>
      </c>
      <c r="M540">
        <f t="shared" si="21"/>
        <v>0</v>
      </c>
      <c r="N540" s="1">
        <v>0.44</v>
      </c>
      <c r="O540" s="1">
        <v>60</v>
      </c>
      <c r="P540" s="24">
        <v>0.21249999999999999</v>
      </c>
      <c r="Q540" s="31">
        <f>C540-N540</f>
        <v>0</v>
      </c>
      <c r="R540" s="41">
        <f>D540-O540</f>
        <v>0</v>
      </c>
      <c r="S540" s="41">
        <f>E540-P540</f>
        <v>0</v>
      </c>
    </row>
    <row r="541" spans="1:19" x14ac:dyDescent="0.15">
      <c r="A541" s="1">
        <v>6</v>
      </c>
      <c r="B541" s="1">
        <v>12</v>
      </c>
      <c r="C541" s="10">
        <v>0.44</v>
      </c>
      <c r="D541" s="5">
        <v>60</v>
      </c>
      <c r="E541" s="10">
        <v>0.2175</v>
      </c>
      <c r="F541" s="5">
        <v>3230</v>
      </c>
      <c r="G541" s="5">
        <v>120</v>
      </c>
      <c r="I541" s="40">
        <f t="shared" si="19"/>
        <v>3230</v>
      </c>
      <c r="J541" s="40">
        <f t="shared" si="20"/>
        <v>120</v>
      </c>
      <c r="K541" s="1">
        <v>3230</v>
      </c>
      <c r="L541" s="1">
        <v>120</v>
      </c>
      <c r="M541">
        <f t="shared" si="21"/>
        <v>0</v>
      </c>
      <c r="N541" s="1">
        <v>0.44</v>
      </c>
      <c r="O541" s="1">
        <v>60</v>
      </c>
      <c r="P541" s="24">
        <v>0.2175</v>
      </c>
      <c r="Q541" s="31">
        <f>C541-N541</f>
        <v>0</v>
      </c>
      <c r="R541" s="41">
        <f>D541-O541</f>
        <v>0</v>
      </c>
      <c r="S541" s="41">
        <f>E541-P541</f>
        <v>0</v>
      </c>
    </row>
    <row r="542" spans="1:19" x14ac:dyDescent="0.15">
      <c r="A542" s="1">
        <v>6</v>
      </c>
      <c r="B542" s="1">
        <v>12</v>
      </c>
      <c r="C542" s="10">
        <v>0.44</v>
      </c>
      <c r="D542" s="5">
        <v>60</v>
      </c>
      <c r="E542" s="10">
        <v>0.2225</v>
      </c>
      <c r="F542" s="5">
        <v>3250</v>
      </c>
      <c r="G542" s="5">
        <v>120</v>
      </c>
      <c r="I542" s="40">
        <f t="shared" si="19"/>
        <v>3250</v>
      </c>
      <c r="J542" s="40">
        <f t="shared" si="20"/>
        <v>120</v>
      </c>
      <c r="K542" s="1">
        <v>3250</v>
      </c>
      <c r="L542" s="1">
        <v>120</v>
      </c>
      <c r="M542">
        <f t="shared" si="21"/>
        <v>0</v>
      </c>
      <c r="N542" s="1">
        <v>0.44</v>
      </c>
      <c r="O542" s="1">
        <v>60</v>
      </c>
      <c r="P542" s="24">
        <v>0.2225</v>
      </c>
      <c r="Q542" s="31">
        <f>C542-N542</f>
        <v>0</v>
      </c>
      <c r="R542" s="41">
        <f>D542-O542</f>
        <v>0</v>
      </c>
      <c r="S542" s="41">
        <f>E542-P542</f>
        <v>0</v>
      </c>
    </row>
    <row r="543" spans="1:19" x14ac:dyDescent="0.15">
      <c r="A543" s="1">
        <v>6</v>
      </c>
      <c r="B543" s="1">
        <v>12</v>
      </c>
      <c r="C543" s="10">
        <v>0.44</v>
      </c>
      <c r="D543" s="5">
        <v>60</v>
      </c>
      <c r="E543" s="10">
        <v>0.22750000000000001</v>
      </c>
      <c r="F543" s="5">
        <v>3280</v>
      </c>
      <c r="G543" s="5">
        <v>120</v>
      </c>
      <c r="I543" s="40">
        <f t="shared" si="19"/>
        <v>3280</v>
      </c>
      <c r="J543" s="40">
        <f t="shared" si="20"/>
        <v>120</v>
      </c>
      <c r="K543" s="1">
        <v>3280</v>
      </c>
      <c r="L543" s="1">
        <v>120</v>
      </c>
      <c r="M543">
        <f t="shared" si="21"/>
        <v>0</v>
      </c>
      <c r="N543" s="1">
        <v>0.44</v>
      </c>
      <c r="O543" s="1">
        <v>60</v>
      </c>
      <c r="P543" s="24">
        <v>0.22750000000000001</v>
      </c>
      <c r="Q543" s="31">
        <f>C543-N543</f>
        <v>0</v>
      </c>
      <c r="R543" s="41">
        <f>D543-O543</f>
        <v>0</v>
      </c>
      <c r="S543" s="41">
        <f>E543-P543</f>
        <v>0</v>
      </c>
    </row>
    <row r="544" spans="1:19" x14ac:dyDescent="0.15">
      <c r="A544" s="1">
        <v>6</v>
      </c>
      <c r="B544" s="1">
        <v>12</v>
      </c>
      <c r="C544" s="10">
        <v>0.44</v>
      </c>
      <c r="D544" s="5">
        <v>60</v>
      </c>
      <c r="E544" s="10">
        <v>0.23250000000000001</v>
      </c>
      <c r="F544" s="5">
        <v>3380</v>
      </c>
      <c r="G544" s="5">
        <v>120</v>
      </c>
      <c r="I544" s="40">
        <f t="shared" si="19"/>
        <v>3380</v>
      </c>
      <c r="J544" s="40">
        <f t="shared" si="20"/>
        <v>120</v>
      </c>
      <c r="K544" s="1">
        <v>3380</v>
      </c>
      <c r="L544" s="1">
        <v>130</v>
      </c>
      <c r="M544">
        <f t="shared" si="21"/>
        <v>-10</v>
      </c>
      <c r="N544" s="1">
        <v>0.44</v>
      </c>
      <c r="O544" s="1">
        <v>60</v>
      </c>
      <c r="P544" s="24">
        <v>0.23250000000000001</v>
      </c>
      <c r="Q544" s="31">
        <f>C544-N544</f>
        <v>0</v>
      </c>
      <c r="R544" s="41">
        <f>D544-O544</f>
        <v>0</v>
      </c>
      <c r="S544" s="41">
        <f>E544-P544</f>
        <v>0</v>
      </c>
    </row>
    <row r="545" spans="1:19" x14ac:dyDescent="0.15">
      <c r="A545" s="1">
        <v>6</v>
      </c>
      <c r="B545" s="1">
        <v>12</v>
      </c>
      <c r="C545" s="10">
        <v>0.44</v>
      </c>
      <c r="D545" s="5">
        <v>60</v>
      </c>
      <c r="E545" s="10">
        <v>0.23749999999999999</v>
      </c>
      <c r="F545" s="5">
        <v>3490</v>
      </c>
      <c r="G545" s="5">
        <v>140</v>
      </c>
      <c r="I545" s="40">
        <f t="shared" si="19"/>
        <v>3490</v>
      </c>
      <c r="J545" s="40">
        <f t="shared" si="20"/>
        <v>140</v>
      </c>
      <c r="K545" s="1">
        <v>3490</v>
      </c>
      <c r="L545" s="1">
        <v>140</v>
      </c>
      <c r="M545">
        <f t="shared" si="21"/>
        <v>0</v>
      </c>
      <c r="N545" s="1">
        <v>0.44</v>
      </c>
      <c r="O545" s="1">
        <v>60</v>
      </c>
      <c r="P545" s="24">
        <v>0.23749999999999999</v>
      </c>
      <c r="Q545" s="31">
        <f>C545-N545</f>
        <v>0</v>
      </c>
      <c r="R545" s="41">
        <f>D545-O545</f>
        <v>0</v>
      </c>
      <c r="S545" s="41">
        <f>E545-P545</f>
        <v>0</v>
      </c>
    </row>
    <row r="546" spans="1:19" x14ac:dyDescent="0.15">
      <c r="A546" s="1">
        <v>6</v>
      </c>
      <c r="B546" s="1">
        <v>12</v>
      </c>
      <c r="C546" s="10">
        <v>0.44</v>
      </c>
      <c r="D546" s="5">
        <v>60</v>
      </c>
      <c r="E546" s="10">
        <v>0.24249999999999999</v>
      </c>
      <c r="F546" s="5">
        <v>3680</v>
      </c>
      <c r="G546" s="5">
        <v>150</v>
      </c>
      <c r="I546" s="40">
        <f t="shared" si="19"/>
        <v>3680</v>
      </c>
      <c r="J546" s="40">
        <f t="shared" si="20"/>
        <v>150</v>
      </c>
      <c r="K546" s="1">
        <v>3680</v>
      </c>
      <c r="L546" s="1">
        <v>150</v>
      </c>
      <c r="M546">
        <f t="shared" si="21"/>
        <v>0</v>
      </c>
      <c r="N546" s="1">
        <v>0.44</v>
      </c>
      <c r="O546" s="1">
        <v>60</v>
      </c>
      <c r="P546" s="24">
        <v>0.24249999999999999</v>
      </c>
      <c r="Q546" s="31">
        <f>C546-N546</f>
        <v>0</v>
      </c>
      <c r="R546" s="41">
        <f>D546-O546</f>
        <v>0</v>
      </c>
      <c r="S546" s="41">
        <f>E546-P546</f>
        <v>0</v>
      </c>
    </row>
    <row r="547" spans="1:19" x14ac:dyDescent="0.15">
      <c r="A547" s="1">
        <v>6</v>
      </c>
      <c r="B547" s="1">
        <v>12</v>
      </c>
      <c r="C547" s="10">
        <v>0.44</v>
      </c>
      <c r="D547" s="5">
        <v>60</v>
      </c>
      <c r="E547" s="10">
        <v>0.2475</v>
      </c>
      <c r="F547" s="5">
        <v>3760</v>
      </c>
      <c r="G547" s="5">
        <v>150</v>
      </c>
      <c r="I547" s="40">
        <f t="shared" si="19"/>
        <v>3760</v>
      </c>
      <c r="J547" s="40">
        <f t="shared" si="20"/>
        <v>150</v>
      </c>
      <c r="K547" s="1">
        <v>3760</v>
      </c>
      <c r="L547" s="1">
        <v>150</v>
      </c>
      <c r="M547">
        <f t="shared" si="21"/>
        <v>0</v>
      </c>
      <c r="N547" s="1">
        <v>0.44</v>
      </c>
      <c r="O547" s="1">
        <v>60</v>
      </c>
      <c r="P547" s="24">
        <v>0.2475</v>
      </c>
      <c r="Q547" s="31">
        <f>C547-N547</f>
        <v>0</v>
      </c>
      <c r="R547" s="41">
        <f>D547-O547</f>
        <v>0</v>
      </c>
      <c r="S547" s="41">
        <f>E547-P547</f>
        <v>0</v>
      </c>
    </row>
    <row r="548" spans="1:19" x14ac:dyDescent="0.15">
      <c r="A548" s="1">
        <v>6</v>
      </c>
      <c r="B548" s="1">
        <v>12</v>
      </c>
      <c r="C548" s="10">
        <v>0.44</v>
      </c>
      <c r="D548" s="5">
        <v>60</v>
      </c>
      <c r="E548" s="10">
        <v>0.2525</v>
      </c>
      <c r="F548" s="5">
        <v>3900</v>
      </c>
      <c r="G548" s="5">
        <v>160</v>
      </c>
      <c r="I548" s="40">
        <f t="shared" si="19"/>
        <v>3900</v>
      </c>
      <c r="J548" s="40">
        <f t="shared" si="20"/>
        <v>160</v>
      </c>
      <c r="K548" s="1">
        <v>3900</v>
      </c>
      <c r="L548" s="1">
        <v>160</v>
      </c>
      <c r="M548">
        <f t="shared" si="21"/>
        <v>0</v>
      </c>
      <c r="N548" s="1">
        <v>0.44</v>
      </c>
      <c r="O548" s="1">
        <v>60</v>
      </c>
      <c r="P548" s="24">
        <v>0.2525</v>
      </c>
      <c r="Q548" s="31">
        <f>C548-N548</f>
        <v>0</v>
      </c>
      <c r="R548" s="41">
        <f>D548-O548</f>
        <v>0</v>
      </c>
      <c r="S548" s="41">
        <f>E548-P548</f>
        <v>0</v>
      </c>
    </row>
    <row r="549" spans="1:19" x14ac:dyDescent="0.15">
      <c r="A549" s="1">
        <v>6</v>
      </c>
      <c r="B549" s="1">
        <v>12</v>
      </c>
      <c r="C549" s="10">
        <v>0.44</v>
      </c>
      <c r="D549" s="5">
        <v>60</v>
      </c>
      <c r="E549" s="10">
        <v>0.25750000000000001</v>
      </c>
      <c r="F549" s="5">
        <v>3990</v>
      </c>
      <c r="G549" s="5">
        <v>180</v>
      </c>
      <c r="I549" s="40">
        <f t="shared" si="19"/>
        <v>3990</v>
      </c>
      <c r="J549" s="40">
        <f t="shared" si="20"/>
        <v>180</v>
      </c>
      <c r="K549" s="1">
        <v>3990</v>
      </c>
      <c r="L549" s="1">
        <v>180</v>
      </c>
      <c r="M549">
        <f t="shared" si="21"/>
        <v>0</v>
      </c>
      <c r="N549" s="1">
        <v>0.44</v>
      </c>
      <c r="O549" s="1">
        <v>60</v>
      </c>
      <c r="P549" s="24">
        <v>0.25750000000000001</v>
      </c>
      <c r="Q549" s="31">
        <f>C549-N549</f>
        <v>0</v>
      </c>
      <c r="R549" s="41">
        <f>D549-O549</f>
        <v>0</v>
      </c>
      <c r="S549" s="41">
        <f>E549-P549</f>
        <v>0</v>
      </c>
    </row>
    <row r="550" spans="1:19" x14ac:dyDescent="0.15">
      <c r="A550" s="1">
        <v>6</v>
      </c>
      <c r="B550" s="1">
        <v>12</v>
      </c>
      <c r="C550" s="10">
        <v>0.44</v>
      </c>
      <c r="D550" s="5">
        <v>60</v>
      </c>
      <c r="E550" s="10">
        <v>0.26250000000000001</v>
      </c>
      <c r="F550" s="5">
        <v>4100</v>
      </c>
      <c r="G550" s="5">
        <v>190</v>
      </c>
      <c r="I550" s="40">
        <f t="shared" si="19"/>
        <v>4100</v>
      </c>
      <c r="J550" s="40">
        <f t="shared" si="20"/>
        <v>190</v>
      </c>
      <c r="K550" s="1">
        <v>4100</v>
      </c>
      <c r="L550" s="1">
        <v>190</v>
      </c>
      <c r="M550">
        <f t="shared" si="21"/>
        <v>0</v>
      </c>
      <c r="N550" s="1">
        <v>0.44</v>
      </c>
      <c r="O550" s="1">
        <v>60</v>
      </c>
      <c r="P550" s="24">
        <v>0.26250000000000001</v>
      </c>
      <c r="Q550" s="31">
        <f>C550-N550</f>
        <v>0</v>
      </c>
      <c r="R550" s="41">
        <f>D550-O550</f>
        <v>0</v>
      </c>
      <c r="S550" s="41">
        <f>E550-P550</f>
        <v>0</v>
      </c>
    </row>
    <row r="551" spans="1:19" x14ac:dyDescent="0.15">
      <c r="A551" s="1">
        <v>6</v>
      </c>
      <c r="B551" s="1">
        <v>12</v>
      </c>
      <c r="C551" s="10">
        <v>0.44</v>
      </c>
      <c r="D551" s="5">
        <v>60</v>
      </c>
      <c r="E551" s="10">
        <v>0.26750000000000002</v>
      </c>
      <c r="F551" s="5">
        <v>4260</v>
      </c>
      <c r="G551" s="5">
        <v>200</v>
      </c>
      <c r="I551" s="40">
        <f t="shared" si="19"/>
        <v>4260</v>
      </c>
      <c r="J551" s="40">
        <f t="shared" si="20"/>
        <v>200</v>
      </c>
      <c r="K551" s="1">
        <v>4260</v>
      </c>
      <c r="L551" s="1">
        <v>200</v>
      </c>
      <c r="M551">
        <f t="shared" si="21"/>
        <v>0</v>
      </c>
      <c r="N551" s="1">
        <v>0.44</v>
      </c>
      <c r="O551" s="1">
        <v>60</v>
      </c>
      <c r="P551" s="24">
        <v>0.26750000000000002</v>
      </c>
      <c r="Q551" s="31">
        <f>C551-N551</f>
        <v>0</v>
      </c>
      <c r="R551" s="41">
        <f>D551-O551</f>
        <v>0</v>
      </c>
      <c r="S551" s="41">
        <f>E551-P551</f>
        <v>0</v>
      </c>
    </row>
    <row r="552" spans="1:19" x14ac:dyDescent="0.15">
      <c r="A552" s="1">
        <v>6</v>
      </c>
      <c r="B552" s="1">
        <v>12</v>
      </c>
      <c r="C552" s="10">
        <v>0.44</v>
      </c>
      <c r="D552" s="5">
        <v>60</v>
      </c>
      <c r="E552" s="10">
        <v>0.27250000000000002</v>
      </c>
      <c r="F552" s="5">
        <v>4380</v>
      </c>
      <c r="G552" s="5">
        <v>220</v>
      </c>
      <c r="I552" s="40">
        <f t="shared" si="19"/>
        <v>4380</v>
      </c>
      <c r="J552" s="40">
        <f t="shared" si="20"/>
        <v>220</v>
      </c>
      <c r="K552" s="1">
        <v>4380</v>
      </c>
      <c r="L552" s="1">
        <v>220</v>
      </c>
      <c r="M552">
        <f t="shared" si="21"/>
        <v>0</v>
      </c>
      <c r="N552" s="1">
        <v>0.44</v>
      </c>
      <c r="O552" s="1">
        <v>60</v>
      </c>
      <c r="P552" s="24">
        <v>0.27250000000000002</v>
      </c>
      <c r="Q552" s="31">
        <f>C552-N552</f>
        <v>0</v>
      </c>
      <c r="R552" s="41">
        <f>D552-O552</f>
        <v>0</v>
      </c>
      <c r="S552" s="41">
        <f>E552-P552</f>
        <v>0</v>
      </c>
    </row>
    <row r="553" spans="1:19" x14ac:dyDescent="0.15">
      <c r="A553" s="1">
        <v>6</v>
      </c>
      <c r="B553" s="1">
        <v>12</v>
      </c>
      <c r="C553" s="10">
        <v>0.44</v>
      </c>
      <c r="D553" s="5">
        <v>60</v>
      </c>
      <c r="E553" s="10">
        <v>0.27750000000000002</v>
      </c>
      <c r="F553" s="5">
        <v>4540</v>
      </c>
      <c r="G553" s="5">
        <v>240</v>
      </c>
      <c r="I553" s="40">
        <f t="shared" si="19"/>
        <v>4540</v>
      </c>
      <c r="J553" s="40">
        <f t="shared" si="20"/>
        <v>240</v>
      </c>
      <c r="K553" s="1">
        <v>4540</v>
      </c>
      <c r="L553" s="1">
        <v>240</v>
      </c>
      <c r="M553">
        <f t="shared" si="21"/>
        <v>0</v>
      </c>
      <c r="N553" s="1">
        <v>0.44</v>
      </c>
      <c r="O553" s="1">
        <v>60</v>
      </c>
      <c r="P553" s="24">
        <v>0.27750000000000002</v>
      </c>
      <c r="Q553" s="31">
        <f>C553-N553</f>
        <v>0</v>
      </c>
      <c r="R553" s="41">
        <f>D553-O553</f>
        <v>0</v>
      </c>
      <c r="S553" s="41">
        <f>E553-P553</f>
        <v>0</v>
      </c>
    </row>
    <row r="554" spans="1:19" x14ac:dyDescent="0.15">
      <c r="A554" s="12">
        <v>6</v>
      </c>
      <c r="B554" s="12">
        <v>12</v>
      </c>
      <c r="C554" s="13">
        <v>0.40100000000000002</v>
      </c>
      <c r="D554" s="14">
        <v>60</v>
      </c>
      <c r="E554" s="13">
        <v>8.5000000000000006E-3</v>
      </c>
      <c r="F554" s="14">
        <v>1050</v>
      </c>
      <c r="G554" s="14">
        <v>40</v>
      </c>
      <c r="I554" s="40">
        <f t="shared" si="19"/>
        <v>1050</v>
      </c>
      <c r="J554" s="40">
        <f t="shared" si="20"/>
        <v>40</v>
      </c>
      <c r="K554" s="12">
        <v>1050</v>
      </c>
      <c r="L554" s="12">
        <v>40</v>
      </c>
      <c r="M554">
        <f t="shared" si="21"/>
        <v>0</v>
      </c>
      <c r="N554" s="12">
        <v>0.40100000000000002</v>
      </c>
      <c r="O554" s="12">
        <v>60</v>
      </c>
      <c r="P554" s="24">
        <v>8.5000000000000006E-3</v>
      </c>
      <c r="Q554" s="31">
        <f>C554-N554</f>
        <v>0</v>
      </c>
      <c r="R554" s="41">
        <f>D554-O554</f>
        <v>0</v>
      </c>
      <c r="S554" s="41">
        <f>E554-P554</f>
        <v>0</v>
      </c>
    </row>
    <row r="555" spans="1:19" x14ac:dyDescent="0.15">
      <c r="A555" s="1">
        <v>6</v>
      </c>
      <c r="B555" s="1">
        <v>12</v>
      </c>
      <c r="C555" s="10">
        <v>0.40100000000000002</v>
      </c>
      <c r="D555" s="5">
        <v>60</v>
      </c>
      <c r="E555" s="10">
        <v>1.35E-2</v>
      </c>
      <c r="F555" s="5">
        <v>4440</v>
      </c>
      <c r="G555" s="5">
        <v>100</v>
      </c>
      <c r="I555" s="40">
        <f t="shared" si="19"/>
        <v>4440</v>
      </c>
      <c r="J555" s="40">
        <f t="shared" si="20"/>
        <v>100</v>
      </c>
      <c r="K555" s="1">
        <v>4440</v>
      </c>
      <c r="L555" s="1">
        <v>100</v>
      </c>
      <c r="M555">
        <f t="shared" si="21"/>
        <v>0</v>
      </c>
      <c r="N555" s="1">
        <v>0.40100000000000002</v>
      </c>
      <c r="O555" s="1">
        <v>60</v>
      </c>
      <c r="P555" s="24">
        <v>1.35E-2</v>
      </c>
      <c r="Q555" s="31">
        <f>C555-N555</f>
        <v>0</v>
      </c>
      <c r="R555" s="41">
        <f>D555-O555</f>
        <v>0</v>
      </c>
      <c r="S555" s="41">
        <f>E555-P555</f>
        <v>0</v>
      </c>
    </row>
    <row r="556" spans="1:19" x14ac:dyDescent="0.15">
      <c r="A556" s="1">
        <v>6</v>
      </c>
      <c r="B556" s="1">
        <v>12</v>
      </c>
      <c r="C556" s="10">
        <v>0.40100000000000002</v>
      </c>
      <c r="D556" s="5">
        <v>60</v>
      </c>
      <c r="E556" s="10">
        <v>1.8499999999999999E-2</v>
      </c>
      <c r="F556" s="5">
        <v>4710</v>
      </c>
      <c r="G556" s="5">
        <v>100</v>
      </c>
      <c r="I556" s="40">
        <f t="shared" si="19"/>
        <v>4710</v>
      </c>
      <c r="J556" s="40">
        <f t="shared" si="20"/>
        <v>100</v>
      </c>
      <c r="K556" s="1">
        <v>4710</v>
      </c>
      <c r="L556" s="1">
        <v>100</v>
      </c>
      <c r="M556">
        <f t="shared" si="21"/>
        <v>0</v>
      </c>
      <c r="N556" s="1">
        <v>0.40100000000000002</v>
      </c>
      <c r="O556" s="1">
        <v>60</v>
      </c>
      <c r="P556" s="24">
        <v>1.8499999999999999E-2</v>
      </c>
      <c r="Q556" s="31">
        <f>C556-N556</f>
        <v>0</v>
      </c>
      <c r="R556" s="41">
        <f>D556-O556</f>
        <v>0</v>
      </c>
      <c r="S556" s="41">
        <f>E556-P556</f>
        <v>0</v>
      </c>
    </row>
    <row r="557" spans="1:19" x14ac:dyDescent="0.15">
      <c r="A557" s="1">
        <v>6</v>
      </c>
      <c r="B557" s="1">
        <v>12</v>
      </c>
      <c r="C557" s="10">
        <v>0.40100000000000002</v>
      </c>
      <c r="D557" s="5">
        <v>60</v>
      </c>
      <c r="E557" s="10">
        <v>2.35E-2</v>
      </c>
      <c r="F557" s="5">
        <v>4200</v>
      </c>
      <c r="G557" s="5">
        <v>90</v>
      </c>
      <c r="I557" s="40">
        <f t="shared" si="19"/>
        <v>4200</v>
      </c>
      <c r="J557" s="40">
        <f t="shared" si="20"/>
        <v>90</v>
      </c>
      <c r="K557" s="1">
        <v>4200</v>
      </c>
      <c r="L557" s="1">
        <v>90</v>
      </c>
      <c r="M557">
        <f t="shared" si="21"/>
        <v>0</v>
      </c>
      <c r="N557" s="1">
        <v>0.40100000000000002</v>
      </c>
      <c r="O557" s="1">
        <v>60</v>
      </c>
      <c r="P557" s="24">
        <v>2.35E-2</v>
      </c>
      <c r="Q557" s="31">
        <f>C557-N557</f>
        <v>0</v>
      </c>
      <c r="R557" s="41">
        <f>D557-O557</f>
        <v>0</v>
      </c>
      <c r="S557" s="41">
        <f>E557-P557</f>
        <v>0</v>
      </c>
    </row>
    <row r="558" spans="1:19" x14ac:dyDescent="0.15">
      <c r="A558" s="1">
        <v>6</v>
      </c>
      <c r="B558" s="1">
        <v>12</v>
      </c>
      <c r="C558" s="10">
        <v>0.40100000000000002</v>
      </c>
      <c r="D558" s="5">
        <v>60</v>
      </c>
      <c r="E558" s="10">
        <v>2.8500000000000001E-2</v>
      </c>
      <c r="F558" s="5">
        <v>6150</v>
      </c>
      <c r="G558" s="5">
        <v>120</v>
      </c>
      <c r="I558" s="40">
        <f t="shared" si="19"/>
        <v>6150</v>
      </c>
      <c r="J558" s="40">
        <f t="shared" si="20"/>
        <v>120</v>
      </c>
      <c r="K558" s="1">
        <v>6150</v>
      </c>
      <c r="L558" s="1">
        <v>120</v>
      </c>
      <c r="M558">
        <f t="shared" si="21"/>
        <v>0</v>
      </c>
      <c r="N558" s="1">
        <v>0.40100000000000002</v>
      </c>
      <c r="O558" s="1">
        <v>60</v>
      </c>
      <c r="P558" s="24">
        <v>2.8500000000000001E-2</v>
      </c>
      <c r="Q558" s="31">
        <f>C558-N558</f>
        <v>0</v>
      </c>
      <c r="R558" s="41">
        <f>D558-O558</f>
        <v>0</v>
      </c>
      <c r="S558" s="41">
        <f>E558-P558</f>
        <v>0</v>
      </c>
    </row>
    <row r="559" spans="1:19" x14ac:dyDescent="0.15">
      <c r="A559" s="1">
        <v>6</v>
      </c>
      <c r="B559" s="1">
        <v>12</v>
      </c>
      <c r="C559" s="10">
        <v>0.40100000000000002</v>
      </c>
      <c r="D559" s="5">
        <v>60</v>
      </c>
      <c r="E559" s="10">
        <v>3.3500000000000002E-2</v>
      </c>
      <c r="F559" s="5">
        <v>5830</v>
      </c>
      <c r="G559" s="5">
        <v>110</v>
      </c>
      <c r="I559" s="40">
        <f t="shared" si="19"/>
        <v>5830</v>
      </c>
      <c r="J559" s="40">
        <f t="shared" si="20"/>
        <v>110</v>
      </c>
      <c r="K559" s="1">
        <v>5830</v>
      </c>
      <c r="L559" s="1">
        <v>110</v>
      </c>
      <c r="M559">
        <f t="shared" si="21"/>
        <v>0</v>
      </c>
      <c r="N559" s="1">
        <v>0.40100000000000002</v>
      </c>
      <c r="O559" s="1">
        <v>60</v>
      </c>
      <c r="P559" s="24">
        <v>3.3500000000000002E-2</v>
      </c>
      <c r="Q559" s="31">
        <f>C559-N559</f>
        <v>0</v>
      </c>
      <c r="R559" s="41">
        <f>D559-O559</f>
        <v>0</v>
      </c>
      <c r="S559" s="41">
        <f>E559-P559</f>
        <v>0</v>
      </c>
    </row>
    <row r="560" spans="1:19" x14ac:dyDescent="0.15">
      <c r="A560" s="1">
        <v>6</v>
      </c>
      <c r="B560" s="1">
        <v>12</v>
      </c>
      <c r="C560" s="10">
        <v>0.40100000000000002</v>
      </c>
      <c r="D560" s="5">
        <v>60</v>
      </c>
      <c r="E560" s="10">
        <v>3.85E-2</v>
      </c>
      <c r="F560" s="5">
        <v>6940</v>
      </c>
      <c r="G560" s="5">
        <v>130</v>
      </c>
      <c r="I560" s="40">
        <f t="shared" si="19"/>
        <v>6940</v>
      </c>
      <c r="J560" s="40">
        <f t="shared" si="20"/>
        <v>130</v>
      </c>
      <c r="K560" s="1">
        <v>6940</v>
      </c>
      <c r="L560" s="1">
        <v>130</v>
      </c>
      <c r="M560">
        <f t="shared" si="21"/>
        <v>0</v>
      </c>
      <c r="N560" s="1">
        <v>0.40100000000000002</v>
      </c>
      <c r="O560" s="1">
        <v>60</v>
      </c>
      <c r="P560" s="24">
        <v>3.85E-2</v>
      </c>
      <c r="Q560" s="31">
        <f>C560-N560</f>
        <v>0</v>
      </c>
      <c r="R560" s="41">
        <f>D560-O560</f>
        <v>0</v>
      </c>
      <c r="S560" s="41">
        <f>E560-P560</f>
        <v>0</v>
      </c>
    </row>
    <row r="561" spans="1:23" x14ac:dyDescent="0.15">
      <c r="A561" s="1">
        <v>6</v>
      </c>
      <c r="B561" s="1">
        <v>12</v>
      </c>
      <c r="C561" s="10">
        <v>0.40100000000000002</v>
      </c>
      <c r="D561" s="5">
        <v>60</v>
      </c>
      <c r="E561" s="10">
        <v>4.3499999999999997E-2</v>
      </c>
      <c r="F561" s="5">
        <v>7880</v>
      </c>
      <c r="G561" s="5">
        <v>140</v>
      </c>
      <c r="I561" s="40">
        <f t="shared" si="19"/>
        <v>7880</v>
      </c>
      <c r="J561" s="40">
        <f t="shared" si="20"/>
        <v>140</v>
      </c>
      <c r="K561" s="1">
        <v>7880</v>
      </c>
      <c r="L561" s="1">
        <v>140</v>
      </c>
      <c r="M561">
        <f t="shared" si="21"/>
        <v>0</v>
      </c>
      <c r="N561" s="1">
        <v>0.40100000000000002</v>
      </c>
      <c r="O561" s="1">
        <v>60</v>
      </c>
      <c r="P561" s="24">
        <v>4.3499999999999997E-2</v>
      </c>
      <c r="Q561" s="31">
        <f>C561-N561</f>
        <v>0</v>
      </c>
      <c r="R561" s="41">
        <f>D561-O561</f>
        <v>0</v>
      </c>
      <c r="S561" s="41">
        <f>E561-P561</f>
        <v>0</v>
      </c>
    </row>
    <row r="562" spans="1:23" x14ac:dyDescent="0.15">
      <c r="A562" s="1">
        <v>6</v>
      </c>
      <c r="B562" s="1">
        <v>12</v>
      </c>
      <c r="C562" s="10">
        <v>0.40100000000000002</v>
      </c>
      <c r="D562" s="5">
        <v>60</v>
      </c>
      <c r="E562" s="10">
        <v>4.8500000000000001E-2</v>
      </c>
      <c r="F562" s="5">
        <v>8910</v>
      </c>
      <c r="G562" s="5">
        <v>160</v>
      </c>
      <c r="I562" s="40">
        <f t="shared" si="19"/>
        <v>8910</v>
      </c>
      <c r="J562" s="40">
        <f t="shared" si="20"/>
        <v>160</v>
      </c>
      <c r="K562" s="1">
        <v>8910</v>
      </c>
      <c r="L562" s="1">
        <v>160</v>
      </c>
      <c r="M562">
        <f t="shared" si="21"/>
        <v>0</v>
      </c>
      <c r="N562" s="1">
        <v>0.40100000000000002</v>
      </c>
      <c r="O562" s="1">
        <v>60</v>
      </c>
      <c r="P562" s="24">
        <v>4.8500000000000001E-2</v>
      </c>
      <c r="Q562" s="31">
        <f>C562-N562</f>
        <v>0</v>
      </c>
      <c r="R562" s="41">
        <f>D562-O562</f>
        <v>0</v>
      </c>
      <c r="S562" s="41">
        <f>E562-P562</f>
        <v>0</v>
      </c>
    </row>
    <row r="563" spans="1:23" x14ac:dyDescent="0.15">
      <c r="A563" s="1">
        <v>6</v>
      </c>
      <c r="B563" s="1">
        <v>12</v>
      </c>
      <c r="C563" s="10">
        <v>0.40100000000000002</v>
      </c>
      <c r="D563" s="5">
        <v>60</v>
      </c>
      <c r="E563" s="10">
        <v>5.3499999999999999E-2</v>
      </c>
      <c r="F563" s="5">
        <v>10170</v>
      </c>
      <c r="G563" s="5">
        <v>180</v>
      </c>
      <c r="I563" s="40">
        <f t="shared" si="19"/>
        <v>10170</v>
      </c>
      <c r="J563" s="40">
        <f t="shared" si="20"/>
        <v>180</v>
      </c>
      <c r="K563" s="1">
        <v>10170</v>
      </c>
      <c r="L563" s="1">
        <v>180</v>
      </c>
      <c r="M563">
        <f t="shared" si="21"/>
        <v>0</v>
      </c>
      <c r="N563" s="1">
        <v>0.40100000000000002</v>
      </c>
      <c r="O563" s="1">
        <v>60</v>
      </c>
      <c r="P563" s="24">
        <v>5.3499999999999999E-2</v>
      </c>
      <c r="Q563" s="31">
        <f>C563-N563</f>
        <v>0</v>
      </c>
      <c r="R563" s="41">
        <f>D563-O563</f>
        <v>0</v>
      </c>
      <c r="S563" s="41">
        <f>E563-P563</f>
        <v>0</v>
      </c>
    </row>
    <row r="564" spans="1:23" s="15" customFormat="1" x14ac:dyDescent="0.15">
      <c r="A564" s="1">
        <v>6</v>
      </c>
      <c r="B564" s="1">
        <v>12</v>
      </c>
      <c r="C564" s="10">
        <v>0.40100000000000002</v>
      </c>
      <c r="D564" s="5">
        <v>60</v>
      </c>
      <c r="E564" s="10">
        <v>5.8500000000000003E-2</v>
      </c>
      <c r="F564" s="5">
        <v>10980</v>
      </c>
      <c r="G564" s="5">
        <v>190</v>
      </c>
      <c r="H564" s="12"/>
      <c r="I564" s="40">
        <f t="shared" si="19"/>
        <v>10980</v>
      </c>
      <c r="J564" s="40">
        <f t="shared" si="20"/>
        <v>190</v>
      </c>
      <c r="K564" s="1">
        <v>10980</v>
      </c>
      <c r="L564" s="1">
        <v>190</v>
      </c>
      <c r="M564">
        <f t="shared" si="21"/>
        <v>0</v>
      </c>
      <c r="N564" s="1">
        <v>0.40100000000000002</v>
      </c>
      <c r="O564" s="1">
        <v>60</v>
      </c>
      <c r="P564" s="24">
        <v>5.8500000000000003E-2</v>
      </c>
      <c r="Q564" s="31">
        <f>C564-N564</f>
        <v>0</v>
      </c>
      <c r="R564" s="41">
        <f>D564-O564</f>
        <v>0</v>
      </c>
      <c r="S564" s="41">
        <f>E564-P564</f>
        <v>0</v>
      </c>
      <c r="U564" s="12"/>
      <c r="V564" s="12"/>
      <c r="W564" s="12"/>
    </row>
    <row r="565" spans="1:23" x14ac:dyDescent="0.15">
      <c r="A565" s="1">
        <v>6</v>
      </c>
      <c r="B565" s="1">
        <v>12</v>
      </c>
      <c r="C565" s="10">
        <v>0.40100000000000002</v>
      </c>
      <c r="D565" s="5">
        <v>60</v>
      </c>
      <c r="E565" s="10">
        <v>6.3500000000000001E-2</v>
      </c>
      <c r="F565" s="5">
        <v>11980</v>
      </c>
      <c r="G565" s="5">
        <v>200</v>
      </c>
      <c r="I565" s="40">
        <f t="shared" si="19"/>
        <v>11980</v>
      </c>
      <c r="J565" s="40">
        <f t="shared" si="20"/>
        <v>200</v>
      </c>
      <c r="K565" s="1">
        <v>11980</v>
      </c>
      <c r="L565" s="1">
        <v>200</v>
      </c>
      <c r="M565">
        <f t="shared" si="21"/>
        <v>0</v>
      </c>
      <c r="N565" s="1">
        <v>0.40100000000000002</v>
      </c>
      <c r="O565" s="1">
        <v>60</v>
      </c>
      <c r="P565" s="24">
        <v>6.3500000000000001E-2</v>
      </c>
      <c r="Q565" s="31">
        <f>C565-N565</f>
        <v>0</v>
      </c>
      <c r="R565" s="41">
        <f>D565-O565</f>
        <v>0</v>
      </c>
      <c r="S565" s="41">
        <f>E565-P565</f>
        <v>0</v>
      </c>
    </row>
    <row r="566" spans="1:23" x14ac:dyDescent="0.15">
      <c r="A566" s="1">
        <v>6</v>
      </c>
      <c r="B566" s="1">
        <v>12</v>
      </c>
      <c r="C566" s="10">
        <v>0.40100000000000002</v>
      </c>
      <c r="D566" s="5">
        <v>60</v>
      </c>
      <c r="E566" s="10">
        <v>6.8500000000000005E-2</v>
      </c>
      <c r="F566" s="5">
        <v>12940</v>
      </c>
      <c r="G566" s="5">
        <v>220</v>
      </c>
      <c r="I566" s="40">
        <f t="shared" si="19"/>
        <v>12940</v>
      </c>
      <c r="J566" s="40">
        <f t="shared" si="20"/>
        <v>220</v>
      </c>
      <c r="K566" s="1">
        <v>12940</v>
      </c>
      <c r="L566" s="1">
        <v>220</v>
      </c>
      <c r="M566">
        <f t="shared" si="21"/>
        <v>0</v>
      </c>
      <c r="N566" s="1">
        <v>0.40100000000000002</v>
      </c>
      <c r="O566" s="1">
        <v>60</v>
      </c>
      <c r="P566" s="24">
        <v>6.8500000000000005E-2</v>
      </c>
      <c r="Q566" s="31">
        <f>C566-N566</f>
        <v>0</v>
      </c>
      <c r="R566" s="41">
        <f>D566-O566</f>
        <v>0</v>
      </c>
      <c r="S566" s="41">
        <f>E566-P566</f>
        <v>0</v>
      </c>
    </row>
    <row r="567" spans="1:23" x14ac:dyDescent="0.15">
      <c r="A567" s="1">
        <v>6</v>
      </c>
      <c r="B567" s="1">
        <v>12</v>
      </c>
      <c r="C567" s="10">
        <v>0.40100000000000002</v>
      </c>
      <c r="D567" s="5">
        <v>60</v>
      </c>
      <c r="E567" s="10">
        <v>7.3499999999999996E-2</v>
      </c>
      <c r="F567" s="5">
        <v>13590</v>
      </c>
      <c r="G567" s="5">
        <v>240</v>
      </c>
      <c r="I567" s="40">
        <f t="shared" si="19"/>
        <v>13590</v>
      </c>
      <c r="J567" s="40">
        <f t="shared" si="20"/>
        <v>240</v>
      </c>
      <c r="K567" s="1">
        <v>13590</v>
      </c>
      <c r="L567" s="1">
        <v>240</v>
      </c>
      <c r="M567">
        <f t="shared" si="21"/>
        <v>0</v>
      </c>
      <c r="N567" s="1">
        <v>0.40100000000000002</v>
      </c>
      <c r="O567" s="1">
        <v>60</v>
      </c>
      <c r="P567" s="24">
        <v>7.3499999999999996E-2</v>
      </c>
      <c r="Q567" s="31">
        <f>C567-N567</f>
        <v>0</v>
      </c>
      <c r="R567" s="41">
        <f>D567-O567</f>
        <v>0</v>
      </c>
      <c r="S567" s="41">
        <f>E567-P567</f>
        <v>0</v>
      </c>
    </row>
    <row r="568" spans="1:23" x14ac:dyDescent="0.15">
      <c r="A568" s="1">
        <v>6</v>
      </c>
      <c r="B568" s="1">
        <v>12</v>
      </c>
      <c r="C568" s="10">
        <v>0.40100000000000002</v>
      </c>
      <c r="D568" s="5">
        <v>60</v>
      </c>
      <c r="E568" s="10">
        <v>7.85E-2</v>
      </c>
      <c r="F568" s="5">
        <v>13680</v>
      </c>
      <c r="G568" s="5">
        <v>250</v>
      </c>
      <c r="I568" s="40">
        <f t="shared" si="19"/>
        <v>13680</v>
      </c>
      <c r="J568" s="40">
        <f t="shared" si="20"/>
        <v>250</v>
      </c>
      <c r="K568" s="1">
        <v>13680</v>
      </c>
      <c r="L568" s="1">
        <v>250</v>
      </c>
      <c r="M568">
        <f t="shared" si="21"/>
        <v>0</v>
      </c>
      <c r="N568" s="1">
        <v>0.40100000000000002</v>
      </c>
      <c r="O568" s="1">
        <v>60</v>
      </c>
      <c r="P568" s="24">
        <v>7.85E-2</v>
      </c>
      <c r="Q568" s="31">
        <f>C568-N568</f>
        <v>0</v>
      </c>
      <c r="R568" s="41">
        <f>D568-O568</f>
        <v>0</v>
      </c>
      <c r="S568" s="41">
        <f>E568-P568</f>
        <v>0</v>
      </c>
    </row>
    <row r="569" spans="1:23" x14ac:dyDescent="0.15">
      <c r="A569" s="1">
        <v>6</v>
      </c>
      <c r="B569" s="1">
        <v>12</v>
      </c>
      <c r="C569" s="10">
        <v>0.40100000000000002</v>
      </c>
      <c r="D569" s="5">
        <v>60</v>
      </c>
      <c r="E569" s="10">
        <v>8.3500000000000005E-2</v>
      </c>
      <c r="F569" s="5">
        <v>14260</v>
      </c>
      <c r="G569" s="5">
        <v>270</v>
      </c>
      <c r="I569" s="40">
        <f t="shared" ref="I569:I632" si="22">F569</f>
        <v>14260</v>
      </c>
      <c r="J569" s="40">
        <f t="shared" ref="J569:J632" si="23">G569</f>
        <v>270</v>
      </c>
      <c r="K569" s="1">
        <v>14260</v>
      </c>
      <c r="L569" s="1">
        <v>270</v>
      </c>
      <c r="M569">
        <f t="shared" si="21"/>
        <v>0</v>
      </c>
      <c r="N569" s="1">
        <v>0.40100000000000002</v>
      </c>
      <c r="O569" s="1">
        <v>60</v>
      </c>
      <c r="P569" s="24">
        <v>8.3500000000000005E-2</v>
      </c>
      <c r="Q569" s="31">
        <f>C569-N569</f>
        <v>0</v>
      </c>
      <c r="R569" s="41">
        <f>D569-O569</f>
        <v>0</v>
      </c>
      <c r="S569" s="41">
        <f>E569-P569</f>
        <v>0</v>
      </c>
    </row>
    <row r="570" spans="1:23" x14ac:dyDescent="0.15">
      <c r="A570" s="1">
        <v>6</v>
      </c>
      <c r="B570" s="1">
        <v>12</v>
      </c>
      <c r="C570" s="10">
        <v>0.40100000000000002</v>
      </c>
      <c r="D570" s="5">
        <v>60</v>
      </c>
      <c r="E570" s="10">
        <v>8.8499999999999995E-2</v>
      </c>
      <c r="F570" s="5">
        <v>14610</v>
      </c>
      <c r="G570" s="5">
        <v>270</v>
      </c>
      <c r="I570" s="40">
        <f t="shared" si="22"/>
        <v>14610</v>
      </c>
      <c r="J570" s="40">
        <f t="shared" si="23"/>
        <v>270</v>
      </c>
      <c r="K570" s="1">
        <v>14610</v>
      </c>
      <c r="L570" s="1">
        <v>270</v>
      </c>
      <c r="M570">
        <f t="shared" si="21"/>
        <v>0</v>
      </c>
      <c r="N570" s="1">
        <v>0.40100000000000002</v>
      </c>
      <c r="O570" s="1">
        <v>60</v>
      </c>
      <c r="P570" s="24">
        <v>8.8499999999999995E-2</v>
      </c>
      <c r="Q570" s="31">
        <f>C570-N570</f>
        <v>0</v>
      </c>
      <c r="R570" s="41">
        <f>D570-O570</f>
        <v>0</v>
      </c>
      <c r="S570" s="41">
        <f>E570-P570</f>
        <v>0</v>
      </c>
    </row>
    <row r="571" spans="1:23" x14ac:dyDescent="0.15">
      <c r="A571" s="1">
        <v>6</v>
      </c>
      <c r="B571" s="1">
        <v>12</v>
      </c>
      <c r="C571" s="10">
        <v>0.40100000000000002</v>
      </c>
      <c r="D571" s="5">
        <v>60</v>
      </c>
      <c r="E571" s="10">
        <v>9.35E-2</v>
      </c>
      <c r="F571" s="5">
        <v>14300</v>
      </c>
      <c r="G571" s="5">
        <v>270</v>
      </c>
      <c r="I571" s="40">
        <f t="shared" si="22"/>
        <v>14300</v>
      </c>
      <c r="J571" s="40">
        <f t="shared" si="23"/>
        <v>270</v>
      </c>
      <c r="K571" s="1">
        <v>14300</v>
      </c>
      <c r="L571" s="1">
        <v>270</v>
      </c>
      <c r="M571">
        <f t="shared" si="21"/>
        <v>0</v>
      </c>
      <c r="N571" s="1">
        <v>0.40100000000000002</v>
      </c>
      <c r="O571" s="1">
        <v>60</v>
      </c>
      <c r="P571" s="24">
        <v>9.35E-2</v>
      </c>
      <c r="Q571" s="31">
        <f>C571-N571</f>
        <v>0</v>
      </c>
      <c r="R571" s="41">
        <f>D571-O571</f>
        <v>0</v>
      </c>
      <c r="S571" s="41">
        <f>E571-P571</f>
        <v>0</v>
      </c>
    </row>
    <row r="572" spans="1:23" x14ac:dyDescent="0.15">
      <c r="A572" s="1">
        <v>6</v>
      </c>
      <c r="B572" s="1">
        <v>12</v>
      </c>
      <c r="C572" s="10">
        <v>0.40100000000000002</v>
      </c>
      <c r="D572" s="5">
        <v>60</v>
      </c>
      <c r="E572" s="10">
        <v>9.8500000000000004E-2</v>
      </c>
      <c r="F572" s="5">
        <v>13830</v>
      </c>
      <c r="G572" s="5">
        <v>280</v>
      </c>
      <c r="I572" s="40">
        <f t="shared" si="22"/>
        <v>13830</v>
      </c>
      <c r="J572" s="40">
        <f t="shared" si="23"/>
        <v>280</v>
      </c>
      <c r="K572" s="1">
        <v>13830</v>
      </c>
      <c r="L572" s="1">
        <v>280</v>
      </c>
      <c r="M572">
        <f t="shared" si="21"/>
        <v>0</v>
      </c>
      <c r="N572" s="1">
        <v>0.40100000000000002</v>
      </c>
      <c r="O572" s="1">
        <v>60</v>
      </c>
      <c r="P572" s="24">
        <v>9.8500000000000004E-2</v>
      </c>
      <c r="Q572" s="31">
        <f>C572-N572</f>
        <v>0</v>
      </c>
      <c r="R572" s="41">
        <f>D572-O572</f>
        <v>0</v>
      </c>
      <c r="S572" s="41">
        <f>E572-P572</f>
        <v>0</v>
      </c>
    </row>
    <row r="573" spans="1:23" x14ac:dyDescent="0.15">
      <c r="A573" s="1">
        <v>6</v>
      </c>
      <c r="B573" s="1">
        <v>12</v>
      </c>
      <c r="C573" s="10">
        <v>0.40100000000000002</v>
      </c>
      <c r="D573" s="5">
        <v>60</v>
      </c>
      <c r="E573" s="10">
        <v>0.10349999999999999</v>
      </c>
      <c r="F573" s="5">
        <v>13420</v>
      </c>
      <c r="G573" s="5">
        <v>280</v>
      </c>
      <c r="I573" s="40">
        <f t="shared" si="22"/>
        <v>13420</v>
      </c>
      <c r="J573" s="40">
        <f t="shared" si="23"/>
        <v>280</v>
      </c>
      <c r="K573" s="1">
        <v>13420</v>
      </c>
      <c r="L573" s="1">
        <v>280</v>
      </c>
      <c r="M573">
        <f t="shared" si="21"/>
        <v>0</v>
      </c>
      <c r="N573" s="1">
        <v>0.40100000000000002</v>
      </c>
      <c r="O573" s="1">
        <v>60</v>
      </c>
      <c r="P573" s="24">
        <v>0.10349999999999999</v>
      </c>
      <c r="Q573" s="31">
        <f>C573-N573</f>
        <v>0</v>
      </c>
      <c r="R573" s="41">
        <f>D573-O573</f>
        <v>0</v>
      </c>
      <c r="S573" s="41">
        <f>E573-P573</f>
        <v>0</v>
      </c>
    </row>
    <row r="574" spans="1:23" x14ac:dyDescent="0.15">
      <c r="A574" s="1">
        <v>6</v>
      </c>
      <c r="B574" s="1">
        <v>12</v>
      </c>
      <c r="C574" s="10">
        <v>0.40100000000000002</v>
      </c>
      <c r="D574" s="5">
        <v>60</v>
      </c>
      <c r="E574" s="10">
        <v>0.1085</v>
      </c>
      <c r="F574" s="5">
        <v>12540</v>
      </c>
      <c r="G574" s="5">
        <v>270</v>
      </c>
      <c r="I574" s="40">
        <f t="shared" si="22"/>
        <v>12540</v>
      </c>
      <c r="J574" s="40">
        <f t="shared" si="23"/>
        <v>270</v>
      </c>
      <c r="K574" s="1">
        <v>12540</v>
      </c>
      <c r="L574" s="1">
        <v>270</v>
      </c>
      <c r="M574">
        <f t="shared" si="21"/>
        <v>0</v>
      </c>
      <c r="N574" s="1">
        <v>0.40100000000000002</v>
      </c>
      <c r="O574" s="1">
        <v>60</v>
      </c>
      <c r="P574" s="24">
        <v>0.1085</v>
      </c>
      <c r="Q574" s="31">
        <f>C574-N574</f>
        <v>0</v>
      </c>
      <c r="R574" s="41">
        <f>D574-O574</f>
        <v>0</v>
      </c>
      <c r="S574" s="41">
        <f>E574-P574</f>
        <v>0</v>
      </c>
    </row>
    <row r="575" spans="1:23" x14ac:dyDescent="0.15">
      <c r="A575" s="1">
        <v>6</v>
      </c>
      <c r="B575" s="1">
        <v>12</v>
      </c>
      <c r="C575" s="10">
        <v>0.40100000000000002</v>
      </c>
      <c r="D575" s="5">
        <v>60</v>
      </c>
      <c r="E575" s="10">
        <v>0.1135</v>
      </c>
      <c r="F575" s="5">
        <v>12050</v>
      </c>
      <c r="G575" s="5">
        <v>260</v>
      </c>
      <c r="I575" s="40">
        <f t="shared" si="22"/>
        <v>12050</v>
      </c>
      <c r="J575" s="40">
        <f t="shared" si="23"/>
        <v>260</v>
      </c>
      <c r="K575" s="1">
        <v>12050</v>
      </c>
      <c r="L575" s="1">
        <v>260</v>
      </c>
      <c r="M575">
        <f t="shared" si="21"/>
        <v>0</v>
      </c>
      <c r="N575" s="1">
        <v>0.40100000000000002</v>
      </c>
      <c r="O575" s="1">
        <v>60</v>
      </c>
      <c r="P575" s="24">
        <v>0.1135</v>
      </c>
      <c r="Q575" s="31">
        <f>C575-N575</f>
        <v>0</v>
      </c>
      <c r="R575" s="41">
        <f>D575-O575</f>
        <v>0</v>
      </c>
      <c r="S575" s="41">
        <f>E575-P575</f>
        <v>0</v>
      </c>
    </row>
    <row r="576" spans="1:23" x14ac:dyDescent="0.15">
      <c r="A576" s="1">
        <v>6</v>
      </c>
      <c r="B576" s="1">
        <v>12</v>
      </c>
      <c r="C576" s="10">
        <v>0.40100000000000002</v>
      </c>
      <c r="D576" s="5">
        <v>60</v>
      </c>
      <c r="E576" s="10">
        <v>0.11849999999999999</v>
      </c>
      <c r="F576" s="5">
        <v>11140</v>
      </c>
      <c r="G576" s="5">
        <v>240</v>
      </c>
      <c r="I576" s="40">
        <f t="shared" si="22"/>
        <v>11140</v>
      </c>
      <c r="J576" s="40">
        <f t="shared" si="23"/>
        <v>240</v>
      </c>
      <c r="K576" s="1">
        <v>11140</v>
      </c>
      <c r="L576" s="1">
        <v>240</v>
      </c>
      <c r="M576">
        <f t="shared" si="21"/>
        <v>0</v>
      </c>
      <c r="N576" s="1">
        <v>0.40100000000000002</v>
      </c>
      <c r="O576" s="1">
        <v>60</v>
      </c>
      <c r="P576" s="24">
        <v>0.11849999999999999</v>
      </c>
      <c r="Q576" s="31">
        <f>C576-N576</f>
        <v>0</v>
      </c>
      <c r="R576" s="41">
        <f>D576-O576</f>
        <v>0</v>
      </c>
      <c r="S576" s="41">
        <f>E576-P576</f>
        <v>0</v>
      </c>
    </row>
    <row r="577" spans="1:19" x14ac:dyDescent="0.15">
      <c r="A577" s="1">
        <v>6</v>
      </c>
      <c r="B577" s="1">
        <v>12</v>
      </c>
      <c r="C577" s="10">
        <v>0.40100000000000002</v>
      </c>
      <c r="D577" s="5">
        <v>60</v>
      </c>
      <c r="E577" s="10">
        <v>0.1235</v>
      </c>
      <c r="F577" s="5">
        <v>10350</v>
      </c>
      <c r="G577" s="5">
        <v>230</v>
      </c>
      <c r="I577" s="40">
        <f t="shared" si="22"/>
        <v>10350</v>
      </c>
      <c r="J577" s="40">
        <f t="shared" si="23"/>
        <v>230</v>
      </c>
      <c r="K577" s="1">
        <v>10350</v>
      </c>
      <c r="L577" s="1">
        <v>230</v>
      </c>
      <c r="M577">
        <f t="shared" si="21"/>
        <v>0</v>
      </c>
      <c r="N577" s="1">
        <v>0.40100000000000002</v>
      </c>
      <c r="O577" s="1">
        <v>60</v>
      </c>
      <c r="P577" s="24">
        <v>0.1235</v>
      </c>
      <c r="Q577" s="31">
        <f>C577-N577</f>
        <v>0</v>
      </c>
      <c r="R577" s="41">
        <f>D577-O577</f>
        <v>0</v>
      </c>
      <c r="S577" s="41">
        <f>E577-P577</f>
        <v>0</v>
      </c>
    </row>
    <row r="578" spans="1:19" x14ac:dyDescent="0.15">
      <c r="A578" s="1">
        <v>6</v>
      </c>
      <c r="B578" s="1">
        <v>12</v>
      </c>
      <c r="C578" s="10">
        <v>0.40100000000000002</v>
      </c>
      <c r="D578" s="5">
        <v>60</v>
      </c>
      <c r="E578" s="10">
        <v>0.1285</v>
      </c>
      <c r="F578" s="5">
        <v>9110</v>
      </c>
      <c r="G578" s="5">
        <v>220</v>
      </c>
      <c r="I578" s="40">
        <f t="shared" si="22"/>
        <v>9110</v>
      </c>
      <c r="J578" s="40">
        <f t="shared" si="23"/>
        <v>220</v>
      </c>
      <c r="K578" s="1">
        <v>9110</v>
      </c>
      <c r="L578" s="1">
        <v>220</v>
      </c>
      <c r="M578">
        <f t="shared" si="21"/>
        <v>0</v>
      </c>
      <c r="N578" s="1">
        <v>0.40100000000000002</v>
      </c>
      <c r="O578" s="1">
        <v>60</v>
      </c>
      <c r="P578" s="24">
        <v>0.1285</v>
      </c>
      <c r="Q578" s="31">
        <f>C578-N578</f>
        <v>0</v>
      </c>
      <c r="R578" s="41">
        <f>D578-O578</f>
        <v>0</v>
      </c>
      <c r="S578" s="41">
        <f>E578-P578</f>
        <v>0</v>
      </c>
    </row>
    <row r="579" spans="1:19" x14ac:dyDescent="0.15">
      <c r="A579" s="1">
        <v>6</v>
      </c>
      <c r="B579" s="1">
        <v>12</v>
      </c>
      <c r="C579" s="10">
        <v>0.40100000000000002</v>
      </c>
      <c r="D579" s="5">
        <v>60</v>
      </c>
      <c r="E579" s="10">
        <v>0.13350000000000001</v>
      </c>
      <c r="F579" s="5">
        <v>8280</v>
      </c>
      <c r="G579" s="5">
        <v>210</v>
      </c>
      <c r="I579" s="40">
        <f t="shared" si="22"/>
        <v>8280</v>
      </c>
      <c r="J579" s="40">
        <f t="shared" si="23"/>
        <v>210</v>
      </c>
      <c r="K579" s="1">
        <v>8280</v>
      </c>
      <c r="L579" s="1">
        <v>210</v>
      </c>
      <c r="M579">
        <f t="shared" ref="M579:M642" si="24">I579+J579-K579-L579</f>
        <v>0</v>
      </c>
      <c r="N579" s="1">
        <v>0.40100000000000002</v>
      </c>
      <c r="O579" s="1">
        <v>60</v>
      </c>
      <c r="P579" s="24">
        <v>0.13350000000000001</v>
      </c>
      <c r="Q579" s="31">
        <f>C579-N579</f>
        <v>0</v>
      </c>
      <c r="R579" s="41">
        <f>D579-O579</f>
        <v>0</v>
      </c>
      <c r="S579" s="41">
        <f>E579-P579</f>
        <v>0</v>
      </c>
    </row>
    <row r="580" spans="1:19" x14ac:dyDescent="0.15">
      <c r="A580" s="1">
        <v>6</v>
      </c>
      <c r="B580" s="1">
        <v>12</v>
      </c>
      <c r="C580" s="10">
        <v>0.40100000000000002</v>
      </c>
      <c r="D580" s="5">
        <v>60</v>
      </c>
      <c r="E580" s="10">
        <v>0.13850000000000001</v>
      </c>
      <c r="F580" s="5">
        <v>7530</v>
      </c>
      <c r="G580" s="5">
        <v>200</v>
      </c>
      <c r="I580" s="40">
        <f t="shared" si="22"/>
        <v>7530</v>
      </c>
      <c r="J580" s="40">
        <f t="shared" si="23"/>
        <v>200</v>
      </c>
      <c r="K580" s="1">
        <v>7530</v>
      </c>
      <c r="L580" s="1">
        <v>200</v>
      </c>
      <c r="M580">
        <f t="shared" si="24"/>
        <v>0</v>
      </c>
      <c r="N580" s="1">
        <v>0.40100000000000002</v>
      </c>
      <c r="O580" s="1">
        <v>60</v>
      </c>
      <c r="P580" s="24">
        <v>0.13850000000000001</v>
      </c>
      <c r="Q580" s="31">
        <f>C580-N580</f>
        <v>0</v>
      </c>
      <c r="R580" s="41">
        <f>D580-O580</f>
        <v>0</v>
      </c>
      <c r="S580" s="41">
        <f>E580-P580</f>
        <v>0</v>
      </c>
    </row>
    <row r="581" spans="1:19" x14ac:dyDescent="0.15">
      <c r="A581" s="1">
        <v>6</v>
      </c>
      <c r="B581" s="1">
        <v>12</v>
      </c>
      <c r="C581" s="10">
        <v>0.40100000000000002</v>
      </c>
      <c r="D581" s="5">
        <v>60</v>
      </c>
      <c r="E581" s="10">
        <v>0.14349999999999999</v>
      </c>
      <c r="F581" s="5">
        <v>6800</v>
      </c>
      <c r="G581" s="5">
        <v>190</v>
      </c>
      <c r="I581" s="40">
        <f t="shared" si="22"/>
        <v>6800</v>
      </c>
      <c r="J581" s="40">
        <f t="shared" si="23"/>
        <v>190</v>
      </c>
      <c r="K581" s="1">
        <v>6800</v>
      </c>
      <c r="L581" s="1">
        <v>190</v>
      </c>
      <c r="M581">
        <f t="shared" si="24"/>
        <v>0</v>
      </c>
      <c r="N581" s="1">
        <v>0.40100000000000002</v>
      </c>
      <c r="O581" s="1">
        <v>60</v>
      </c>
      <c r="P581" s="24">
        <v>0.14349999999999999</v>
      </c>
      <c r="Q581" s="31">
        <f>C581-N581</f>
        <v>0</v>
      </c>
      <c r="R581" s="41">
        <f>D581-O581</f>
        <v>0</v>
      </c>
      <c r="S581" s="41">
        <f>E581-P581</f>
        <v>0</v>
      </c>
    </row>
    <row r="582" spans="1:19" x14ac:dyDescent="0.15">
      <c r="A582" s="1">
        <v>6</v>
      </c>
      <c r="B582" s="1">
        <v>12</v>
      </c>
      <c r="C582" s="10">
        <v>0.40100000000000002</v>
      </c>
      <c r="D582" s="5">
        <v>60</v>
      </c>
      <c r="E582" s="10">
        <v>0.14849999999999999</v>
      </c>
      <c r="F582" s="5">
        <v>6270</v>
      </c>
      <c r="G582" s="5">
        <v>180</v>
      </c>
      <c r="I582" s="40">
        <f t="shared" si="22"/>
        <v>6270</v>
      </c>
      <c r="J582" s="40">
        <f t="shared" si="23"/>
        <v>180</v>
      </c>
      <c r="K582" s="1">
        <v>6270</v>
      </c>
      <c r="L582" s="1">
        <v>180</v>
      </c>
      <c r="M582">
        <f t="shared" si="24"/>
        <v>0</v>
      </c>
      <c r="N582" s="1">
        <v>0.40100000000000002</v>
      </c>
      <c r="O582" s="1">
        <v>60</v>
      </c>
      <c r="P582" s="24">
        <v>0.14849999999999999</v>
      </c>
      <c r="Q582" s="31">
        <f>C582-N582</f>
        <v>0</v>
      </c>
      <c r="R582" s="41">
        <f>D582-O582</f>
        <v>0</v>
      </c>
      <c r="S582" s="41">
        <f>E582-P582</f>
        <v>0</v>
      </c>
    </row>
    <row r="583" spans="1:19" x14ac:dyDescent="0.15">
      <c r="A583" s="1">
        <v>6</v>
      </c>
      <c r="B583" s="1">
        <v>12</v>
      </c>
      <c r="C583" s="10">
        <v>0.40100000000000002</v>
      </c>
      <c r="D583" s="5">
        <v>60</v>
      </c>
      <c r="E583" s="10">
        <v>0.1535</v>
      </c>
      <c r="F583" s="5">
        <v>5640</v>
      </c>
      <c r="G583" s="5">
        <v>170</v>
      </c>
      <c r="I583" s="40">
        <f t="shared" si="22"/>
        <v>5640</v>
      </c>
      <c r="J583" s="40">
        <f t="shared" si="23"/>
        <v>170</v>
      </c>
      <c r="K583" s="1">
        <v>5640</v>
      </c>
      <c r="L583" s="1">
        <v>170</v>
      </c>
      <c r="M583">
        <f t="shared" si="24"/>
        <v>0</v>
      </c>
      <c r="N583" s="1">
        <v>0.40100000000000002</v>
      </c>
      <c r="O583" s="1">
        <v>60</v>
      </c>
      <c r="P583" s="24">
        <v>0.1535</v>
      </c>
      <c r="Q583" s="31">
        <f>C583-N583</f>
        <v>0</v>
      </c>
      <c r="R583" s="41">
        <f>D583-O583</f>
        <v>0</v>
      </c>
      <c r="S583" s="41">
        <f>E583-P583</f>
        <v>0</v>
      </c>
    </row>
    <row r="584" spans="1:19" x14ac:dyDescent="0.15">
      <c r="A584" s="1">
        <v>6</v>
      </c>
      <c r="B584" s="1">
        <v>12</v>
      </c>
      <c r="C584" s="10">
        <v>0.40100000000000002</v>
      </c>
      <c r="D584" s="5">
        <v>60</v>
      </c>
      <c r="E584" s="10">
        <v>0.1585</v>
      </c>
      <c r="F584" s="5">
        <v>5140</v>
      </c>
      <c r="G584" s="5">
        <v>160</v>
      </c>
      <c r="I584" s="40">
        <f t="shared" si="22"/>
        <v>5140</v>
      </c>
      <c r="J584" s="40">
        <f t="shared" si="23"/>
        <v>160</v>
      </c>
      <c r="K584" s="1">
        <v>5140</v>
      </c>
      <c r="L584" s="1">
        <v>160</v>
      </c>
      <c r="M584">
        <f t="shared" si="24"/>
        <v>0</v>
      </c>
      <c r="N584" s="1">
        <v>0.40100000000000002</v>
      </c>
      <c r="O584" s="1">
        <v>60</v>
      </c>
      <c r="P584" s="24">
        <v>0.1585</v>
      </c>
      <c r="Q584" s="31">
        <f>C584-N584</f>
        <v>0</v>
      </c>
      <c r="R584" s="41">
        <f>D584-O584</f>
        <v>0</v>
      </c>
      <c r="S584" s="41">
        <f>E584-P584</f>
        <v>0</v>
      </c>
    </row>
    <row r="585" spans="1:19" x14ac:dyDescent="0.15">
      <c r="A585" s="1">
        <v>6</v>
      </c>
      <c r="B585" s="1">
        <v>12</v>
      </c>
      <c r="C585" s="10">
        <v>0.40100000000000002</v>
      </c>
      <c r="D585" s="5">
        <v>60</v>
      </c>
      <c r="E585" s="10">
        <v>0.16350000000000001</v>
      </c>
      <c r="F585" s="5">
        <v>4740</v>
      </c>
      <c r="G585" s="5">
        <v>160</v>
      </c>
      <c r="I585" s="40">
        <f t="shared" si="22"/>
        <v>4740</v>
      </c>
      <c r="J585" s="40">
        <f t="shared" si="23"/>
        <v>160</v>
      </c>
      <c r="K585" s="1">
        <v>4740</v>
      </c>
      <c r="L585" s="1">
        <v>160</v>
      </c>
      <c r="M585">
        <f t="shared" si="24"/>
        <v>0</v>
      </c>
      <c r="N585" s="1">
        <v>0.40100000000000002</v>
      </c>
      <c r="O585" s="1">
        <v>60</v>
      </c>
      <c r="P585" s="24">
        <v>0.16350000000000001</v>
      </c>
      <c r="Q585" s="31">
        <f>C585-N585</f>
        <v>0</v>
      </c>
      <c r="R585" s="41">
        <f>D585-O585</f>
        <v>0</v>
      </c>
      <c r="S585" s="41">
        <f>E585-P585</f>
        <v>0</v>
      </c>
    </row>
    <row r="586" spans="1:19" x14ac:dyDescent="0.15">
      <c r="A586" s="1">
        <v>6</v>
      </c>
      <c r="B586" s="1">
        <v>12</v>
      </c>
      <c r="C586" s="10">
        <v>0.40100000000000002</v>
      </c>
      <c r="D586" s="5">
        <v>60</v>
      </c>
      <c r="E586" s="10">
        <v>0.16850000000000001</v>
      </c>
      <c r="F586" s="5">
        <v>4410</v>
      </c>
      <c r="G586" s="5">
        <v>150</v>
      </c>
      <c r="I586" s="40">
        <f t="shared" si="22"/>
        <v>4410</v>
      </c>
      <c r="J586" s="40">
        <f t="shared" si="23"/>
        <v>150</v>
      </c>
      <c r="K586" s="1">
        <v>4410</v>
      </c>
      <c r="L586" s="1">
        <v>150</v>
      </c>
      <c r="M586">
        <f t="shared" si="24"/>
        <v>0</v>
      </c>
      <c r="N586" s="1">
        <v>0.40100000000000002</v>
      </c>
      <c r="O586" s="1">
        <v>60</v>
      </c>
      <c r="P586" s="24">
        <v>0.16850000000000001</v>
      </c>
      <c r="Q586" s="31">
        <f>C586-N586</f>
        <v>0</v>
      </c>
      <c r="R586" s="41">
        <f>D586-O586</f>
        <v>0</v>
      </c>
      <c r="S586" s="41">
        <f>E586-P586</f>
        <v>0</v>
      </c>
    </row>
    <row r="587" spans="1:19" x14ac:dyDescent="0.15">
      <c r="A587" s="1">
        <v>6</v>
      </c>
      <c r="B587" s="1">
        <v>12</v>
      </c>
      <c r="C587" s="10">
        <v>0.40100000000000002</v>
      </c>
      <c r="D587" s="5">
        <v>60</v>
      </c>
      <c r="E587" s="10">
        <v>0.17349999999999999</v>
      </c>
      <c r="F587" s="5">
        <v>4150</v>
      </c>
      <c r="G587" s="5">
        <v>150</v>
      </c>
      <c r="I587" s="40">
        <f t="shared" si="22"/>
        <v>4150</v>
      </c>
      <c r="J587" s="40">
        <f t="shared" si="23"/>
        <v>150</v>
      </c>
      <c r="K587" s="1">
        <v>4150</v>
      </c>
      <c r="L587" s="1">
        <v>150</v>
      </c>
      <c r="M587">
        <f t="shared" si="24"/>
        <v>0</v>
      </c>
      <c r="N587" s="1">
        <v>0.40100000000000002</v>
      </c>
      <c r="O587" s="1">
        <v>60</v>
      </c>
      <c r="P587" s="24">
        <v>0.17349999999999999</v>
      </c>
      <c r="Q587" s="31">
        <f>C587-N587</f>
        <v>0</v>
      </c>
      <c r="R587" s="41">
        <f>D587-O587</f>
        <v>0</v>
      </c>
      <c r="S587" s="41">
        <f>E587-P587</f>
        <v>0</v>
      </c>
    </row>
    <row r="588" spans="1:19" x14ac:dyDescent="0.15">
      <c r="A588" s="1">
        <v>6</v>
      </c>
      <c r="B588" s="1">
        <v>12</v>
      </c>
      <c r="C588" s="10">
        <v>0.40100000000000002</v>
      </c>
      <c r="D588" s="5">
        <v>60</v>
      </c>
      <c r="E588" s="10">
        <v>0.17849999999999999</v>
      </c>
      <c r="F588" s="5">
        <v>3840</v>
      </c>
      <c r="G588" s="5">
        <v>150</v>
      </c>
      <c r="I588" s="40">
        <f t="shared" si="22"/>
        <v>3840</v>
      </c>
      <c r="J588" s="40">
        <f t="shared" si="23"/>
        <v>150</v>
      </c>
      <c r="K588" s="1">
        <v>3840</v>
      </c>
      <c r="L588" s="1">
        <v>150</v>
      </c>
      <c r="M588">
        <f t="shared" si="24"/>
        <v>0</v>
      </c>
      <c r="N588" s="1">
        <v>0.40100000000000002</v>
      </c>
      <c r="O588" s="1">
        <v>60</v>
      </c>
      <c r="P588" s="24">
        <v>0.17849999999999999</v>
      </c>
      <c r="Q588" s="31">
        <f>C588-N588</f>
        <v>0</v>
      </c>
      <c r="R588" s="41">
        <f>D588-O588</f>
        <v>0</v>
      </c>
      <c r="S588" s="41">
        <f>E588-P588</f>
        <v>0</v>
      </c>
    </row>
    <row r="589" spans="1:19" x14ac:dyDescent="0.15">
      <c r="A589" s="1">
        <v>6</v>
      </c>
      <c r="B589" s="1">
        <v>12</v>
      </c>
      <c r="C589" s="10">
        <v>0.40100000000000002</v>
      </c>
      <c r="D589" s="5">
        <v>60</v>
      </c>
      <c r="E589" s="10">
        <v>0.1835</v>
      </c>
      <c r="F589" s="5">
        <v>3690</v>
      </c>
      <c r="G589" s="5">
        <v>150</v>
      </c>
      <c r="I589" s="40">
        <f t="shared" si="22"/>
        <v>3690</v>
      </c>
      <c r="J589" s="40">
        <f t="shared" si="23"/>
        <v>150</v>
      </c>
      <c r="K589" s="1">
        <v>3690</v>
      </c>
      <c r="L589" s="1">
        <v>150</v>
      </c>
      <c r="M589">
        <f t="shared" si="24"/>
        <v>0</v>
      </c>
      <c r="N589" s="1">
        <v>0.40100000000000002</v>
      </c>
      <c r="O589" s="1">
        <v>60</v>
      </c>
      <c r="P589" s="24">
        <v>0.1835</v>
      </c>
      <c r="Q589" s="31">
        <f>C589-N589</f>
        <v>0</v>
      </c>
      <c r="R589" s="41">
        <f>D589-O589</f>
        <v>0</v>
      </c>
      <c r="S589" s="41">
        <f>E589-P589</f>
        <v>0</v>
      </c>
    </row>
    <row r="590" spans="1:19" x14ac:dyDescent="0.15">
      <c r="A590" s="1">
        <v>6</v>
      </c>
      <c r="B590" s="1">
        <v>12</v>
      </c>
      <c r="C590" s="10">
        <v>0.40100000000000002</v>
      </c>
      <c r="D590" s="5">
        <v>60</v>
      </c>
      <c r="E590" s="10">
        <v>0.1885</v>
      </c>
      <c r="F590" s="5">
        <v>3520</v>
      </c>
      <c r="G590" s="5">
        <v>150</v>
      </c>
      <c r="I590" s="40">
        <f t="shared" si="22"/>
        <v>3520</v>
      </c>
      <c r="J590" s="40">
        <f t="shared" si="23"/>
        <v>150</v>
      </c>
      <c r="K590" s="1">
        <v>3520</v>
      </c>
      <c r="L590" s="1">
        <v>150</v>
      </c>
      <c r="M590">
        <f t="shared" si="24"/>
        <v>0</v>
      </c>
      <c r="N590" s="1">
        <v>0.40100000000000002</v>
      </c>
      <c r="O590" s="1">
        <v>60</v>
      </c>
      <c r="P590" s="24">
        <v>0.1885</v>
      </c>
      <c r="Q590" s="31">
        <f>C590-N590</f>
        <v>0</v>
      </c>
      <c r="R590" s="41">
        <f>D590-O590</f>
        <v>0</v>
      </c>
      <c r="S590" s="41">
        <f>E590-P590</f>
        <v>0</v>
      </c>
    </row>
    <row r="591" spans="1:19" x14ac:dyDescent="0.15">
      <c r="A591" s="1">
        <v>6</v>
      </c>
      <c r="B591" s="1">
        <v>12</v>
      </c>
      <c r="C591" s="10">
        <v>0.40100000000000002</v>
      </c>
      <c r="D591" s="5">
        <v>60</v>
      </c>
      <c r="E591" s="10">
        <v>0.19350000000000001</v>
      </c>
      <c r="F591" s="5">
        <v>3450</v>
      </c>
      <c r="G591" s="5">
        <v>150</v>
      </c>
      <c r="I591" s="40">
        <f t="shared" si="22"/>
        <v>3450</v>
      </c>
      <c r="J591" s="40">
        <f t="shared" si="23"/>
        <v>150</v>
      </c>
      <c r="K591" s="1">
        <v>3450</v>
      </c>
      <c r="L591" s="1">
        <v>150</v>
      </c>
      <c r="M591">
        <f t="shared" si="24"/>
        <v>0</v>
      </c>
      <c r="N591" s="1">
        <v>0.40100000000000002</v>
      </c>
      <c r="O591" s="1">
        <v>60</v>
      </c>
      <c r="P591" s="24">
        <v>0.19350000000000001</v>
      </c>
      <c r="Q591" s="31">
        <f>C591-N591</f>
        <v>0</v>
      </c>
      <c r="R591" s="41">
        <f>D591-O591</f>
        <v>0</v>
      </c>
      <c r="S591" s="41">
        <f>E591-P591</f>
        <v>0</v>
      </c>
    </row>
    <row r="592" spans="1:19" x14ac:dyDescent="0.15">
      <c r="A592" s="1">
        <v>6</v>
      </c>
      <c r="B592" s="1">
        <v>12</v>
      </c>
      <c r="C592" s="10">
        <v>0.40100000000000002</v>
      </c>
      <c r="D592" s="5">
        <v>60</v>
      </c>
      <c r="E592" s="10">
        <v>0.19850000000000001</v>
      </c>
      <c r="F592" s="5">
        <v>3430</v>
      </c>
      <c r="G592" s="5">
        <v>150</v>
      </c>
      <c r="I592" s="40">
        <f t="shared" si="22"/>
        <v>3430</v>
      </c>
      <c r="J592" s="40">
        <f t="shared" si="23"/>
        <v>150</v>
      </c>
      <c r="K592" s="1">
        <v>3430</v>
      </c>
      <c r="L592" s="1">
        <v>150</v>
      </c>
      <c r="M592">
        <f t="shared" si="24"/>
        <v>0</v>
      </c>
      <c r="N592" s="1">
        <v>0.40100000000000002</v>
      </c>
      <c r="O592" s="1">
        <v>60</v>
      </c>
      <c r="P592" s="24">
        <v>0.19850000000000001</v>
      </c>
      <c r="Q592" s="31">
        <f>C592-N592</f>
        <v>0</v>
      </c>
      <c r="R592" s="41">
        <f>D592-O592</f>
        <v>0</v>
      </c>
      <c r="S592" s="41">
        <f>E592-P592</f>
        <v>0</v>
      </c>
    </row>
    <row r="593" spans="1:19" x14ac:dyDescent="0.15">
      <c r="A593" s="1">
        <v>6</v>
      </c>
      <c r="B593" s="1">
        <v>12</v>
      </c>
      <c r="C593" s="10">
        <v>0.40100000000000002</v>
      </c>
      <c r="D593" s="5">
        <v>60</v>
      </c>
      <c r="E593" s="10">
        <v>0.20349999999999999</v>
      </c>
      <c r="F593" s="5">
        <v>3450</v>
      </c>
      <c r="G593" s="5">
        <v>160</v>
      </c>
      <c r="I593" s="40">
        <f t="shared" si="22"/>
        <v>3450</v>
      </c>
      <c r="J593" s="40">
        <f t="shared" si="23"/>
        <v>160</v>
      </c>
      <c r="K593" s="1">
        <v>3450</v>
      </c>
      <c r="L593" s="1">
        <v>160</v>
      </c>
      <c r="M593">
        <f t="shared" si="24"/>
        <v>0</v>
      </c>
      <c r="N593" s="1">
        <v>0.40100000000000002</v>
      </c>
      <c r="O593" s="1">
        <v>60</v>
      </c>
      <c r="P593" s="24">
        <v>0.20349999999999999</v>
      </c>
      <c r="Q593" s="31">
        <f>C593-N593</f>
        <v>0</v>
      </c>
      <c r="R593" s="41">
        <f>D593-O593</f>
        <v>0</v>
      </c>
      <c r="S593" s="41">
        <f>E593-P593</f>
        <v>0</v>
      </c>
    </row>
    <row r="594" spans="1:19" x14ac:dyDescent="0.15">
      <c r="A594" s="1">
        <v>6</v>
      </c>
      <c r="B594" s="1">
        <v>12</v>
      </c>
      <c r="C594" s="10">
        <v>0.40100000000000002</v>
      </c>
      <c r="D594" s="5">
        <v>60</v>
      </c>
      <c r="E594" s="10">
        <v>0.20849999999999999</v>
      </c>
      <c r="F594" s="5">
        <v>3420</v>
      </c>
      <c r="G594" s="5">
        <v>170</v>
      </c>
      <c r="I594" s="40">
        <f t="shared" si="22"/>
        <v>3420</v>
      </c>
      <c r="J594" s="40">
        <f t="shared" si="23"/>
        <v>170</v>
      </c>
      <c r="K594" s="1">
        <v>3420</v>
      </c>
      <c r="L594" s="1">
        <v>170</v>
      </c>
      <c r="M594">
        <f t="shared" si="24"/>
        <v>0</v>
      </c>
      <c r="N594" s="1">
        <v>0.40100000000000002</v>
      </c>
      <c r="O594" s="1">
        <v>60</v>
      </c>
      <c r="P594" s="24">
        <v>0.20849999999999999</v>
      </c>
      <c r="Q594" s="31">
        <f>C594-N594</f>
        <v>0</v>
      </c>
      <c r="R594" s="41">
        <f>D594-O594</f>
        <v>0</v>
      </c>
      <c r="S594" s="41">
        <f>E594-P594</f>
        <v>0</v>
      </c>
    </row>
    <row r="595" spans="1:19" x14ac:dyDescent="0.15">
      <c r="A595" s="1">
        <v>6</v>
      </c>
      <c r="B595" s="1">
        <v>12</v>
      </c>
      <c r="C595" s="10">
        <v>0.40100000000000002</v>
      </c>
      <c r="D595" s="5">
        <v>60</v>
      </c>
      <c r="E595" s="10">
        <v>0.2135</v>
      </c>
      <c r="F595" s="5">
        <v>3490</v>
      </c>
      <c r="G595" s="5">
        <v>180</v>
      </c>
      <c r="I595" s="40">
        <f t="shared" si="22"/>
        <v>3490</v>
      </c>
      <c r="J595" s="40">
        <f t="shared" si="23"/>
        <v>180</v>
      </c>
      <c r="K595" s="1">
        <v>3490</v>
      </c>
      <c r="L595" s="1">
        <v>180</v>
      </c>
      <c r="M595">
        <f t="shared" si="24"/>
        <v>0</v>
      </c>
      <c r="N595" s="1">
        <v>0.40100000000000002</v>
      </c>
      <c r="O595" s="1">
        <v>60</v>
      </c>
      <c r="P595" s="24">
        <v>0.2135</v>
      </c>
      <c r="Q595" s="31">
        <f>C595-N595</f>
        <v>0</v>
      </c>
      <c r="R595" s="41">
        <f>D595-O595</f>
        <v>0</v>
      </c>
      <c r="S595" s="41">
        <f>E595-P595</f>
        <v>0</v>
      </c>
    </row>
    <row r="596" spans="1:19" x14ac:dyDescent="0.15">
      <c r="A596" s="1">
        <v>6</v>
      </c>
      <c r="B596" s="1">
        <v>12</v>
      </c>
      <c r="C596" s="10">
        <v>0.40100000000000002</v>
      </c>
      <c r="D596" s="5">
        <v>60</v>
      </c>
      <c r="E596" s="10">
        <v>0.2185</v>
      </c>
      <c r="F596" s="5">
        <v>3650</v>
      </c>
      <c r="G596" s="5">
        <v>190</v>
      </c>
      <c r="I596" s="40">
        <f t="shared" si="22"/>
        <v>3650</v>
      </c>
      <c r="J596" s="40">
        <f t="shared" si="23"/>
        <v>190</v>
      </c>
      <c r="K596" s="1">
        <v>3650</v>
      </c>
      <c r="L596" s="1">
        <v>190</v>
      </c>
      <c r="M596">
        <f t="shared" si="24"/>
        <v>0</v>
      </c>
      <c r="N596" s="1">
        <v>0.40100000000000002</v>
      </c>
      <c r="O596" s="1">
        <v>60</v>
      </c>
      <c r="P596" s="24">
        <v>0.2185</v>
      </c>
      <c r="Q596" s="31">
        <f>C596-N596</f>
        <v>0</v>
      </c>
      <c r="R596" s="41">
        <f>D596-O596</f>
        <v>0</v>
      </c>
      <c r="S596" s="41">
        <f>E596-P596</f>
        <v>0</v>
      </c>
    </row>
    <row r="597" spans="1:19" x14ac:dyDescent="0.15">
      <c r="A597" s="1">
        <v>6</v>
      </c>
      <c r="B597" s="1">
        <v>12</v>
      </c>
      <c r="C597" s="10">
        <v>0.40100000000000002</v>
      </c>
      <c r="D597" s="5">
        <v>60</v>
      </c>
      <c r="E597" s="10">
        <v>0.2235</v>
      </c>
      <c r="F597" s="5">
        <v>3770</v>
      </c>
      <c r="G597" s="5">
        <v>210</v>
      </c>
      <c r="I597" s="40">
        <f t="shared" si="22"/>
        <v>3770</v>
      </c>
      <c r="J597" s="40">
        <f t="shared" si="23"/>
        <v>210</v>
      </c>
      <c r="K597" s="1">
        <v>3770</v>
      </c>
      <c r="L597" s="1">
        <v>210</v>
      </c>
      <c r="M597">
        <f t="shared" si="24"/>
        <v>0</v>
      </c>
      <c r="N597" s="1">
        <v>0.40100000000000002</v>
      </c>
      <c r="O597" s="1">
        <v>60</v>
      </c>
      <c r="P597" s="24">
        <v>0.2235</v>
      </c>
      <c r="Q597" s="31">
        <f>C597-N597</f>
        <v>0</v>
      </c>
      <c r="R597" s="41">
        <f>D597-O597</f>
        <v>0</v>
      </c>
      <c r="S597" s="41">
        <f>E597-P597</f>
        <v>0</v>
      </c>
    </row>
    <row r="598" spans="1:19" x14ac:dyDescent="0.15">
      <c r="A598" s="1">
        <v>6</v>
      </c>
      <c r="B598" s="1">
        <v>12</v>
      </c>
      <c r="C598" s="10">
        <v>0.40100000000000002</v>
      </c>
      <c r="D598" s="5">
        <v>60</v>
      </c>
      <c r="E598" s="10">
        <v>0.22850000000000001</v>
      </c>
      <c r="F598" s="5">
        <v>3880</v>
      </c>
      <c r="G598" s="5">
        <v>220</v>
      </c>
      <c r="I598" s="40">
        <f t="shared" si="22"/>
        <v>3880</v>
      </c>
      <c r="J598" s="40">
        <f t="shared" si="23"/>
        <v>220</v>
      </c>
      <c r="K598" s="1">
        <v>3880</v>
      </c>
      <c r="L598" s="1">
        <v>220</v>
      </c>
      <c r="M598">
        <f t="shared" si="24"/>
        <v>0</v>
      </c>
      <c r="N598" s="1">
        <v>0.40100000000000002</v>
      </c>
      <c r="O598" s="1">
        <v>60</v>
      </c>
      <c r="P598" s="24">
        <v>0.22850000000000001</v>
      </c>
      <c r="Q598" s="31">
        <f>C598-N598</f>
        <v>0</v>
      </c>
      <c r="R598" s="41">
        <f>D598-O598</f>
        <v>0</v>
      </c>
      <c r="S598" s="41">
        <f>E598-P598</f>
        <v>0</v>
      </c>
    </row>
    <row r="599" spans="1:19" x14ac:dyDescent="0.15">
      <c r="A599" s="1">
        <v>6</v>
      </c>
      <c r="B599" s="1">
        <v>12</v>
      </c>
      <c r="C599" s="10">
        <v>0.40100000000000002</v>
      </c>
      <c r="D599" s="5">
        <v>60</v>
      </c>
      <c r="E599" s="10">
        <v>0.23350000000000001</v>
      </c>
      <c r="F599" s="5">
        <v>4040</v>
      </c>
      <c r="G599" s="5">
        <v>240</v>
      </c>
      <c r="I599" s="40">
        <f t="shared" si="22"/>
        <v>4040</v>
      </c>
      <c r="J599" s="40">
        <f t="shared" si="23"/>
        <v>240</v>
      </c>
      <c r="K599" s="1">
        <v>4040</v>
      </c>
      <c r="L599" s="1">
        <v>240</v>
      </c>
      <c r="M599">
        <f t="shared" si="24"/>
        <v>0</v>
      </c>
      <c r="N599" s="1">
        <v>0.40100000000000002</v>
      </c>
      <c r="O599" s="1">
        <v>60</v>
      </c>
      <c r="P599" s="24">
        <v>0.23350000000000001</v>
      </c>
      <c r="Q599" s="31">
        <f>C599-N599</f>
        <v>0</v>
      </c>
      <c r="R599" s="41">
        <f>D599-O599</f>
        <v>0</v>
      </c>
      <c r="S599" s="41">
        <f>E599-P599</f>
        <v>0</v>
      </c>
    </row>
    <row r="600" spans="1:19" x14ac:dyDescent="0.15">
      <c r="A600" s="1">
        <v>6</v>
      </c>
      <c r="B600" s="1">
        <v>12</v>
      </c>
      <c r="C600" s="10">
        <v>0.40100000000000002</v>
      </c>
      <c r="D600" s="5">
        <v>60</v>
      </c>
      <c r="E600" s="10">
        <v>0.23849999999999999</v>
      </c>
      <c r="F600" s="5">
        <v>4230</v>
      </c>
      <c r="G600" s="5">
        <v>260</v>
      </c>
      <c r="I600" s="40">
        <f t="shared" si="22"/>
        <v>4230</v>
      </c>
      <c r="J600" s="40">
        <f t="shared" si="23"/>
        <v>260</v>
      </c>
      <c r="K600" s="1">
        <v>4230</v>
      </c>
      <c r="L600" s="1">
        <v>260</v>
      </c>
      <c r="M600">
        <f t="shared" si="24"/>
        <v>0</v>
      </c>
      <c r="N600" s="1">
        <v>0.40100000000000002</v>
      </c>
      <c r="O600" s="1">
        <v>60</v>
      </c>
      <c r="P600" s="24">
        <v>0.23849999999999999</v>
      </c>
      <c r="Q600" s="31">
        <f>C600-N600</f>
        <v>0</v>
      </c>
      <c r="R600" s="41">
        <f>D600-O600</f>
        <v>0</v>
      </c>
      <c r="S600" s="41">
        <f>E600-P600</f>
        <v>0</v>
      </c>
    </row>
    <row r="601" spans="1:19" x14ac:dyDescent="0.15">
      <c r="A601" s="1">
        <v>6</v>
      </c>
      <c r="B601" s="1">
        <v>12</v>
      </c>
      <c r="C601" s="10">
        <v>0.40100000000000002</v>
      </c>
      <c r="D601" s="5">
        <v>60</v>
      </c>
      <c r="E601" s="10">
        <v>0.24349999999999999</v>
      </c>
      <c r="F601" s="5">
        <v>4420</v>
      </c>
      <c r="G601" s="5">
        <v>280</v>
      </c>
      <c r="I601" s="40">
        <f t="shared" si="22"/>
        <v>4420</v>
      </c>
      <c r="J601" s="40">
        <f t="shared" si="23"/>
        <v>280</v>
      </c>
      <c r="K601" s="1">
        <v>4420</v>
      </c>
      <c r="L601" s="1">
        <v>280</v>
      </c>
      <c r="M601">
        <f t="shared" si="24"/>
        <v>0</v>
      </c>
      <c r="N601" s="1">
        <v>0.40100000000000002</v>
      </c>
      <c r="O601" s="1">
        <v>60</v>
      </c>
      <c r="P601" s="24">
        <v>0.24349999999999999</v>
      </c>
      <c r="Q601" s="31">
        <f>C601-N601</f>
        <v>0</v>
      </c>
      <c r="R601" s="41">
        <f>D601-O601</f>
        <v>0</v>
      </c>
      <c r="S601" s="41">
        <f>E601-P601</f>
        <v>0</v>
      </c>
    </row>
    <row r="602" spans="1:19" x14ac:dyDescent="0.15">
      <c r="A602" s="1">
        <v>6</v>
      </c>
      <c r="B602" s="1">
        <v>12</v>
      </c>
      <c r="C602" s="10">
        <v>0.40100000000000002</v>
      </c>
      <c r="D602" s="5">
        <v>60</v>
      </c>
      <c r="E602" s="10">
        <v>0.2485</v>
      </c>
      <c r="F602" s="5">
        <v>4570</v>
      </c>
      <c r="G602" s="5">
        <v>310</v>
      </c>
      <c r="I602" s="40">
        <f t="shared" si="22"/>
        <v>4570</v>
      </c>
      <c r="J602" s="40">
        <f t="shared" si="23"/>
        <v>310</v>
      </c>
      <c r="K602" s="1">
        <v>4570</v>
      </c>
      <c r="L602" s="1">
        <v>310</v>
      </c>
      <c r="M602">
        <f t="shared" si="24"/>
        <v>0</v>
      </c>
      <c r="N602" s="1">
        <v>0.40100000000000002</v>
      </c>
      <c r="O602" s="1">
        <v>60</v>
      </c>
      <c r="P602" s="24">
        <v>0.2485</v>
      </c>
      <c r="Q602" s="31">
        <f>C602-N602</f>
        <v>0</v>
      </c>
      <c r="R602" s="41">
        <f>D602-O602</f>
        <v>0</v>
      </c>
      <c r="S602" s="41">
        <f>E602-P602</f>
        <v>0</v>
      </c>
    </row>
    <row r="603" spans="1:19" x14ac:dyDescent="0.15">
      <c r="A603" s="1">
        <v>6</v>
      </c>
      <c r="B603" s="1">
        <v>12</v>
      </c>
      <c r="C603" s="10">
        <v>0.40100000000000002</v>
      </c>
      <c r="D603" s="5">
        <v>60</v>
      </c>
      <c r="E603" s="10">
        <v>0.2535</v>
      </c>
      <c r="F603" s="5">
        <v>4780</v>
      </c>
      <c r="G603" s="5">
        <v>340</v>
      </c>
      <c r="I603" s="40">
        <f t="shared" si="22"/>
        <v>4780</v>
      </c>
      <c r="J603" s="40">
        <f t="shared" si="23"/>
        <v>340</v>
      </c>
      <c r="K603" s="1">
        <v>4780</v>
      </c>
      <c r="L603" s="1">
        <v>340</v>
      </c>
      <c r="M603">
        <f t="shared" si="24"/>
        <v>0</v>
      </c>
      <c r="N603" s="1">
        <v>0.40100000000000002</v>
      </c>
      <c r="O603" s="1">
        <v>60</v>
      </c>
      <c r="P603" s="24">
        <v>0.2535</v>
      </c>
      <c r="Q603" s="31">
        <f>C603-N603</f>
        <v>0</v>
      </c>
      <c r="R603" s="41">
        <f>D603-O603</f>
        <v>0</v>
      </c>
      <c r="S603" s="41">
        <f>E603-P603</f>
        <v>0</v>
      </c>
    </row>
    <row r="604" spans="1:19" x14ac:dyDescent="0.15">
      <c r="A604" s="1">
        <v>6</v>
      </c>
      <c r="B604" s="1">
        <v>12</v>
      </c>
      <c r="C604" s="10">
        <v>0.40100000000000002</v>
      </c>
      <c r="D604" s="5">
        <v>60</v>
      </c>
      <c r="E604" s="10">
        <v>0.25850000000000001</v>
      </c>
      <c r="F604" s="5">
        <v>5080</v>
      </c>
      <c r="G604" s="5">
        <v>370</v>
      </c>
      <c r="I604" s="40">
        <f t="shared" si="22"/>
        <v>5080</v>
      </c>
      <c r="J604" s="40">
        <f t="shared" si="23"/>
        <v>370</v>
      </c>
      <c r="K604" s="1">
        <v>5080</v>
      </c>
      <c r="L604" s="1">
        <v>370</v>
      </c>
      <c r="M604">
        <f t="shared" si="24"/>
        <v>0</v>
      </c>
      <c r="N604" s="1">
        <v>0.40100000000000002</v>
      </c>
      <c r="O604" s="1">
        <v>60</v>
      </c>
      <c r="P604" s="24">
        <v>0.25850000000000001</v>
      </c>
      <c r="Q604" s="31">
        <f>C604-N604</f>
        <v>0</v>
      </c>
      <c r="R604" s="41">
        <f>D604-O604</f>
        <v>0</v>
      </c>
      <c r="S604" s="41">
        <f>E604-P604</f>
        <v>0</v>
      </c>
    </row>
    <row r="605" spans="1:19" x14ac:dyDescent="0.15">
      <c r="A605" s="1">
        <v>6</v>
      </c>
      <c r="B605" s="1">
        <v>12</v>
      </c>
      <c r="C605" s="10">
        <v>0.40100000000000002</v>
      </c>
      <c r="D605" s="5">
        <v>60</v>
      </c>
      <c r="E605" s="10">
        <v>0.26350000000000001</v>
      </c>
      <c r="F605" s="5">
        <v>5170</v>
      </c>
      <c r="G605" s="5">
        <v>410</v>
      </c>
      <c r="I605" s="40">
        <f t="shared" si="22"/>
        <v>5170</v>
      </c>
      <c r="J605" s="40">
        <f t="shared" si="23"/>
        <v>410</v>
      </c>
      <c r="K605" s="1">
        <v>5170</v>
      </c>
      <c r="L605" s="1">
        <v>410</v>
      </c>
      <c r="M605">
        <f t="shared" si="24"/>
        <v>0</v>
      </c>
      <c r="N605" s="1">
        <v>0.40100000000000002</v>
      </c>
      <c r="O605" s="1">
        <v>60</v>
      </c>
      <c r="P605" s="24">
        <v>0.26350000000000001</v>
      </c>
      <c r="Q605" s="31">
        <f>C605-N605</f>
        <v>0</v>
      </c>
      <c r="R605" s="41">
        <f>D605-O605</f>
        <v>0</v>
      </c>
      <c r="S605" s="41">
        <f>E605-P605</f>
        <v>0</v>
      </c>
    </row>
    <row r="606" spans="1:19" x14ac:dyDescent="0.15">
      <c r="A606" s="1">
        <v>6</v>
      </c>
      <c r="B606" s="1">
        <v>12</v>
      </c>
      <c r="C606" s="10">
        <v>0.40100000000000002</v>
      </c>
      <c r="D606" s="5">
        <v>60</v>
      </c>
      <c r="E606" s="10">
        <v>0.26850000000000002</v>
      </c>
      <c r="F606" s="5">
        <v>5110</v>
      </c>
      <c r="G606" s="5">
        <v>440</v>
      </c>
      <c r="I606" s="40">
        <f t="shared" si="22"/>
        <v>5110</v>
      </c>
      <c r="J606" s="40">
        <f t="shared" si="23"/>
        <v>440</v>
      </c>
      <c r="K606" s="1">
        <v>5110</v>
      </c>
      <c r="L606" s="1">
        <v>440</v>
      </c>
      <c r="M606">
        <f t="shared" si="24"/>
        <v>0</v>
      </c>
      <c r="N606" s="1">
        <v>0.40100000000000002</v>
      </c>
      <c r="O606" s="1">
        <v>60</v>
      </c>
      <c r="P606" s="24">
        <v>0.26850000000000002</v>
      </c>
      <c r="Q606" s="31">
        <f>C606-N606</f>
        <v>0</v>
      </c>
      <c r="R606" s="41">
        <f>D606-O606</f>
        <v>0</v>
      </c>
      <c r="S606" s="41">
        <f>E606-P606</f>
        <v>0</v>
      </c>
    </row>
    <row r="607" spans="1:19" x14ac:dyDescent="0.15">
      <c r="A607" s="12">
        <v>6</v>
      </c>
      <c r="B607" s="12">
        <v>12</v>
      </c>
      <c r="C607" s="13">
        <v>0.3609</v>
      </c>
      <c r="D607" s="14">
        <v>60</v>
      </c>
      <c r="E607" s="13">
        <v>3.3999999999999998E-3</v>
      </c>
      <c r="F607" s="14">
        <v>200</v>
      </c>
      <c r="G607" s="14">
        <v>80</v>
      </c>
      <c r="I607" s="40">
        <f t="shared" si="22"/>
        <v>200</v>
      </c>
      <c r="J607" s="40">
        <f t="shared" si="23"/>
        <v>80</v>
      </c>
      <c r="K607" s="12">
        <v>200</v>
      </c>
      <c r="L607" s="12">
        <v>80</v>
      </c>
      <c r="M607">
        <f t="shared" si="24"/>
        <v>0</v>
      </c>
      <c r="N607" s="12">
        <v>0.36099999999999999</v>
      </c>
      <c r="O607" s="12">
        <v>60</v>
      </c>
      <c r="P607" s="24">
        <v>3.3999999999999998E-3</v>
      </c>
      <c r="Q607" s="31">
        <f>C607-N607</f>
        <v>-9.9999999999988987E-5</v>
      </c>
      <c r="R607" s="41">
        <f>D607-O607</f>
        <v>0</v>
      </c>
      <c r="S607" s="41">
        <f>E607-P607</f>
        <v>0</v>
      </c>
    </row>
    <row r="608" spans="1:19" x14ac:dyDescent="0.15">
      <c r="A608" s="1">
        <v>6</v>
      </c>
      <c r="B608" s="1">
        <v>12</v>
      </c>
      <c r="C608" s="10">
        <v>0.3609</v>
      </c>
      <c r="D608" s="5">
        <v>60</v>
      </c>
      <c r="E608" s="10">
        <v>8.4000000000000012E-3</v>
      </c>
      <c r="F608" s="5">
        <v>8010</v>
      </c>
      <c r="G608" s="5">
        <v>270</v>
      </c>
      <c r="I608" s="40">
        <f t="shared" si="22"/>
        <v>8010</v>
      </c>
      <c r="J608" s="40">
        <f t="shared" si="23"/>
        <v>270</v>
      </c>
      <c r="K608" s="1">
        <v>8010</v>
      </c>
      <c r="L608" s="1">
        <v>270</v>
      </c>
      <c r="M608">
        <f t="shared" si="24"/>
        <v>0</v>
      </c>
      <c r="N608" s="1">
        <v>0.36099999999999999</v>
      </c>
      <c r="O608" s="1">
        <v>60</v>
      </c>
      <c r="P608" s="24">
        <v>8.3999999999999995E-3</v>
      </c>
      <c r="Q608" s="31">
        <f>C608-N608</f>
        <v>-9.9999999999988987E-5</v>
      </c>
      <c r="R608" s="41">
        <f>D608-O608</f>
        <v>0</v>
      </c>
      <c r="S608" s="41">
        <f>E608-P608</f>
        <v>0</v>
      </c>
    </row>
    <row r="609" spans="1:23" x14ac:dyDescent="0.15">
      <c r="A609" s="1">
        <v>6</v>
      </c>
      <c r="B609" s="1">
        <v>12</v>
      </c>
      <c r="C609" s="10">
        <v>0.3609</v>
      </c>
      <c r="D609" s="5">
        <v>60</v>
      </c>
      <c r="E609" s="10">
        <v>1.34E-2</v>
      </c>
      <c r="F609" s="5">
        <v>8530</v>
      </c>
      <c r="G609" s="5">
        <v>210</v>
      </c>
      <c r="I609" s="40">
        <f t="shared" si="22"/>
        <v>8530</v>
      </c>
      <c r="J609" s="40">
        <f t="shared" si="23"/>
        <v>210</v>
      </c>
      <c r="K609" s="1">
        <v>8530</v>
      </c>
      <c r="L609" s="1">
        <v>210</v>
      </c>
      <c r="M609">
        <f t="shared" si="24"/>
        <v>0</v>
      </c>
      <c r="N609" s="1">
        <v>0.36099999999999999</v>
      </c>
      <c r="O609" s="1">
        <v>60</v>
      </c>
      <c r="P609" s="24">
        <v>1.34E-2</v>
      </c>
      <c r="Q609" s="31">
        <f>C609-N609</f>
        <v>-9.9999999999988987E-5</v>
      </c>
      <c r="R609" s="41">
        <f>D609-O609</f>
        <v>0</v>
      </c>
      <c r="S609" s="41">
        <f>E609-P609</f>
        <v>0</v>
      </c>
    </row>
    <row r="610" spans="1:23" x14ac:dyDescent="0.15">
      <c r="A610" s="1">
        <v>6</v>
      </c>
      <c r="B610" s="1">
        <v>12</v>
      </c>
      <c r="C610" s="10">
        <v>0.3609</v>
      </c>
      <c r="D610" s="5">
        <v>60</v>
      </c>
      <c r="E610" s="10">
        <v>1.84E-2</v>
      </c>
      <c r="F610" s="5">
        <v>8810</v>
      </c>
      <c r="G610" s="5">
        <v>160</v>
      </c>
      <c r="I610" s="40">
        <f t="shared" si="22"/>
        <v>8810</v>
      </c>
      <c r="J610" s="40">
        <f t="shared" si="23"/>
        <v>160</v>
      </c>
      <c r="K610" s="1">
        <v>8810</v>
      </c>
      <c r="L610" s="1">
        <v>160</v>
      </c>
      <c r="M610">
        <f t="shared" si="24"/>
        <v>0</v>
      </c>
      <c r="N610" s="1">
        <v>0.36099999999999999</v>
      </c>
      <c r="O610" s="1">
        <v>60</v>
      </c>
      <c r="P610" s="24">
        <v>1.84E-2</v>
      </c>
      <c r="Q610" s="31">
        <f>C610-N610</f>
        <v>-9.9999999999988987E-5</v>
      </c>
      <c r="R610" s="41">
        <f>D610-O610</f>
        <v>0</v>
      </c>
      <c r="S610" s="41">
        <f>E610-P610</f>
        <v>0</v>
      </c>
    </row>
    <row r="611" spans="1:23" x14ac:dyDescent="0.15">
      <c r="A611" s="1">
        <v>6</v>
      </c>
      <c r="B611" s="1">
        <v>12</v>
      </c>
      <c r="C611" s="10">
        <v>0.3609</v>
      </c>
      <c r="D611" s="5">
        <v>60</v>
      </c>
      <c r="E611" s="10">
        <v>2.3399999999999997E-2</v>
      </c>
      <c r="F611" s="5">
        <v>9200</v>
      </c>
      <c r="G611" s="5">
        <v>190</v>
      </c>
      <c r="I611" s="40">
        <f t="shared" si="22"/>
        <v>9200</v>
      </c>
      <c r="J611" s="40">
        <f t="shared" si="23"/>
        <v>190</v>
      </c>
      <c r="K611" s="1">
        <v>9200</v>
      </c>
      <c r="L611" s="1">
        <v>190</v>
      </c>
      <c r="M611">
        <f t="shared" si="24"/>
        <v>0</v>
      </c>
      <c r="N611" s="1">
        <v>0.36099999999999999</v>
      </c>
      <c r="O611" s="1">
        <v>60</v>
      </c>
      <c r="P611" s="24">
        <v>2.3400000000000001E-2</v>
      </c>
      <c r="Q611" s="31">
        <f>C611-N611</f>
        <v>-9.9999999999988987E-5</v>
      </c>
      <c r="R611" s="41">
        <f>D611-O611</f>
        <v>0</v>
      </c>
      <c r="S611" s="41">
        <f>E611-P611</f>
        <v>0</v>
      </c>
    </row>
    <row r="612" spans="1:23" x14ac:dyDescent="0.15">
      <c r="A612" s="1">
        <v>6</v>
      </c>
      <c r="B612" s="1">
        <v>12</v>
      </c>
      <c r="C612" s="10">
        <v>0.3609</v>
      </c>
      <c r="D612" s="5">
        <v>60</v>
      </c>
      <c r="E612" s="10">
        <v>2.8399999999999998E-2</v>
      </c>
      <c r="F612" s="5">
        <v>9240</v>
      </c>
      <c r="G612" s="5">
        <v>170</v>
      </c>
      <c r="I612" s="40">
        <f t="shared" si="22"/>
        <v>9240</v>
      </c>
      <c r="J612" s="40">
        <f t="shared" si="23"/>
        <v>170</v>
      </c>
      <c r="K612" s="1">
        <v>9240</v>
      </c>
      <c r="L612" s="1">
        <v>170</v>
      </c>
      <c r="M612">
        <f t="shared" si="24"/>
        <v>0</v>
      </c>
      <c r="N612" s="1">
        <v>0.36099999999999999</v>
      </c>
      <c r="O612" s="1">
        <v>60</v>
      </c>
      <c r="P612" s="24">
        <v>2.8400000000000002E-2</v>
      </c>
      <c r="Q612" s="31">
        <f>C612-N612</f>
        <v>-9.9999999999988987E-5</v>
      </c>
      <c r="R612" s="41">
        <f>D612-O612</f>
        <v>0</v>
      </c>
      <c r="S612" s="41">
        <f>E612-P612</f>
        <v>0</v>
      </c>
    </row>
    <row r="613" spans="1:23" x14ac:dyDescent="0.15">
      <c r="A613" s="1">
        <v>6</v>
      </c>
      <c r="B613" s="1">
        <v>12</v>
      </c>
      <c r="C613" s="10">
        <v>0.3609</v>
      </c>
      <c r="D613" s="5">
        <v>60</v>
      </c>
      <c r="E613" s="10">
        <v>3.3399999999999999E-2</v>
      </c>
      <c r="F613" s="5">
        <v>10600</v>
      </c>
      <c r="G613" s="5">
        <v>190</v>
      </c>
      <c r="I613" s="40">
        <f t="shared" si="22"/>
        <v>10600</v>
      </c>
      <c r="J613" s="40">
        <f t="shared" si="23"/>
        <v>190</v>
      </c>
      <c r="K613" s="1">
        <v>10600</v>
      </c>
      <c r="L613" s="1">
        <v>190</v>
      </c>
      <c r="M613">
        <f t="shared" si="24"/>
        <v>0</v>
      </c>
      <c r="N613" s="1">
        <v>0.36099999999999999</v>
      </c>
      <c r="O613" s="1">
        <v>60</v>
      </c>
      <c r="P613" s="24">
        <v>3.3399999999999999E-2</v>
      </c>
      <c r="Q613" s="31">
        <f>C613-N613</f>
        <v>-9.9999999999988987E-5</v>
      </c>
      <c r="R613" s="41">
        <f>D613-O613</f>
        <v>0</v>
      </c>
      <c r="S613" s="41">
        <f>E613-P613</f>
        <v>0</v>
      </c>
    </row>
    <row r="614" spans="1:23" x14ac:dyDescent="0.15">
      <c r="A614" s="1">
        <v>6</v>
      </c>
      <c r="B614" s="1">
        <v>12</v>
      </c>
      <c r="C614" s="10">
        <v>0.3609</v>
      </c>
      <c r="D614" s="5">
        <v>60</v>
      </c>
      <c r="E614" s="10">
        <v>3.8399999999999997E-2</v>
      </c>
      <c r="F614" s="5">
        <v>11880</v>
      </c>
      <c r="G614" s="5">
        <v>210</v>
      </c>
      <c r="I614" s="40">
        <f t="shared" si="22"/>
        <v>11880</v>
      </c>
      <c r="J614" s="40">
        <f t="shared" si="23"/>
        <v>210</v>
      </c>
      <c r="K614" s="1">
        <v>11880</v>
      </c>
      <c r="L614" s="1">
        <v>210</v>
      </c>
      <c r="M614">
        <f t="shared" si="24"/>
        <v>0</v>
      </c>
      <c r="N614" s="1">
        <v>0.36099999999999999</v>
      </c>
      <c r="O614" s="1">
        <v>60</v>
      </c>
      <c r="P614" s="24">
        <v>3.8399999999999997E-2</v>
      </c>
      <c r="Q614" s="31">
        <f>C614-N614</f>
        <v>-9.9999999999988987E-5</v>
      </c>
      <c r="R614" s="41">
        <f>D614-O614</f>
        <v>0</v>
      </c>
      <c r="S614" s="41">
        <f>E614-P614</f>
        <v>0</v>
      </c>
    </row>
    <row r="615" spans="1:23" x14ac:dyDescent="0.15">
      <c r="A615" s="1">
        <v>6</v>
      </c>
      <c r="B615" s="1">
        <v>12</v>
      </c>
      <c r="C615" s="10">
        <v>0.3609</v>
      </c>
      <c r="D615" s="5">
        <v>60</v>
      </c>
      <c r="E615" s="10">
        <v>4.3400000000000001E-2</v>
      </c>
      <c r="F615" s="5">
        <v>13230</v>
      </c>
      <c r="G615" s="5">
        <v>230</v>
      </c>
      <c r="I615" s="40">
        <f t="shared" si="22"/>
        <v>13230</v>
      </c>
      <c r="J615" s="40">
        <f t="shared" si="23"/>
        <v>230</v>
      </c>
      <c r="K615" s="1">
        <v>13230</v>
      </c>
      <c r="L615" s="1">
        <v>230</v>
      </c>
      <c r="M615">
        <f t="shared" si="24"/>
        <v>0</v>
      </c>
      <c r="N615" s="1">
        <v>0.36099999999999999</v>
      </c>
      <c r="O615" s="1">
        <v>60</v>
      </c>
      <c r="P615" s="24">
        <v>4.3400000000000001E-2</v>
      </c>
      <c r="Q615" s="31">
        <f>C615-N615</f>
        <v>-9.9999999999988987E-5</v>
      </c>
      <c r="R615" s="41">
        <f>D615-O615</f>
        <v>0</v>
      </c>
      <c r="S615" s="41">
        <f>E615-P615</f>
        <v>0</v>
      </c>
    </row>
    <row r="616" spans="1:23" x14ac:dyDescent="0.15">
      <c r="A616" s="1">
        <v>6</v>
      </c>
      <c r="B616" s="1">
        <v>12</v>
      </c>
      <c r="C616" s="10">
        <v>0.3609</v>
      </c>
      <c r="D616" s="5">
        <v>60</v>
      </c>
      <c r="E616" s="10">
        <v>4.8399999999999999E-2</v>
      </c>
      <c r="F616" s="5">
        <v>14690</v>
      </c>
      <c r="G616" s="5">
        <v>260</v>
      </c>
      <c r="I616" s="40">
        <f t="shared" si="22"/>
        <v>14690</v>
      </c>
      <c r="J616" s="40">
        <f t="shared" si="23"/>
        <v>260</v>
      </c>
      <c r="K616" s="1">
        <v>14690</v>
      </c>
      <c r="L616" s="1">
        <v>260</v>
      </c>
      <c r="M616">
        <f t="shared" si="24"/>
        <v>0</v>
      </c>
      <c r="N616" s="1">
        <v>0.36099999999999999</v>
      </c>
      <c r="O616" s="1">
        <v>60</v>
      </c>
      <c r="P616" s="24">
        <v>4.8399999999999999E-2</v>
      </c>
      <c r="Q616" s="31">
        <f>C616-N616</f>
        <v>-9.9999999999988987E-5</v>
      </c>
      <c r="R616" s="41">
        <f>D616-O616</f>
        <v>0</v>
      </c>
      <c r="S616" s="41">
        <f>E616-P616</f>
        <v>0</v>
      </c>
    </row>
    <row r="617" spans="1:23" s="15" customFormat="1" ht="12" customHeight="1" x14ac:dyDescent="0.15">
      <c r="A617" s="1">
        <v>6</v>
      </c>
      <c r="B617" s="1">
        <v>12</v>
      </c>
      <c r="C617" s="10">
        <v>0.3609</v>
      </c>
      <c r="D617" s="5">
        <v>60</v>
      </c>
      <c r="E617" s="10">
        <v>5.3399999999999996E-2</v>
      </c>
      <c r="F617" s="5">
        <v>16020</v>
      </c>
      <c r="G617" s="5">
        <v>280</v>
      </c>
      <c r="H617" s="12"/>
      <c r="I617" s="40">
        <f t="shared" si="22"/>
        <v>16020</v>
      </c>
      <c r="J617" s="40">
        <f t="shared" si="23"/>
        <v>280</v>
      </c>
      <c r="K617" s="1">
        <v>16020</v>
      </c>
      <c r="L617" s="1">
        <v>280</v>
      </c>
      <c r="M617">
        <f t="shared" si="24"/>
        <v>0</v>
      </c>
      <c r="N617" s="1">
        <v>0.36099999999999999</v>
      </c>
      <c r="O617" s="1">
        <v>60</v>
      </c>
      <c r="P617" s="24">
        <v>5.3400000000000003E-2</v>
      </c>
      <c r="Q617" s="31">
        <f>C617-N617</f>
        <v>-9.9999999999988987E-5</v>
      </c>
      <c r="R617" s="41">
        <f>D617-O617</f>
        <v>0</v>
      </c>
      <c r="S617" s="41">
        <f>E617-P617</f>
        <v>0</v>
      </c>
      <c r="U617" s="12"/>
      <c r="V617" s="12"/>
      <c r="W617" s="12"/>
    </row>
    <row r="618" spans="1:23" x14ac:dyDescent="0.15">
      <c r="A618" s="1">
        <v>6</v>
      </c>
      <c r="B618" s="1">
        <v>12</v>
      </c>
      <c r="C618" s="10">
        <v>0.3609</v>
      </c>
      <c r="D618" s="5">
        <v>60</v>
      </c>
      <c r="E618" s="10">
        <v>5.8400000000000001E-2</v>
      </c>
      <c r="F618" s="5">
        <v>17330</v>
      </c>
      <c r="G618" s="5">
        <v>300</v>
      </c>
      <c r="I618" s="40">
        <f t="shared" si="22"/>
        <v>17330</v>
      </c>
      <c r="J618" s="40">
        <f t="shared" si="23"/>
        <v>300</v>
      </c>
      <c r="K618" s="1">
        <v>17330</v>
      </c>
      <c r="L618" s="1">
        <v>300</v>
      </c>
      <c r="M618">
        <f t="shared" si="24"/>
        <v>0</v>
      </c>
      <c r="N618" s="1">
        <v>0.36099999999999999</v>
      </c>
      <c r="O618" s="1">
        <v>60</v>
      </c>
      <c r="P618" s="24">
        <v>5.8400000000000001E-2</v>
      </c>
      <c r="Q618" s="31">
        <f>C618-N618</f>
        <v>-9.9999999999988987E-5</v>
      </c>
      <c r="R618" s="41">
        <f>D618-O618</f>
        <v>0</v>
      </c>
      <c r="S618" s="41">
        <f>E618-P618</f>
        <v>0</v>
      </c>
    </row>
    <row r="619" spans="1:23" x14ac:dyDescent="0.15">
      <c r="A619" s="1">
        <v>6</v>
      </c>
      <c r="B619" s="1">
        <v>12</v>
      </c>
      <c r="C619" s="10">
        <v>0.3609</v>
      </c>
      <c r="D619" s="5">
        <v>60</v>
      </c>
      <c r="E619" s="10">
        <v>6.3399999999999998E-2</v>
      </c>
      <c r="F619" s="5">
        <v>18280</v>
      </c>
      <c r="G619" s="5">
        <v>320</v>
      </c>
      <c r="I619" s="40">
        <f t="shared" si="22"/>
        <v>18280</v>
      </c>
      <c r="J619" s="40">
        <f t="shared" si="23"/>
        <v>320</v>
      </c>
      <c r="K619" s="1">
        <v>18280</v>
      </c>
      <c r="L619" s="1">
        <v>320</v>
      </c>
      <c r="M619">
        <f t="shared" si="24"/>
        <v>0</v>
      </c>
      <c r="N619" s="1">
        <v>0.36099999999999999</v>
      </c>
      <c r="O619" s="1">
        <v>60</v>
      </c>
      <c r="P619" s="24">
        <v>6.3399999999999998E-2</v>
      </c>
      <c r="Q619" s="31">
        <f>C619-N619</f>
        <v>-9.9999999999988987E-5</v>
      </c>
      <c r="R619" s="41">
        <f>D619-O619</f>
        <v>0</v>
      </c>
      <c r="S619" s="41">
        <f>E619-P619</f>
        <v>0</v>
      </c>
    </row>
    <row r="620" spans="1:23" x14ac:dyDescent="0.15">
      <c r="A620" s="1">
        <v>6</v>
      </c>
      <c r="B620" s="1">
        <v>12</v>
      </c>
      <c r="C620" s="10">
        <v>0.3609</v>
      </c>
      <c r="D620" s="5">
        <v>60</v>
      </c>
      <c r="E620" s="10">
        <v>6.8400000000000002E-2</v>
      </c>
      <c r="F620" s="5">
        <v>19050</v>
      </c>
      <c r="G620" s="5">
        <v>330</v>
      </c>
      <c r="I620" s="40">
        <f t="shared" si="22"/>
        <v>19050</v>
      </c>
      <c r="J620" s="40">
        <f t="shared" si="23"/>
        <v>330</v>
      </c>
      <c r="K620" s="1">
        <v>19050</v>
      </c>
      <c r="L620" s="1">
        <v>330</v>
      </c>
      <c r="M620">
        <f t="shared" si="24"/>
        <v>0</v>
      </c>
      <c r="N620" s="1">
        <v>0.36099999999999999</v>
      </c>
      <c r="O620" s="1">
        <v>60</v>
      </c>
      <c r="P620" s="24">
        <v>6.8400000000000002E-2</v>
      </c>
      <c r="Q620" s="31">
        <f>C620-N620</f>
        <v>-9.9999999999988987E-5</v>
      </c>
      <c r="R620" s="41">
        <f>D620-O620</f>
        <v>0</v>
      </c>
      <c r="S620" s="41">
        <f>E620-P620</f>
        <v>0</v>
      </c>
    </row>
    <row r="621" spans="1:23" x14ac:dyDescent="0.15">
      <c r="A621" s="1">
        <v>6</v>
      </c>
      <c r="B621" s="1">
        <v>12</v>
      </c>
      <c r="C621" s="10">
        <v>0.3609</v>
      </c>
      <c r="D621" s="5">
        <v>60</v>
      </c>
      <c r="E621" s="10">
        <v>7.3400000000000007E-2</v>
      </c>
      <c r="F621" s="5">
        <v>19330</v>
      </c>
      <c r="G621" s="5">
        <v>350</v>
      </c>
      <c r="I621" s="40">
        <f t="shared" si="22"/>
        <v>19330</v>
      </c>
      <c r="J621" s="40">
        <f t="shared" si="23"/>
        <v>350</v>
      </c>
      <c r="K621" s="1">
        <v>19330</v>
      </c>
      <c r="L621" s="1">
        <v>350</v>
      </c>
      <c r="M621">
        <f t="shared" si="24"/>
        <v>0</v>
      </c>
      <c r="N621" s="1">
        <v>0.36099999999999999</v>
      </c>
      <c r="O621" s="1">
        <v>60</v>
      </c>
      <c r="P621" s="24">
        <v>7.3400000000000007E-2</v>
      </c>
      <c r="Q621" s="31">
        <f>C621-N621</f>
        <v>-9.9999999999988987E-5</v>
      </c>
      <c r="R621" s="41">
        <f>D621-O621</f>
        <v>0</v>
      </c>
      <c r="S621" s="41">
        <f>E621-P621</f>
        <v>0</v>
      </c>
    </row>
    <row r="622" spans="1:23" x14ac:dyDescent="0.15">
      <c r="A622" s="1">
        <v>6</v>
      </c>
      <c r="B622" s="1">
        <v>12</v>
      </c>
      <c r="C622" s="10">
        <v>0.3609</v>
      </c>
      <c r="D622" s="5">
        <v>60</v>
      </c>
      <c r="E622" s="10">
        <v>7.8400000000000011E-2</v>
      </c>
      <c r="F622" s="5">
        <v>19400</v>
      </c>
      <c r="G622" s="5">
        <v>360</v>
      </c>
      <c r="I622" s="40">
        <f t="shared" si="22"/>
        <v>19400</v>
      </c>
      <c r="J622" s="40">
        <f t="shared" si="23"/>
        <v>360</v>
      </c>
      <c r="K622" s="1">
        <v>19400</v>
      </c>
      <c r="L622" s="1">
        <v>360</v>
      </c>
      <c r="M622">
        <f t="shared" si="24"/>
        <v>0</v>
      </c>
      <c r="N622" s="1">
        <v>0.36099999999999999</v>
      </c>
      <c r="O622" s="1">
        <v>60</v>
      </c>
      <c r="P622" s="24">
        <v>7.8399999999999997E-2</v>
      </c>
      <c r="Q622" s="31">
        <f>C622-N622</f>
        <v>-9.9999999999988987E-5</v>
      </c>
      <c r="R622" s="41">
        <f>D622-O622</f>
        <v>0</v>
      </c>
      <c r="S622" s="41">
        <f>E622-P622</f>
        <v>0</v>
      </c>
    </row>
    <row r="623" spans="1:23" x14ac:dyDescent="0.15">
      <c r="A623" s="1">
        <v>6</v>
      </c>
      <c r="B623" s="1">
        <v>12</v>
      </c>
      <c r="C623" s="10">
        <v>0.3609</v>
      </c>
      <c r="D623" s="5">
        <v>60</v>
      </c>
      <c r="E623" s="10">
        <v>8.3400000000000002E-2</v>
      </c>
      <c r="F623" s="5">
        <v>18910</v>
      </c>
      <c r="G623" s="5">
        <v>360</v>
      </c>
      <c r="I623" s="40">
        <f t="shared" si="22"/>
        <v>18910</v>
      </c>
      <c r="J623" s="40">
        <f t="shared" si="23"/>
        <v>360</v>
      </c>
      <c r="K623" s="1">
        <v>18910</v>
      </c>
      <c r="L623" s="1">
        <v>360</v>
      </c>
      <c r="M623">
        <f t="shared" si="24"/>
        <v>0</v>
      </c>
      <c r="N623" s="1">
        <v>0.36099999999999999</v>
      </c>
      <c r="O623" s="1">
        <v>60</v>
      </c>
      <c r="P623" s="24">
        <v>8.3400000000000002E-2</v>
      </c>
      <c r="Q623" s="31">
        <f>C623-N623</f>
        <v>-9.9999999999988987E-5</v>
      </c>
      <c r="R623" s="41">
        <f>D623-O623</f>
        <v>0</v>
      </c>
      <c r="S623" s="41">
        <f>E623-P623</f>
        <v>0</v>
      </c>
    </row>
    <row r="624" spans="1:23" x14ac:dyDescent="0.15">
      <c r="A624" s="1">
        <v>6</v>
      </c>
      <c r="B624" s="1">
        <v>12</v>
      </c>
      <c r="C624" s="10">
        <v>0.3609</v>
      </c>
      <c r="D624" s="5">
        <v>60</v>
      </c>
      <c r="E624" s="10">
        <v>8.8400000000000006E-2</v>
      </c>
      <c r="F624" s="5">
        <v>17980</v>
      </c>
      <c r="G624" s="5">
        <v>350</v>
      </c>
      <c r="I624" s="40">
        <f t="shared" si="22"/>
        <v>17980</v>
      </c>
      <c r="J624" s="40">
        <f t="shared" si="23"/>
        <v>350</v>
      </c>
      <c r="K624" s="1">
        <v>17980</v>
      </c>
      <c r="L624" s="1">
        <v>350</v>
      </c>
      <c r="M624">
        <f t="shared" si="24"/>
        <v>0</v>
      </c>
      <c r="N624" s="1">
        <v>0.36099999999999999</v>
      </c>
      <c r="O624" s="1">
        <v>60</v>
      </c>
      <c r="P624" s="24">
        <v>8.8400000000000006E-2</v>
      </c>
      <c r="Q624" s="31">
        <f>C624-N624</f>
        <v>-9.9999999999988987E-5</v>
      </c>
      <c r="R624" s="41">
        <f>D624-O624</f>
        <v>0</v>
      </c>
      <c r="S624" s="41">
        <f>E624-P624</f>
        <v>0</v>
      </c>
    </row>
    <row r="625" spans="1:19" x14ac:dyDescent="0.15">
      <c r="A625" s="1">
        <v>6</v>
      </c>
      <c r="B625" s="1">
        <v>12</v>
      </c>
      <c r="C625" s="10">
        <v>0.3609</v>
      </c>
      <c r="D625" s="5">
        <v>60</v>
      </c>
      <c r="E625" s="10">
        <v>9.3400000000000011E-2</v>
      </c>
      <c r="F625" s="5">
        <v>17180</v>
      </c>
      <c r="G625" s="5">
        <v>340</v>
      </c>
      <c r="I625" s="40">
        <f t="shared" si="22"/>
        <v>17180</v>
      </c>
      <c r="J625" s="40">
        <f t="shared" si="23"/>
        <v>340</v>
      </c>
      <c r="K625" s="1">
        <v>17180</v>
      </c>
      <c r="L625" s="1">
        <v>340</v>
      </c>
      <c r="M625">
        <f t="shared" si="24"/>
        <v>0</v>
      </c>
      <c r="N625" s="1">
        <v>0.36099999999999999</v>
      </c>
      <c r="O625" s="1">
        <v>60</v>
      </c>
      <c r="P625" s="24">
        <v>9.3399999999999997E-2</v>
      </c>
      <c r="Q625" s="31">
        <f>C625-N625</f>
        <v>-9.9999999999988987E-5</v>
      </c>
      <c r="R625" s="41">
        <f>D625-O625</f>
        <v>0</v>
      </c>
      <c r="S625" s="41">
        <f>E625-P625</f>
        <v>0</v>
      </c>
    </row>
    <row r="626" spans="1:19" x14ac:dyDescent="0.15">
      <c r="A626" s="1">
        <v>6</v>
      </c>
      <c r="B626" s="1">
        <v>12</v>
      </c>
      <c r="C626" s="10">
        <v>0.3609</v>
      </c>
      <c r="D626" s="5">
        <v>60</v>
      </c>
      <c r="E626" s="10">
        <v>9.8400000000000001E-2</v>
      </c>
      <c r="F626" s="5">
        <v>15760</v>
      </c>
      <c r="G626" s="5">
        <v>330</v>
      </c>
      <c r="I626" s="40">
        <f t="shared" si="22"/>
        <v>15760</v>
      </c>
      <c r="J626" s="40">
        <f t="shared" si="23"/>
        <v>330</v>
      </c>
      <c r="K626" s="1">
        <v>15760</v>
      </c>
      <c r="L626" s="1">
        <v>330</v>
      </c>
      <c r="M626">
        <f t="shared" si="24"/>
        <v>0</v>
      </c>
      <c r="N626" s="1">
        <v>0.36099999999999999</v>
      </c>
      <c r="O626" s="1">
        <v>60</v>
      </c>
      <c r="P626" s="24">
        <v>9.8400000000000001E-2</v>
      </c>
      <c r="Q626" s="31">
        <f>C626-N626</f>
        <v>-9.9999999999988987E-5</v>
      </c>
      <c r="R626" s="41">
        <f>D626-O626</f>
        <v>0</v>
      </c>
      <c r="S626" s="41">
        <f>E626-P626</f>
        <v>0</v>
      </c>
    </row>
    <row r="627" spans="1:19" x14ac:dyDescent="0.15">
      <c r="A627" s="1">
        <v>6</v>
      </c>
      <c r="B627" s="1">
        <v>12</v>
      </c>
      <c r="C627" s="10">
        <v>0.3609</v>
      </c>
      <c r="D627" s="5">
        <v>60</v>
      </c>
      <c r="E627" s="10">
        <v>0.10340000000000001</v>
      </c>
      <c r="F627" s="5">
        <v>14450</v>
      </c>
      <c r="G627" s="5">
        <v>320</v>
      </c>
      <c r="I627" s="40">
        <f t="shared" si="22"/>
        <v>14450</v>
      </c>
      <c r="J627" s="40">
        <f t="shared" si="23"/>
        <v>320</v>
      </c>
      <c r="K627" s="1">
        <v>14450</v>
      </c>
      <c r="L627" s="1">
        <v>320</v>
      </c>
      <c r="M627">
        <f t="shared" si="24"/>
        <v>0</v>
      </c>
      <c r="N627" s="1">
        <v>0.36099999999999999</v>
      </c>
      <c r="O627" s="1">
        <v>60</v>
      </c>
      <c r="P627" s="24">
        <v>0.10340000000000001</v>
      </c>
      <c r="Q627" s="31">
        <f>C627-N627</f>
        <v>-9.9999999999988987E-5</v>
      </c>
      <c r="R627" s="41">
        <f>D627-O627</f>
        <v>0</v>
      </c>
      <c r="S627" s="41">
        <f>E627-P627</f>
        <v>0</v>
      </c>
    </row>
    <row r="628" spans="1:19" x14ac:dyDescent="0.15">
      <c r="A628" s="1">
        <v>6</v>
      </c>
      <c r="B628" s="1">
        <v>12</v>
      </c>
      <c r="C628" s="10">
        <v>0.3609</v>
      </c>
      <c r="D628" s="5">
        <v>60</v>
      </c>
      <c r="E628" s="10">
        <v>0.10840000000000001</v>
      </c>
      <c r="F628" s="5">
        <v>12910</v>
      </c>
      <c r="G628" s="5">
        <v>300</v>
      </c>
      <c r="I628" s="40">
        <f t="shared" si="22"/>
        <v>12910</v>
      </c>
      <c r="J628" s="40">
        <f t="shared" si="23"/>
        <v>300</v>
      </c>
      <c r="K628" s="1">
        <v>12910</v>
      </c>
      <c r="L628" s="1">
        <v>300</v>
      </c>
      <c r="M628">
        <f t="shared" si="24"/>
        <v>0</v>
      </c>
      <c r="N628" s="1">
        <v>0.36099999999999999</v>
      </c>
      <c r="O628" s="1">
        <v>60</v>
      </c>
      <c r="P628" s="24">
        <v>0.1084</v>
      </c>
      <c r="Q628" s="31">
        <f>C628-N628</f>
        <v>-9.9999999999988987E-5</v>
      </c>
      <c r="R628" s="41">
        <f>D628-O628</f>
        <v>0</v>
      </c>
      <c r="S628" s="41">
        <f>E628-P628</f>
        <v>0</v>
      </c>
    </row>
    <row r="629" spans="1:19" x14ac:dyDescent="0.15">
      <c r="A629" s="1">
        <v>6</v>
      </c>
      <c r="B629" s="1">
        <v>12</v>
      </c>
      <c r="C629" s="10">
        <v>0.3609</v>
      </c>
      <c r="D629" s="5">
        <v>60</v>
      </c>
      <c r="E629" s="10">
        <v>0.1134</v>
      </c>
      <c r="F629" s="5">
        <v>11670</v>
      </c>
      <c r="G629" s="5">
        <v>290</v>
      </c>
      <c r="I629" s="40">
        <f t="shared" si="22"/>
        <v>11670</v>
      </c>
      <c r="J629" s="40">
        <f t="shared" si="23"/>
        <v>290</v>
      </c>
      <c r="K629" s="1">
        <v>11670</v>
      </c>
      <c r="L629" s="1">
        <v>290</v>
      </c>
      <c r="M629">
        <f t="shared" si="24"/>
        <v>0</v>
      </c>
      <c r="N629" s="1">
        <v>0.36099999999999999</v>
      </c>
      <c r="O629" s="1">
        <v>60</v>
      </c>
      <c r="P629" s="24">
        <v>0.1134</v>
      </c>
      <c r="Q629" s="31">
        <f>C629-N629</f>
        <v>-9.9999999999988987E-5</v>
      </c>
      <c r="R629" s="41">
        <f>D629-O629</f>
        <v>0</v>
      </c>
      <c r="S629" s="41">
        <f>E629-P629</f>
        <v>0</v>
      </c>
    </row>
    <row r="630" spans="1:19" x14ac:dyDescent="0.15">
      <c r="A630" s="1">
        <v>6</v>
      </c>
      <c r="B630" s="1">
        <v>12</v>
      </c>
      <c r="C630" s="10">
        <v>0.3609</v>
      </c>
      <c r="D630" s="5">
        <v>60</v>
      </c>
      <c r="E630" s="10">
        <v>0.11840000000000001</v>
      </c>
      <c r="F630" s="5">
        <v>10250</v>
      </c>
      <c r="G630" s="5">
        <v>270</v>
      </c>
      <c r="I630" s="40">
        <f t="shared" si="22"/>
        <v>10250</v>
      </c>
      <c r="J630" s="40">
        <f t="shared" si="23"/>
        <v>270</v>
      </c>
      <c r="K630" s="1">
        <v>10250</v>
      </c>
      <c r="L630" s="1">
        <v>270</v>
      </c>
      <c r="M630">
        <f t="shared" si="24"/>
        <v>0</v>
      </c>
      <c r="N630" s="1">
        <v>0.36099999999999999</v>
      </c>
      <c r="O630" s="1">
        <v>60</v>
      </c>
      <c r="P630" s="24">
        <v>0.11840000000000001</v>
      </c>
      <c r="Q630" s="31">
        <f>C630-N630</f>
        <v>-9.9999999999988987E-5</v>
      </c>
      <c r="R630" s="41">
        <f>D630-O630</f>
        <v>0</v>
      </c>
      <c r="S630" s="41">
        <f>E630-P630</f>
        <v>0</v>
      </c>
    </row>
    <row r="631" spans="1:19" x14ac:dyDescent="0.15">
      <c r="A631" s="1">
        <v>6</v>
      </c>
      <c r="B631" s="1">
        <v>12</v>
      </c>
      <c r="C631" s="10">
        <v>0.3609</v>
      </c>
      <c r="D631" s="5">
        <v>60</v>
      </c>
      <c r="E631" s="10">
        <v>0.12340000000000001</v>
      </c>
      <c r="F631" s="5">
        <v>9050</v>
      </c>
      <c r="G631" s="5">
        <v>250</v>
      </c>
      <c r="I631" s="40">
        <f t="shared" si="22"/>
        <v>9050</v>
      </c>
      <c r="J631" s="40">
        <f t="shared" si="23"/>
        <v>250</v>
      </c>
      <c r="K631" s="1">
        <v>9050</v>
      </c>
      <c r="L631" s="1">
        <v>250</v>
      </c>
      <c r="M631">
        <f t="shared" si="24"/>
        <v>0</v>
      </c>
      <c r="N631" s="1">
        <v>0.36099999999999999</v>
      </c>
      <c r="O631" s="1">
        <v>60</v>
      </c>
      <c r="P631" s="24">
        <v>0.1234</v>
      </c>
      <c r="Q631" s="31">
        <f>C631-N631</f>
        <v>-9.9999999999988987E-5</v>
      </c>
      <c r="R631" s="41">
        <f>D631-O631</f>
        <v>0</v>
      </c>
      <c r="S631" s="41">
        <f>E631-P631</f>
        <v>0</v>
      </c>
    </row>
    <row r="632" spans="1:19" x14ac:dyDescent="0.15">
      <c r="A632" s="1">
        <v>6</v>
      </c>
      <c r="B632" s="1">
        <v>12</v>
      </c>
      <c r="C632" s="10">
        <v>0.3609</v>
      </c>
      <c r="D632" s="5">
        <v>60</v>
      </c>
      <c r="E632" s="10">
        <v>0.12840000000000001</v>
      </c>
      <c r="F632" s="5">
        <v>8070</v>
      </c>
      <c r="G632" s="5">
        <v>240</v>
      </c>
      <c r="I632" s="40">
        <f t="shared" si="22"/>
        <v>8070</v>
      </c>
      <c r="J632" s="40">
        <f t="shared" si="23"/>
        <v>240</v>
      </c>
      <c r="K632" s="1">
        <v>8070</v>
      </c>
      <c r="L632" s="1">
        <v>240</v>
      </c>
      <c r="M632">
        <f t="shared" si="24"/>
        <v>0</v>
      </c>
      <c r="N632" s="1">
        <v>0.36099999999999999</v>
      </c>
      <c r="O632" s="1">
        <v>60</v>
      </c>
      <c r="P632" s="24">
        <v>0.12839999999999999</v>
      </c>
      <c r="Q632" s="31">
        <f>C632-N632</f>
        <v>-9.9999999999988987E-5</v>
      </c>
      <c r="R632" s="41">
        <f>D632-O632</f>
        <v>0</v>
      </c>
      <c r="S632" s="41">
        <f>E632-P632</f>
        <v>0</v>
      </c>
    </row>
    <row r="633" spans="1:19" x14ac:dyDescent="0.15">
      <c r="A633" s="1">
        <v>6</v>
      </c>
      <c r="B633" s="1">
        <v>12</v>
      </c>
      <c r="C633" s="10">
        <v>0.3609</v>
      </c>
      <c r="D633" s="5">
        <v>60</v>
      </c>
      <c r="E633" s="10">
        <v>0.13340000000000002</v>
      </c>
      <c r="F633" s="5">
        <v>7050</v>
      </c>
      <c r="G633" s="5">
        <v>230</v>
      </c>
      <c r="I633" s="40">
        <f t="shared" ref="I633:I696" si="25">F633</f>
        <v>7050</v>
      </c>
      <c r="J633" s="40">
        <f t="shared" ref="J633:J696" si="26">G633</f>
        <v>230</v>
      </c>
      <c r="K633" s="1">
        <v>7050</v>
      </c>
      <c r="L633" s="1">
        <v>230</v>
      </c>
      <c r="M633">
        <f t="shared" si="24"/>
        <v>0</v>
      </c>
      <c r="N633" s="1">
        <v>0.36099999999999999</v>
      </c>
      <c r="O633" s="1">
        <v>60</v>
      </c>
      <c r="P633" s="24">
        <v>0.13339999999999999</v>
      </c>
      <c r="Q633" s="31">
        <f>C633-N633</f>
        <v>-9.9999999999988987E-5</v>
      </c>
      <c r="R633" s="41">
        <f>D633-O633</f>
        <v>0</v>
      </c>
      <c r="S633" s="41">
        <f>E633-P633</f>
        <v>0</v>
      </c>
    </row>
    <row r="634" spans="1:19" x14ac:dyDescent="0.15">
      <c r="A634" s="1">
        <v>6</v>
      </c>
      <c r="B634" s="1">
        <v>12</v>
      </c>
      <c r="C634" s="10">
        <v>0.3609</v>
      </c>
      <c r="D634" s="5">
        <v>60</v>
      </c>
      <c r="E634" s="10">
        <v>0.1384</v>
      </c>
      <c r="F634" s="5">
        <v>6350</v>
      </c>
      <c r="G634" s="5">
        <v>220</v>
      </c>
      <c r="I634" s="40">
        <f t="shared" si="25"/>
        <v>6350</v>
      </c>
      <c r="J634" s="40">
        <f t="shared" si="26"/>
        <v>220</v>
      </c>
      <c r="K634" s="1">
        <v>6350</v>
      </c>
      <c r="L634" s="1">
        <v>220</v>
      </c>
      <c r="M634">
        <f t="shared" si="24"/>
        <v>0</v>
      </c>
      <c r="N634" s="1">
        <v>0.36099999999999999</v>
      </c>
      <c r="O634" s="1">
        <v>60</v>
      </c>
      <c r="P634" s="24">
        <v>0.1384</v>
      </c>
      <c r="Q634" s="31">
        <f>C634-N634</f>
        <v>-9.9999999999988987E-5</v>
      </c>
      <c r="R634" s="41">
        <f>D634-O634</f>
        <v>0</v>
      </c>
      <c r="S634" s="41">
        <f>E634-P634</f>
        <v>0</v>
      </c>
    </row>
    <row r="635" spans="1:19" x14ac:dyDescent="0.15">
      <c r="A635" s="1">
        <v>6</v>
      </c>
      <c r="B635" s="1">
        <v>12</v>
      </c>
      <c r="C635" s="10">
        <v>0.3609</v>
      </c>
      <c r="D635" s="5">
        <v>60</v>
      </c>
      <c r="E635" s="10">
        <v>0.1434</v>
      </c>
      <c r="F635" s="5">
        <v>5560</v>
      </c>
      <c r="G635" s="5">
        <v>210</v>
      </c>
      <c r="I635" s="40">
        <f t="shared" si="25"/>
        <v>5560</v>
      </c>
      <c r="J635" s="40">
        <f t="shared" si="26"/>
        <v>210</v>
      </c>
      <c r="K635" s="1">
        <v>5560</v>
      </c>
      <c r="L635" s="1">
        <v>210</v>
      </c>
      <c r="M635">
        <f t="shared" si="24"/>
        <v>0</v>
      </c>
      <c r="N635" s="1">
        <v>0.36099999999999999</v>
      </c>
      <c r="O635" s="1">
        <v>60</v>
      </c>
      <c r="P635" s="24">
        <v>0.1434</v>
      </c>
      <c r="Q635" s="31">
        <f>C635-N635</f>
        <v>-9.9999999999988987E-5</v>
      </c>
      <c r="R635" s="41">
        <f>D635-O635</f>
        <v>0</v>
      </c>
      <c r="S635" s="41">
        <f>E635-P635</f>
        <v>0</v>
      </c>
    </row>
    <row r="636" spans="1:19" x14ac:dyDescent="0.15">
      <c r="A636" s="1">
        <v>6</v>
      </c>
      <c r="B636" s="1">
        <v>12</v>
      </c>
      <c r="C636" s="10">
        <v>0.3609</v>
      </c>
      <c r="D636" s="5">
        <v>60</v>
      </c>
      <c r="E636" s="10">
        <v>0.1484</v>
      </c>
      <c r="F636" s="5">
        <v>5020</v>
      </c>
      <c r="G636" s="5">
        <v>210</v>
      </c>
      <c r="I636" s="40">
        <f t="shared" si="25"/>
        <v>5020</v>
      </c>
      <c r="J636" s="40">
        <f t="shared" si="26"/>
        <v>210</v>
      </c>
      <c r="K636" s="1">
        <v>5020</v>
      </c>
      <c r="L636" s="1">
        <v>210</v>
      </c>
      <c r="M636">
        <f t="shared" si="24"/>
        <v>0</v>
      </c>
      <c r="N636" s="1">
        <v>0.36099999999999999</v>
      </c>
      <c r="O636" s="1">
        <v>60</v>
      </c>
      <c r="P636" s="24">
        <v>0.1484</v>
      </c>
      <c r="Q636" s="31">
        <f>C636-N636</f>
        <v>-9.9999999999988987E-5</v>
      </c>
      <c r="R636" s="41">
        <f>D636-O636</f>
        <v>0</v>
      </c>
      <c r="S636" s="41">
        <f>E636-P636</f>
        <v>0</v>
      </c>
    </row>
    <row r="637" spans="1:19" x14ac:dyDescent="0.15">
      <c r="A637" s="1">
        <v>6</v>
      </c>
      <c r="B637" s="1">
        <v>12</v>
      </c>
      <c r="C637" s="10">
        <v>0.3609</v>
      </c>
      <c r="D637" s="5">
        <v>60</v>
      </c>
      <c r="E637" s="10">
        <v>0.15340000000000001</v>
      </c>
      <c r="F637" s="5">
        <v>4670</v>
      </c>
      <c r="G637" s="5">
        <v>210</v>
      </c>
      <c r="I637" s="40">
        <f t="shared" si="25"/>
        <v>4670</v>
      </c>
      <c r="J637" s="40">
        <f t="shared" si="26"/>
        <v>210</v>
      </c>
      <c r="K637" s="1">
        <v>4670</v>
      </c>
      <c r="L637" s="1">
        <v>210</v>
      </c>
      <c r="M637">
        <f t="shared" si="24"/>
        <v>0</v>
      </c>
      <c r="N637" s="1">
        <v>0.36099999999999999</v>
      </c>
      <c r="O637" s="1">
        <v>60</v>
      </c>
      <c r="P637" s="24">
        <v>0.15340000000000001</v>
      </c>
      <c r="Q637" s="31">
        <f>C637-N637</f>
        <v>-9.9999999999988987E-5</v>
      </c>
      <c r="R637" s="41">
        <f>D637-O637</f>
        <v>0</v>
      </c>
      <c r="S637" s="41">
        <f>E637-P637</f>
        <v>0</v>
      </c>
    </row>
    <row r="638" spans="1:19" x14ac:dyDescent="0.15">
      <c r="A638" s="1">
        <v>6</v>
      </c>
      <c r="B638" s="1">
        <v>12</v>
      </c>
      <c r="C638" s="10">
        <v>0.3609</v>
      </c>
      <c r="D638" s="5">
        <v>60</v>
      </c>
      <c r="E638" s="10">
        <v>0.15840000000000001</v>
      </c>
      <c r="F638" s="5">
        <v>4230</v>
      </c>
      <c r="G638" s="5">
        <v>200</v>
      </c>
      <c r="I638" s="40">
        <f t="shared" si="25"/>
        <v>4230</v>
      </c>
      <c r="J638" s="40">
        <f t="shared" si="26"/>
        <v>200</v>
      </c>
      <c r="K638" s="1">
        <v>4230</v>
      </c>
      <c r="L638" s="1">
        <v>200</v>
      </c>
      <c r="M638">
        <f t="shared" si="24"/>
        <v>0</v>
      </c>
      <c r="N638" s="1">
        <v>0.36099999999999999</v>
      </c>
      <c r="O638" s="1">
        <v>60</v>
      </c>
      <c r="P638" s="24">
        <v>0.15840000000000001</v>
      </c>
      <c r="Q638" s="31">
        <f>C638-N638</f>
        <v>-9.9999999999988987E-5</v>
      </c>
      <c r="R638" s="41">
        <f>D638-O638</f>
        <v>0</v>
      </c>
      <c r="S638" s="41">
        <f>E638-P638</f>
        <v>0</v>
      </c>
    </row>
    <row r="639" spans="1:19" x14ac:dyDescent="0.15">
      <c r="A639" s="1">
        <v>6</v>
      </c>
      <c r="B639" s="1">
        <v>12</v>
      </c>
      <c r="C639" s="10">
        <v>0.3609</v>
      </c>
      <c r="D639" s="5">
        <v>60</v>
      </c>
      <c r="E639" s="10">
        <v>0.16340000000000002</v>
      </c>
      <c r="F639" s="5">
        <v>3810</v>
      </c>
      <c r="G639" s="5">
        <v>200</v>
      </c>
      <c r="I639" s="40">
        <f t="shared" si="25"/>
        <v>3810</v>
      </c>
      <c r="J639" s="40">
        <f t="shared" si="26"/>
        <v>200</v>
      </c>
      <c r="K639" s="1">
        <v>3810</v>
      </c>
      <c r="L639" s="1">
        <v>200</v>
      </c>
      <c r="M639">
        <f t="shared" si="24"/>
        <v>0</v>
      </c>
      <c r="N639" s="1">
        <v>0.36099999999999999</v>
      </c>
      <c r="O639" s="1">
        <v>60</v>
      </c>
      <c r="P639" s="24">
        <v>0.16339999999999999</v>
      </c>
      <c r="Q639" s="31">
        <f>C639-N639</f>
        <v>-9.9999999999988987E-5</v>
      </c>
      <c r="R639" s="41">
        <f>D639-O639</f>
        <v>0</v>
      </c>
      <c r="S639" s="41">
        <f>E639-P639</f>
        <v>0</v>
      </c>
    </row>
    <row r="640" spans="1:19" x14ac:dyDescent="0.15">
      <c r="A640" s="1">
        <v>6</v>
      </c>
      <c r="B640" s="1">
        <v>12</v>
      </c>
      <c r="C640" s="10">
        <v>0.3609</v>
      </c>
      <c r="D640" s="5">
        <v>60</v>
      </c>
      <c r="E640" s="10">
        <v>0.16839999999999999</v>
      </c>
      <c r="F640" s="5">
        <v>3710</v>
      </c>
      <c r="G640" s="5">
        <v>210</v>
      </c>
      <c r="I640" s="40">
        <f t="shared" si="25"/>
        <v>3710</v>
      </c>
      <c r="J640" s="40">
        <f t="shared" si="26"/>
        <v>210</v>
      </c>
      <c r="K640" s="1">
        <v>3710</v>
      </c>
      <c r="L640" s="1">
        <v>210</v>
      </c>
      <c r="M640">
        <f t="shared" si="24"/>
        <v>0</v>
      </c>
      <c r="N640" s="1">
        <v>0.36099999999999999</v>
      </c>
      <c r="O640" s="1">
        <v>60</v>
      </c>
      <c r="P640" s="24">
        <v>0.16839999999999999</v>
      </c>
      <c r="Q640" s="31">
        <f>C640-N640</f>
        <v>-9.9999999999988987E-5</v>
      </c>
      <c r="R640" s="41">
        <f>D640-O640</f>
        <v>0</v>
      </c>
      <c r="S640" s="41">
        <f>E640-P640</f>
        <v>0</v>
      </c>
    </row>
    <row r="641" spans="1:19" x14ac:dyDescent="0.15">
      <c r="A641" s="1">
        <v>6</v>
      </c>
      <c r="B641" s="1">
        <v>12</v>
      </c>
      <c r="C641" s="10">
        <v>0.3609</v>
      </c>
      <c r="D641" s="5">
        <v>60</v>
      </c>
      <c r="E641" s="10">
        <v>0.1734</v>
      </c>
      <c r="F641" s="5">
        <v>3420</v>
      </c>
      <c r="G641" s="5">
        <v>210</v>
      </c>
      <c r="I641" s="40">
        <f t="shared" si="25"/>
        <v>3420</v>
      </c>
      <c r="J641" s="40">
        <f t="shared" si="26"/>
        <v>210</v>
      </c>
      <c r="K641" s="1">
        <v>3420</v>
      </c>
      <c r="L641" s="1">
        <v>210</v>
      </c>
      <c r="M641">
        <f t="shared" si="24"/>
        <v>0</v>
      </c>
      <c r="N641" s="1">
        <v>0.36099999999999999</v>
      </c>
      <c r="O641" s="1">
        <v>60</v>
      </c>
      <c r="P641" s="24">
        <v>0.1734</v>
      </c>
      <c r="Q641" s="31">
        <f>C641-N641</f>
        <v>-9.9999999999988987E-5</v>
      </c>
      <c r="R641" s="41">
        <f>D641-O641</f>
        <v>0</v>
      </c>
      <c r="S641" s="41">
        <f>E641-P641</f>
        <v>0</v>
      </c>
    </row>
    <row r="642" spans="1:19" x14ac:dyDescent="0.15">
      <c r="A642" s="1">
        <v>6</v>
      </c>
      <c r="B642" s="1">
        <v>12</v>
      </c>
      <c r="C642" s="10">
        <v>0.3609</v>
      </c>
      <c r="D642" s="5">
        <v>60</v>
      </c>
      <c r="E642" s="10">
        <v>0.1784</v>
      </c>
      <c r="F642" s="5">
        <v>3330</v>
      </c>
      <c r="G642" s="5">
        <v>220</v>
      </c>
      <c r="I642" s="40">
        <f t="shared" si="25"/>
        <v>3330</v>
      </c>
      <c r="J642" s="40">
        <f t="shared" si="26"/>
        <v>220</v>
      </c>
      <c r="K642" s="1">
        <v>3330</v>
      </c>
      <c r="L642" s="1">
        <v>220</v>
      </c>
      <c r="M642">
        <f t="shared" si="24"/>
        <v>0</v>
      </c>
      <c r="N642" s="1">
        <v>0.36099999999999999</v>
      </c>
      <c r="O642" s="1">
        <v>60</v>
      </c>
      <c r="P642" s="24">
        <v>0.1784</v>
      </c>
      <c r="Q642" s="31">
        <f>C642-N642</f>
        <v>-9.9999999999988987E-5</v>
      </c>
      <c r="R642" s="41">
        <f>D642-O642</f>
        <v>0</v>
      </c>
      <c r="S642" s="41">
        <f>E642-P642</f>
        <v>0</v>
      </c>
    </row>
    <row r="643" spans="1:19" x14ac:dyDescent="0.15">
      <c r="A643" s="1">
        <v>6</v>
      </c>
      <c r="B643" s="1">
        <v>12</v>
      </c>
      <c r="C643" s="10">
        <v>0.3609</v>
      </c>
      <c r="D643" s="5">
        <v>60</v>
      </c>
      <c r="E643" s="10">
        <v>0.18340000000000001</v>
      </c>
      <c r="F643" s="5">
        <v>3200</v>
      </c>
      <c r="G643" s="5">
        <v>230</v>
      </c>
      <c r="I643" s="40">
        <f t="shared" si="25"/>
        <v>3200</v>
      </c>
      <c r="J643" s="40">
        <f t="shared" si="26"/>
        <v>230</v>
      </c>
      <c r="K643" s="1">
        <v>3200</v>
      </c>
      <c r="L643" s="1">
        <v>230</v>
      </c>
      <c r="M643">
        <f t="shared" ref="M643:M706" si="27">I643+J643-K643-L643</f>
        <v>0</v>
      </c>
      <c r="N643" s="1">
        <v>0.36099999999999999</v>
      </c>
      <c r="O643" s="1">
        <v>60</v>
      </c>
      <c r="P643" s="24">
        <v>0.18340000000000001</v>
      </c>
      <c r="Q643" s="31">
        <f>C643-N643</f>
        <v>-9.9999999999988987E-5</v>
      </c>
      <c r="R643" s="41">
        <f>D643-O643</f>
        <v>0</v>
      </c>
      <c r="S643" s="41">
        <f>E643-P643</f>
        <v>0</v>
      </c>
    </row>
    <row r="644" spans="1:19" x14ac:dyDescent="0.15">
      <c r="A644" s="1">
        <v>6</v>
      </c>
      <c r="B644" s="1">
        <v>12</v>
      </c>
      <c r="C644" s="10">
        <v>0.3609</v>
      </c>
      <c r="D644" s="5">
        <v>60</v>
      </c>
      <c r="E644" s="10">
        <v>0.18840000000000001</v>
      </c>
      <c r="F644" s="5">
        <v>3180</v>
      </c>
      <c r="G644" s="5">
        <v>250</v>
      </c>
      <c r="I644" s="40">
        <f t="shared" si="25"/>
        <v>3180</v>
      </c>
      <c r="J644" s="40">
        <f t="shared" si="26"/>
        <v>250</v>
      </c>
      <c r="K644" s="1">
        <v>3180</v>
      </c>
      <c r="L644" s="1">
        <v>250</v>
      </c>
      <c r="M644">
        <f t="shared" si="27"/>
        <v>0</v>
      </c>
      <c r="N644" s="1">
        <v>0.36099999999999999</v>
      </c>
      <c r="O644" s="1">
        <v>60</v>
      </c>
      <c r="P644" s="24">
        <v>0.18840000000000001</v>
      </c>
      <c r="Q644" s="31">
        <f>C644-N644</f>
        <v>-9.9999999999988987E-5</v>
      </c>
      <c r="R644" s="41">
        <f>D644-O644</f>
        <v>0</v>
      </c>
      <c r="S644" s="41">
        <f>E644-P644</f>
        <v>0</v>
      </c>
    </row>
    <row r="645" spans="1:19" x14ac:dyDescent="0.15">
      <c r="A645" s="1">
        <v>6</v>
      </c>
      <c r="B645" s="1">
        <v>12</v>
      </c>
      <c r="C645" s="10">
        <v>0.3609</v>
      </c>
      <c r="D645" s="5">
        <v>60</v>
      </c>
      <c r="E645" s="10">
        <v>0.19340000000000002</v>
      </c>
      <c r="F645" s="5">
        <v>3220</v>
      </c>
      <c r="G645" s="5">
        <v>260</v>
      </c>
      <c r="I645" s="40">
        <f t="shared" si="25"/>
        <v>3220</v>
      </c>
      <c r="J645" s="40">
        <f t="shared" si="26"/>
        <v>260</v>
      </c>
      <c r="K645" s="1">
        <v>3220</v>
      </c>
      <c r="L645" s="1">
        <v>260</v>
      </c>
      <c r="M645">
        <f t="shared" si="27"/>
        <v>0</v>
      </c>
      <c r="N645" s="1">
        <v>0.36099999999999999</v>
      </c>
      <c r="O645" s="1">
        <v>60</v>
      </c>
      <c r="P645" s="24">
        <v>0.19339999999999999</v>
      </c>
      <c r="Q645" s="31">
        <f>C645-N645</f>
        <v>-9.9999999999988987E-5</v>
      </c>
      <c r="R645" s="41">
        <f>D645-O645</f>
        <v>0</v>
      </c>
      <c r="S645" s="41">
        <f>E645-P645</f>
        <v>0</v>
      </c>
    </row>
    <row r="646" spans="1:19" x14ac:dyDescent="0.15">
      <c r="A646" s="1">
        <v>6</v>
      </c>
      <c r="B646" s="1">
        <v>12</v>
      </c>
      <c r="C646" s="10">
        <v>0.3609</v>
      </c>
      <c r="D646" s="5">
        <v>60</v>
      </c>
      <c r="E646" s="10">
        <v>0.19839999999999999</v>
      </c>
      <c r="F646" s="5">
        <v>3240</v>
      </c>
      <c r="G646" s="5">
        <v>280</v>
      </c>
      <c r="I646" s="40">
        <f t="shared" si="25"/>
        <v>3240</v>
      </c>
      <c r="J646" s="40">
        <f t="shared" si="26"/>
        <v>280</v>
      </c>
      <c r="K646" s="1">
        <v>3240</v>
      </c>
      <c r="L646" s="1">
        <v>280</v>
      </c>
      <c r="M646">
        <f t="shared" si="27"/>
        <v>0</v>
      </c>
      <c r="N646" s="1">
        <v>0.36099999999999999</v>
      </c>
      <c r="O646" s="1">
        <v>60</v>
      </c>
      <c r="P646" s="24">
        <v>0.19839999999999999</v>
      </c>
      <c r="Q646" s="31">
        <f>C646-N646</f>
        <v>-9.9999999999988987E-5</v>
      </c>
      <c r="R646" s="41">
        <f>D646-O646</f>
        <v>0</v>
      </c>
      <c r="S646" s="41">
        <f>E646-P646</f>
        <v>0</v>
      </c>
    </row>
    <row r="647" spans="1:19" x14ac:dyDescent="0.15">
      <c r="A647" s="1">
        <v>6</v>
      </c>
      <c r="B647" s="1">
        <v>12</v>
      </c>
      <c r="C647" s="10">
        <v>0.3609</v>
      </c>
      <c r="D647" s="5">
        <v>60</v>
      </c>
      <c r="E647" s="10">
        <v>0.2034</v>
      </c>
      <c r="F647" s="5">
        <v>3330</v>
      </c>
      <c r="G647" s="5">
        <v>300</v>
      </c>
      <c r="I647" s="40">
        <f t="shared" si="25"/>
        <v>3330</v>
      </c>
      <c r="J647" s="40">
        <f t="shared" si="26"/>
        <v>300</v>
      </c>
      <c r="K647" s="1">
        <v>3330</v>
      </c>
      <c r="L647" s="1">
        <v>300</v>
      </c>
      <c r="M647">
        <f t="shared" si="27"/>
        <v>0</v>
      </c>
      <c r="N647" s="1">
        <v>0.36099999999999999</v>
      </c>
      <c r="O647" s="1">
        <v>60</v>
      </c>
      <c r="P647" s="24">
        <v>0.2034</v>
      </c>
      <c r="Q647" s="31">
        <f>C647-N647</f>
        <v>-9.9999999999988987E-5</v>
      </c>
      <c r="R647" s="41">
        <f>D647-O647</f>
        <v>0</v>
      </c>
      <c r="S647" s="41">
        <f>E647-P647</f>
        <v>0</v>
      </c>
    </row>
    <row r="648" spans="1:19" x14ac:dyDescent="0.15">
      <c r="A648" s="1">
        <v>6</v>
      </c>
      <c r="B648" s="1">
        <v>12</v>
      </c>
      <c r="C648" s="10">
        <v>0.3609</v>
      </c>
      <c r="D648" s="5">
        <v>60</v>
      </c>
      <c r="E648" s="10">
        <v>0.2084</v>
      </c>
      <c r="F648" s="5">
        <v>3400</v>
      </c>
      <c r="G648" s="5">
        <v>330</v>
      </c>
      <c r="I648" s="40">
        <f t="shared" si="25"/>
        <v>3400</v>
      </c>
      <c r="J648" s="40">
        <f t="shared" si="26"/>
        <v>330</v>
      </c>
      <c r="K648" s="1">
        <v>3400</v>
      </c>
      <c r="L648" s="1">
        <v>330</v>
      </c>
      <c r="M648">
        <f t="shared" si="27"/>
        <v>0</v>
      </c>
      <c r="N648" s="1">
        <v>0.36099999999999999</v>
      </c>
      <c r="O648" s="1">
        <v>60</v>
      </c>
      <c r="P648" s="24">
        <v>0.2084</v>
      </c>
      <c r="Q648" s="31">
        <f>C648-N648</f>
        <v>-9.9999999999988987E-5</v>
      </c>
      <c r="R648" s="41">
        <f>D648-O648</f>
        <v>0</v>
      </c>
      <c r="S648" s="41">
        <f>E648-P648</f>
        <v>0</v>
      </c>
    </row>
    <row r="649" spans="1:19" x14ac:dyDescent="0.15">
      <c r="A649" s="1">
        <v>6</v>
      </c>
      <c r="B649" s="1">
        <v>12</v>
      </c>
      <c r="C649" s="10">
        <v>0.3609</v>
      </c>
      <c r="D649" s="5">
        <v>60</v>
      </c>
      <c r="E649" s="10">
        <v>0.21340000000000001</v>
      </c>
      <c r="F649" s="5">
        <v>3590</v>
      </c>
      <c r="G649" s="5">
        <v>360</v>
      </c>
      <c r="I649" s="40">
        <f t="shared" si="25"/>
        <v>3590</v>
      </c>
      <c r="J649" s="40">
        <f t="shared" si="26"/>
        <v>360</v>
      </c>
      <c r="K649" s="1">
        <v>3590</v>
      </c>
      <c r="L649" s="1">
        <v>360</v>
      </c>
      <c r="M649">
        <f t="shared" si="27"/>
        <v>0</v>
      </c>
      <c r="N649" s="1">
        <v>0.36099999999999999</v>
      </c>
      <c r="O649" s="1">
        <v>60</v>
      </c>
      <c r="P649" s="24">
        <v>0.21340000000000001</v>
      </c>
      <c r="Q649" s="31">
        <f>C649-N649</f>
        <v>-9.9999999999988987E-5</v>
      </c>
      <c r="R649" s="41">
        <f>D649-O649</f>
        <v>0</v>
      </c>
      <c r="S649" s="41">
        <f>E649-P649</f>
        <v>0</v>
      </c>
    </row>
    <row r="650" spans="1:19" x14ac:dyDescent="0.15">
      <c r="A650" s="1">
        <v>6</v>
      </c>
      <c r="B650" s="1">
        <v>12</v>
      </c>
      <c r="C650" s="10">
        <v>0.3609</v>
      </c>
      <c r="D650" s="5">
        <v>60</v>
      </c>
      <c r="E650" s="10">
        <v>0.21840000000000001</v>
      </c>
      <c r="F650" s="5">
        <v>3870</v>
      </c>
      <c r="G650" s="5">
        <v>390</v>
      </c>
      <c r="I650" s="40">
        <f t="shared" si="25"/>
        <v>3870</v>
      </c>
      <c r="J650" s="40">
        <f t="shared" si="26"/>
        <v>390</v>
      </c>
      <c r="K650" s="1">
        <v>3870</v>
      </c>
      <c r="L650" s="1">
        <v>390</v>
      </c>
      <c r="M650">
        <f t="shared" si="27"/>
        <v>0</v>
      </c>
      <c r="N650" s="1">
        <v>0.36099999999999999</v>
      </c>
      <c r="O650" s="1">
        <v>60</v>
      </c>
      <c r="P650" s="24">
        <v>0.21840000000000001</v>
      </c>
      <c r="Q650" s="31">
        <f>C650-N650</f>
        <v>-9.9999999999988987E-5</v>
      </c>
      <c r="R650" s="41">
        <f>D650-O650</f>
        <v>0</v>
      </c>
      <c r="S650" s="41">
        <f>E650-P650</f>
        <v>0</v>
      </c>
    </row>
    <row r="651" spans="1:19" x14ac:dyDescent="0.15">
      <c r="A651" s="1">
        <v>6</v>
      </c>
      <c r="B651" s="1">
        <v>12</v>
      </c>
      <c r="C651" s="10">
        <v>0.3609</v>
      </c>
      <c r="D651" s="5">
        <v>60</v>
      </c>
      <c r="E651" s="10">
        <v>0.22340000000000002</v>
      </c>
      <c r="F651" s="5">
        <v>4059.9999999999995</v>
      </c>
      <c r="G651" s="5">
        <v>430</v>
      </c>
      <c r="I651" s="40">
        <f t="shared" si="25"/>
        <v>4059.9999999999995</v>
      </c>
      <c r="J651" s="40">
        <f t="shared" si="26"/>
        <v>430</v>
      </c>
      <c r="K651" s="1">
        <v>4060</v>
      </c>
      <c r="L651" s="1">
        <v>430</v>
      </c>
      <c r="M651">
        <f t="shared" si="27"/>
        <v>0</v>
      </c>
      <c r="N651" s="1">
        <v>0.36099999999999999</v>
      </c>
      <c r="O651" s="1">
        <v>60</v>
      </c>
      <c r="P651" s="24">
        <v>0.22339999999999999</v>
      </c>
      <c r="Q651" s="31">
        <f>C651-N651</f>
        <v>-9.9999999999988987E-5</v>
      </c>
      <c r="R651" s="41">
        <f>D651-O651</f>
        <v>0</v>
      </c>
      <c r="S651" s="41">
        <f>E651-P651</f>
        <v>0</v>
      </c>
    </row>
    <row r="652" spans="1:19" x14ac:dyDescent="0.15">
      <c r="A652" s="1">
        <v>6</v>
      </c>
      <c r="B652" s="1">
        <v>12</v>
      </c>
      <c r="C652" s="10">
        <v>0.3609</v>
      </c>
      <c r="D652" s="5">
        <v>60</v>
      </c>
      <c r="E652" s="10">
        <v>0.22839999999999999</v>
      </c>
      <c r="F652" s="5">
        <v>4290</v>
      </c>
      <c r="G652" s="5">
        <v>480</v>
      </c>
      <c r="I652" s="40">
        <f t="shared" si="25"/>
        <v>4290</v>
      </c>
      <c r="J652" s="40">
        <f t="shared" si="26"/>
        <v>480</v>
      </c>
      <c r="K652" s="1">
        <v>4290</v>
      </c>
      <c r="L652" s="1">
        <v>480</v>
      </c>
      <c r="M652">
        <f t="shared" si="27"/>
        <v>0</v>
      </c>
      <c r="N652" s="1">
        <v>0.36099999999999999</v>
      </c>
      <c r="O652" s="1">
        <v>60</v>
      </c>
      <c r="P652" s="24">
        <v>0.22839999999999999</v>
      </c>
      <c r="Q652" s="31">
        <f>C652-N652</f>
        <v>-9.9999999999988987E-5</v>
      </c>
      <c r="R652" s="41">
        <f>D652-O652</f>
        <v>0</v>
      </c>
      <c r="S652" s="41">
        <f>E652-P652</f>
        <v>0</v>
      </c>
    </row>
    <row r="653" spans="1:19" x14ac:dyDescent="0.15">
      <c r="A653" s="12">
        <v>6</v>
      </c>
      <c r="B653" s="12">
        <v>12</v>
      </c>
      <c r="C653" s="13">
        <v>0.32029999999999997</v>
      </c>
      <c r="D653" s="14">
        <v>60</v>
      </c>
      <c r="E653" s="13">
        <v>2.8E-3</v>
      </c>
      <c r="F653" s="14">
        <v>4690</v>
      </c>
      <c r="G653" s="14">
        <v>160</v>
      </c>
      <c r="I653" s="40">
        <f t="shared" si="25"/>
        <v>4690</v>
      </c>
      <c r="J653" s="40">
        <f t="shared" si="26"/>
        <v>160</v>
      </c>
      <c r="K653" s="12">
        <v>4690</v>
      </c>
      <c r="L653" s="12">
        <v>160</v>
      </c>
      <c r="M653">
        <f t="shared" si="27"/>
        <v>0</v>
      </c>
      <c r="N653" s="12">
        <v>0.32</v>
      </c>
      <c r="O653" s="12">
        <v>60</v>
      </c>
      <c r="P653" s="24">
        <v>2.8E-3</v>
      </c>
      <c r="Q653" s="31">
        <f>C653-N653</f>
        <v>2.9999999999996696E-4</v>
      </c>
      <c r="R653" s="41">
        <f>D653-O653</f>
        <v>0</v>
      </c>
      <c r="S653" s="41">
        <f>E653-P653</f>
        <v>0</v>
      </c>
    </row>
    <row r="654" spans="1:19" x14ac:dyDescent="0.15">
      <c r="A654" s="1">
        <v>6</v>
      </c>
      <c r="B654" s="1">
        <v>12</v>
      </c>
      <c r="C654" s="10">
        <v>0.32029999999999997</v>
      </c>
      <c r="D654" s="5">
        <v>60</v>
      </c>
      <c r="E654" s="10">
        <v>7.7999999999999996E-3</v>
      </c>
      <c r="F654" s="5">
        <v>30210</v>
      </c>
      <c r="G654" s="5">
        <v>780</v>
      </c>
      <c r="I654" s="40">
        <f t="shared" si="25"/>
        <v>30210</v>
      </c>
      <c r="J654" s="40">
        <f t="shared" si="26"/>
        <v>780</v>
      </c>
      <c r="K654" s="1">
        <v>30210</v>
      </c>
      <c r="L654" s="1">
        <v>780</v>
      </c>
      <c r="M654">
        <f t="shared" si="27"/>
        <v>0</v>
      </c>
      <c r="N654" s="1">
        <v>0.32</v>
      </c>
      <c r="O654" s="1">
        <v>60</v>
      </c>
      <c r="P654" s="24">
        <v>7.7999999999999996E-3</v>
      </c>
      <c r="Q654" s="31">
        <f>C654-N654</f>
        <v>2.9999999999996696E-4</v>
      </c>
      <c r="R654" s="41">
        <f>D654-O654</f>
        <v>0</v>
      </c>
      <c r="S654" s="41">
        <f>E654-P654</f>
        <v>0</v>
      </c>
    </row>
    <row r="655" spans="1:19" x14ac:dyDescent="0.15">
      <c r="A655" s="1">
        <v>6</v>
      </c>
      <c r="B655" s="1">
        <v>12</v>
      </c>
      <c r="C655" s="10">
        <v>0.32029999999999997</v>
      </c>
      <c r="D655" s="5">
        <v>60</v>
      </c>
      <c r="E655" s="10">
        <v>1.2800000000000001E-2</v>
      </c>
      <c r="F655" s="5">
        <v>23290</v>
      </c>
      <c r="G655" s="5">
        <v>430</v>
      </c>
      <c r="I655" s="40">
        <f t="shared" si="25"/>
        <v>23290</v>
      </c>
      <c r="J655" s="40">
        <f t="shared" si="26"/>
        <v>430</v>
      </c>
      <c r="K655" s="1">
        <v>23290</v>
      </c>
      <c r="L655" s="1">
        <v>430</v>
      </c>
      <c r="M655">
        <f t="shared" si="27"/>
        <v>0</v>
      </c>
      <c r="N655" s="1">
        <v>0.32</v>
      </c>
      <c r="O655" s="1">
        <v>60</v>
      </c>
      <c r="P655" s="24">
        <v>1.2800000000000001E-2</v>
      </c>
      <c r="Q655" s="31">
        <f>C655-N655</f>
        <v>2.9999999999996696E-4</v>
      </c>
      <c r="R655" s="41">
        <f>D655-O655</f>
        <v>0</v>
      </c>
      <c r="S655" s="41">
        <f>E655-P655</f>
        <v>0</v>
      </c>
    </row>
    <row r="656" spans="1:19" x14ac:dyDescent="0.15">
      <c r="A656" s="1">
        <v>6</v>
      </c>
      <c r="B656" s="1">
        <v>12</v>
      </c>
      <c r="C656" s="10">
        <v>0.32029999999999997</v>
      </c>
      <c r="D656" s="5">
        <v>60</v>
      </c>
      <c r="E656" s="10">
        <v>1.78E-2</v>
      </c>
      <c r="F656" s="5">
        <v>16329.999999999998</v>
      </c>
      <c r="G656" s="5">
        <v>320</v>
      </c>
      <c r="I656" s="40">
        <f t="shared" si="25"/>
        <v>16329.999999999998</v>
      </c>
      <c r="J656" s="40">
        <f t="shared" si="26"/>
        <v>320</v>
      </c>
      <c r="K656" s="1">
        <v>16330</v>
      </c>
      <c r="L656" s="1">
        <v>320</v>
      </c>
      <c r="M656">
        <f t="shared" si="27"/>
        <v>0</v>
      </c>
      <c r="N656" s="1">
        <v>0.32</v>
      </c>
      <c r="O656" s="1">
        <v>60</v>
      </c>
      <c r="P656" s="24">
        <v>1.78E-2</v>
      </c>
      <c r="Q656" s="31">
        <f>C656-N656</f>
        <v>2.9999999999996696E-4</v>
      </c>
      <c r="R656" s="41">
        <f>D656-O656</f>
        <v>0</v>
      </c>
      <c r="S656" s="41">
        <f>E656-P656</f>
        <v>0</v>
      </c>
    </row>
    <row r="657" spans="1:23" ht="14" thickBot="1" x14ac:dyDescent="0.2">
      <c r="A657" s="1">
        <v>6</v>
      </c>
      <c r="B657" s="1">
        <v>12</v>
      </c>
      <c r="C657" s="10">
        <v>0.32029999999999997</v>
      </c>
      <c r="D657" s="5">
        <v>60</v>
      </c>
      <c r="E657" s="10">
        <v>2.2800000000000001E-2</v>
      </c>
      <c r="F657" s="5">
        <v>18660</v>
      </c>
      <c r="G657" s="5">
        <v>360</v>
      </c>
      <c r="I657" s="40">
        <f t="shared" si="25"/>
        <v>18660</v>
      </c>
      <c r="J657" s="40">
        <f t="shared" si="26"/>
        <v>360</v>
      </c>
      <c r="K657" s="1">
        <v>18660</v>
      </c>
      <c r="L657" s="1">
        <v>360</v>
      </c>
      <c r="M657">
        <f t="shared" si="27"/>
        <v>0</v>
      </c>
      <c r="N657" s="1">
        <v>0.32</v>
      </c>
      <c r="O657" s="1">
        <v>60</v>
      </c>
      <c r="P657" s="44">
        <v>2.2800000000000001E-2</v>
      </c>
      <c r="Q657" s="31">
        <f>C657-N657</f>
        <v>2.9999999999996696E-4</v>
      </c>
      <c r="R657" s="41">
        <f>D657-O657</f>
        <v>0</v>
      </c>
      <c r="S657" s="41">
        <f>E657-P657</f>
        <v>0</v>
      </c>
    </row>
    <row r="658" spans="1:23" ht="14" thickTop="1" x14ac:dyDescent="0.15">
      <c r="A658" s="1">
        <v>6</v>
      </c>
      <c r="B658" s="1">
        <v>12</v>
      </c>
      <c r="C658" s="10">
        <v>0.32029999999999997</v>
      </c>
      <c r="D658" s="5">
        <v>60</v>
      </c>
      <c r="E658" s="10">
        <v>2.7800000000000002E-2</v>
      </c>
      <c r="F658" s="5">
        <v>17660</v>
      </c>
      <c r="G658" s="5">
        <v>350</v>
      </c>
      <c r="I658" s="40">
        <f t="shared" si="25"/>
        <v>17660</v>
      </c>
      <c r="J658" s="40">
        <f t="shared" si="26"/>
        <v>350</v>
      </c>
      <c r="K658" s="1">
        <v>17660</v>
      </c>
      <c r="L658" s="1">
        <v>350</v>
      </c>
      <c r="M658">
        <f t="shared" si="27"/>
        <v>0</v>
      </c>
      <c r="N658" s="1">
        <v>0.32</v>
      </c>
      <c r="O658" s="1">
        <v>60</v>
      </c>
      <c r="P658" s="24">
        <v>2.7799999999999998E-2</v>
      </c>
      <c r="Q658" s="31">
        <f>C658-N658</f>
        <v>2.9999999999996696E-4</v>
      </c>
      <c r="R658" s="41">
        <f>D658-O658</f>
        <v>0</v>
      </c>
      <c r="S658" s="41">
        <f>E658-P658</f>
        <v>0</v>
      </c>
    </row>
    <row r="659" spans="1:23" x14ac:dyDescent="0.15">
      <c r="A659" s="1">
        <v>6</v>
      </c>
      <c r="B659" s="1">
        <v>12</v>
      </c>
      <c r="C659" s="10">
        <v>0.32029999999999997</v>
      </c>
      <c r="D659" s="5">
        <v>60</v>
      </c>
      <c r="E659" s="10">
        <v>3.2799999999999996E-2</v>
      </c>
      <c r="F659" s="5">
        <v>20770</v>
      </c>
      <c r="G659" s="5">
        <v>400</v>
      </c>
      <c r="I659" s="40">
        <f t="shared" si="25"/>
        <v>20770</v>
      </c>
      <c r="J659" s="40">
        <f t="shared" si="26"/>
        <v>400</v>
      </c>
      <c r="K659" s="1">
        <v>20770</v>
      </c>
      <c r="L659" s="1">
        <v>400</v>
      </c>
      <c r="M659">
        <f t="shared" si="27"/>
        <v>0</v>
      </c>
      <c r="N659" s="1">
        <v>0.32</v>
      </c>
      <c r="O659" s="1">
        <v>60</v>
      </c>
      <c r="P659" s="24">
        <v>3.2800000000000003E-2</v>
      </c>
      <c r="Q659" s="31">
        <f>C659-N659</f>
        <v>2.9999999999996696E-4</v>
      </c>
      <c r="R659" s="41">
        <f>D659-O659</f>
        <v>0</v>
      </c>
      <c r="S659" s="41">
        <f>E659-P659</f>
        <v>0</v>
      </c>
    </row>
    <row r="660" spans="1:23" x14ac:dyDescent="0.15">
      <c r="A660" s="1">
        <v>6</v>
      </c>
      <c r="B660" s="1">
        <v>12</v>
      </c>
      <c r="C660" s="10">
        <v>0.32029999999999997</v>
      </c>
      <c r="D660" s="5">
        <v>60</v>
      </c>
      <c r="E660" s="10">
        <v>3.78E-2</v>
      </c>
      <c r="F660" s="5">
        <v>21380</v>
      </c>
      <c r="G660" s="5">
        <v>410</v>
      </c>
      <c r="I660" s="40">
        <f t="shared" si="25"/>
        <v>21380</v>
      </c>
      <c r="J660" s="40">
        <f t="shared" si="26"/>
        <v>410</v>
      </c>
      <c r="K660" s="1">
        <v>21380</v>
      </c>
      <c r="L660" s="1">
        <v>410</v>
      </c>
      <c r="M660">
        <f t="shared" si="27"/>
        <v>0</v>
      </c>
      <c r="N660" s="1">
        <v>0.32</v>
      </c>
      <c r="O660" s="1">
        <v>60</v>
      </c>
      <c r="P660" s="24">
        <v>3.78E-2</v>
      </c>
      <c r="Q660" s="31">
        <f>C660-N660</f>
        <v>2.9999999999996696E-4</v>
      </c>
      <c r="R660" s="41">
        <f>D660-O660</f>
        <v>0</v>
      </c>
      <c r="S660" s="41">
        <f>E660-P660</f>
        <v>0</v>
      </c>
    </row>
    <row r="661" spans="1:23" x14ac:dyDescent="0.15">
      <c r="A661" s="1">
        <v>6</v>
      </c>
      <c r="B661" s="1">
        <v>12</v>
      </c>
      <c r="C661" s="10">
        <v>0.32029999999999997</v>
      </c>
      <c r="D661" s="5">
        <v>60</v>
      </c>
      <c r="E661" s="10">
        <v>4.2799999999999998E-2</v>
      </c>
      <c r="F661" s="5">
        <v>23300</v>
      </c>
      <c r="G661" s="5">
        <v>440</v>
      </c>
      <c r="I661" s="40">
        <f t="shared" si="25"/>
        <v>23300</v>
      </c>
      <c r="J661" s="40">
        <f t="shared" si="26"/>
        <v>440</v>
      </c>
      <c r="K661" s="1">
        <v>23300</v>
      </c>
      <c r="L661" s="1">
        <v>440</v>
      </c>
      <c r="M661">
        <f t="shared" si="27"/>
        <v>0</v>
      </c>
      <c r="N661" s="1">
        <v>0.32</v>
      </c>
      <c r="O661" s="1">
        <v>60</v>
      </c>
      <c r="P661" s="24">
        <v>4.2799999999999998E-2</v>
      </c>
      <c r="Q661" s="31">
        <f>C661-N661</f>
        <v>2.9999999999996696E-4</v>
      </c>
      <c r="R661" s="41">
        <f>D661-O661</f>
        <v>0</v>
      </c>
      <c r="S661" s="41">
        <f>E661-P661</f>
        <v>0</v>
      </c>
    </row>
    <row r="662" spans="1:23" x14ac:dyDescent="0.15">
      <c r="A662" s="1">
        <v>6</v>
      </c>
      <c r="B662" s="1">
        <v>12</v>
      </c>
      <c r="C662" s="10">
        <v>0.32029999999999997</v>
      </c>
      <c r="D662" s="5">
        <v>60</v>
      </c>
      <c r="E662" s="10">
        <v>4.7799999999999995E-2</v>
      </c>
      <c r="F662" s="5">
        <v>24740</v>
      </c>
      <c r="G662" s="5">
        <v>470</v>
      </c>
      <c r="I662" s="40">
        <f t="shared" si="25"/>
        <v>24740</v>
      </c>
      <c r="J662" s="40">
        <f t="shared" si="26"/>
        <v>470</v>
      </c>
      <c r="K662" s="1">
        <v>24740</v>
      </c>
      <c r="L662" s="1">
        <v>470</v>
      </c>
      <c r="M662">
        <f t="shared" si="27"/>
        <v>0</v>
      </c>
      <c r="N662" s="1">
        <v>0.32</v>
      </c>
      <c r="O662" s="1">
        <v>60</v>
      </c>
      <c r="P662" s="24">
        <v>4.7800000000000002E-2</v>
      </c>
      <c r="Q662" s="31">
        <f>C662-N662</f>
        <v>2.9999999999996696E-4</v>
      </c>
      <c r="R662" s="41">
        <f>D662-O662</f>
        <v>0</v>
      </c>
      <c r="S662" s="41">
        <f>E662-P662</f>
        <v>0</v>
      </c>
    </row>
    <row r="663" spans="1:23" s="15" customFormat="1" x14ac:dyDescent="0.15">
      <c r="A663" s="1">
        <v>6</v>
      </c>
      <c r="B663" s="1">
        <v>12</v>
      </c>
      <c r="C663" s="10">
        <v>0.32029999999999997</v>
      </c>
      <c r="D663" s="5">
        <v>60</v>
      </c>
      <c r="E663" s="10">
        <v>5.28E-2</v>
      </c>
      <c r="F663" s="5">
        <v>25830</v>
      </c>
      <c r="G663" s="5">
        <v>490</v>
      </c>
      <c r="H663" s="12"/>
      <c r="I663" s="40">
        <f t="shared" si="25"/>
        <v>25830</v>
      </c>
      <c r="J663" s="40">
        <f t="shared" si="26"/>
        <v>490</v>
      </c>
      <c r="K663" s="1">
        <v>25830</v>
      </c>
      <c r="L663" s="1">
        <v>490</v>
      </c>
      <c r="M663">
        <f t="shared" si="27"/>
        <v>0</v>
      </c>
      <c r="N663" s="1">
        <v>0.32</v>
      </c>
      <c r="O663" s="1">
        <v>60</v>
      </c>
      <c r="P663" s="24">
        <v>5.28E-2</v>
      </c>
      <c r="Q663" s="31">
        <f>C663-N663</f>
        <v>2.9999999999996696E-4</v>
      </c>
      <c r="R663" s="41">
        <f>D663-O663</f>
        <v>0</v>
      </c>
      <c r="S663" s="41">
        <f>E663-P663</f>
        <v>0</v>
      </c>
      <c r="U663" s="12"/>
      <c r="V663" s="12"/>
      <c r="W663" s="12"/>
    </row>
    <row r="664" spans="1:23" x14ac:dyDescent="0.15">
      <c r="A664" s="1">
        <v>6</v>
      </c>
      <c r="B664" s="1">
        <v>12</v>
      </c>
      <c r="C664" s="10">
        <v>0.32029999999999997</v>
      </c>
      <c r="D664" s="5">
        <v>60</v>
      </c>
      <c r="E664" s="10">
        <v>5.7799999999999997E-2</v>
      </c>
      <c r="F664" s="5">
        <v>26260</v>
      </c>
      <c r="G664" s="5">
        <v>510</v>
      </c>
      <c r="I664" s="40">
        <f t="shared" si="25"/>
        <v>26260</v>
      </c>
      <c r="J664" s="40">
        <f t="shared" si="26"/>
        <v>510</v>
      </c>
      <c r="K664" s="1">
        <v>26260</v>
      </c>
      <c r="L664" s="1">
        <v>510</v>
      </c>
      <c r="M664">
        <f t="shared" si="27"/>
        <v>0</v>
      </c>
      <c r="N664" s="1">
        <v>0.32</v>
      </c>
      <c r="O664" s="1">
        <v>60</v>
      </c>
      <c r="P664" s="24">
        <v>5.7799999999999997E-2</v>
      </c>
      <c r="Q664" s="31">
        <f>C664-N664</f>
        <v>2.9999999999996696E-4</v>
      </c>
      <c r="R664" s="41">
        <f>D664-O664</f>
        <v>0</v>
      </c>
      <c r="S664" s="41">
        <f>E664-P664</f>
        <v>0</v>
      </c>
    </row>
    <row r="665" spans="1:23" x14ac:dyDescent="0.15">
      <c r="A665" s="1">
        <v>6</v>
      </c>
      <c r="B665" s="1">
        <v>12</v>
      </c>
      <c r="C665" s="10">
        <v>0.32029999999999997</v>
      </c>
      <c r="D665" s="5">
        <v>60</v>
      </c>
      <c r="E665" s="10">
        <v>6.2799999999999995E-2</v>
      </c>
      <c r="F665" s="5">
        <v>26370</v>
      </c>
      <c r="G665" s="5">
        <v>530</v>
      </c>
      <c r="I665" s="40">
        <f t="shared" si="25"/>
        <v>26370</v>
      </c>
      <c r="J665" s="40">
        <f t="shared" si="26"/>
        <v>530</v>
      </c>
      <c r="K665" s="1">
        <v>26370</v>
      </c>
      <c r="L665" s="1">
        <v>530</v>
      </c>
      <c r="M665">
        <f t="shared" si="27"/>
        <v>0</v>
      </c>
      <c r="N665" s="1">
        <v>0.32</v>
      </c>
      <c r="O665" s="1">
        <v>60</v>
      </c>
      <c r="P665" s="24">
        <v>6.2799999999999995E-2</v>
      </c>
      <c r="Q665" s="31">
        <f>C665-N665</f>
        <v>2.9999999999996696E-4</v>
      </c>
      <c r="R665" s="41">
        <f>D665-O665</f>
        <v>0</v>
      </c>
      <c r="S665" s="41">
        <f>E665-P665</f>
        <v>0</v>
      </c>
    </row>
    <row r="666" spans="1:23" x14ac:dyDescent="0.15">
      <c r="A666" s="1">
        <v>6</v>
      </c>
      <c r="B666" s="1">
        <v>12</v>
      </c>
      <c r="C666" s="10">
        <v>0.32029999999999997</v>
      </c>
      <c r="D666" s="5">
        <v>60</v>
      </c>
      <c r="E666" s="10">
        <v>6.7799999999999999E-2</v>
      </c>
      <c r="F666" s="5">
        <v>25960</v>
      </c>
      <c r="G666" s="5">
        <v>540</v>
      </c>
      <c r="I666" s="40">
        <f t="shared" si="25"/>
        <v>25960</v>
      </c>
      <c r="J666" s="40">
        <f t="shared" si="26"/>
        <v>540</v>
      </c>
      <c r="K666" s="1">
        <v>25960</v>
      </c>
      <c r="L666" s="1">
        <v>540</v>
      </c>
      <c r="M666">
        <f t="shared" si="27"/>
        <v>0</v>
      </c>
      <c r="N666" s="1">
        <v>0.32</v>
      </c>
      <c r="O666" s="1">
        <v>60</v>
      </c>
      <c r="P666" s="24">
        <v>6.7799999999999999E-2</v>
      </c>
      <c r="Q666" s="31">
        <f>C666-N666</f>
        <v>2.9999999999996696E-4</v>
      </c>
      <c r="R666" s="41">
        <f>D666-O666</f>
        <v>0</v>
      </c>
      <c r="S666" s="41">
        <f>E666-P666</f>
        <v>0</v>
      </c>
    </row>
    <row r="667" spans="1:23" x14ac:dyDescent="0.15">
      <c r="A667" s="1">
        <v>6</v>
      </c>
      <c r="B667" s="1">
        <v>12</v>
      </c>
      <c r="C667" s="10">
        <v>0.32029999999999997</v>
      </c>
      <c r="D667" s="5">
        <v>60</v>
      </c>
      <c r="E667" s="10">
        <v>7.2800000000000004E-2</v>
      </c>
      <c r="F667" s="5">
        <v>24810</v>
      </c>
      <c r="G667" s="5">
        <v>540</v>
      </c>
      <c r="I667" s="40">
        <f t="shared" si="25"/>
        <v>24810</v>
      </c>
      <c r="J667" s="40">
        <f t="shared" si="26"/>
        <v>540</v>
      </c>
      <c r="K667" s="1">
        <v>24810</v>
      </c>
      <c r="L667" s="1">
        <v>540</v>
      </c>
      <c r="M667">
        <f t="shared" si="27"/>
        <v>0</v>
      </c>
      <c r="N667" s="1">
        <v>0.32</v>
      </c>
      <c r="O667" s="1">
        <v>60</v>
      </c>
      <c r="P667" s="24">
        <v>7.2800000000000004E-2</v>
      </c>
      <c r="Q667" s="31">
        <f>C667-N667</f>
        <v>2.9999999999996696E-4</v>
      </c>
      <c r="R667" s="41">
        <f>D667-O667</f>
        <v>0</v>
      </c>
      <c r="S667" s="41">
        <f>E667-P667</f>
        <v>0</v>
      </c>
    </row>
    <row r="668" spans="1:23" x14ac:dyDescent="0.15">
      <c r="A668" s="1">
        <v>6</v>
      </c>
      <c r="B668" s="1">
        <v>12</v>
      </c>
      <c r="C668" s="10">
        <v>0.32029999999999997</v>
      </c>
      <c r="D668" s="5">
        <v>60</v>
      </c>
      <c r="E668" s="10">
        <v>7.7799999999999994E-2</v>
      </c>
      <c r="F668" s="5">
        <v>22320</v>
      </c>
      <c r="G668" s="5">
        <v>510</v>
      </c>
      <c r="I668" s="40">
        <f t="shared" si="25"/>
        <v>22320</v>
      </c>
      <c r="J668" s="40">
        <f t="shared" si="26"/>
        <v>510</v>
      </c>
      <c r="K668" s="1">
        <v>22320</v>
      </c>
      <c r="L668" s="1">
        <v>510</v>
      </c>
      <c r="M668">
        <f t="shared" si="27"/>
        <v>0</v>
      </c>
      <c r="N668" s="1">
        <v>0.32</v>
      </c>
      <c r="O668" s="1">
        <v>60</v>
      </c>
      <c r="P668" s="24">
        <v>7.7799999999999994E-2</v>
      </c>
      <c r="Q668" s="31">
        <f>C668-N668</f>
        <v>2.9999999999996696E-4</v>
      </c>
      <c r="R668" s="41">
        <f>D668-O668</f>
        <v>0</v>
      </c>
      <c r="S668" s="41">
        <f>E668-P668</f>
        <v>0</v>
      </c>
    </row>
    <row r="669" spans="1:23" x14ac:dyDescent="0.15">
      <c r="A669" s="1">
        <v>6</v>
      </c>
      <c r="B669" s="1">
        <v>12</v>
      </c>
      <c r="C669" s="10">
        <v>0.32029999999999997</v>
      </c>
      <c r="D669" s="5">
        <v>60</v>
      </c>
      <c r="E669" s="10">
        <v>8.2799999999999999E-2</v>
      </c>
      <c r="F669" s="5">
        <v>20460</v>
      </c>
      <c r="G669" s="5">
        <v>490</v>
      </c>
      <c r="I669" s="40">
        <f t="shared" si="25"/>
        <v>20460</v>
      </c>
      <c r="J669" s="40">
        <f t="shared" si="26"/>
        <v>490</v>
      </c>
      <c r="K669" s="1">
        <v>20460</v>
      </c>
      <c r="L669" s="1">
        <v>490</v>
      </c>
      <c r="M669">
        <f t="shared" si="27"/>
        <v>0</v>
      </c>
      <c r="N669" s="1">
        <v>0.32</v>
      </c>
      <c r="O669" s="1">
        <v>60</v>
      </c>
      <c r="P669" s="24">
        <v>8.2799999999999999E-2</v>
      </c>
      <c r="Q669" s="31">
        <f>C669-N669</f>
        <v>2.9999999999996696E-4</v>
      </c>
      <c r="R669" s="41">
        <f>D669-O669</f>
        <v>0</v>
      </c>
      <c r="S669" s="41">
        <f>E669-P669</f>
        <v>0</v>
      </c>
    </row>
    <row r="670" spans="1:23" x14ac:dyDescent="0.15">
      <c r="A670" s="1">
        <v>6</v>
      </c>
      <c r="B670" s="1">
        <v>12</v>
      </c>
      <c r="C670" s="10">
        <v>0.32029999999999997</v>
      </c>
      <c r="D670" s="5">
        <v>60</v>
      </c>
      <c r="E670" s="10">
        <v>8.7800000000000003E-2</v>
      </c>
      <c r="F670" s="5">
        <v>18140</v>
      </c>
      <c r="G670" s="5">
        <v>460</v>
      </c>
      <c r="I670" s="40">
        <f t="shared" si="25"/>
        <v>18140</v>
      </c>
      <c r="J670" s="40">
        <f t="shared" si="26"/>
        <v>460</v>
      </c>
      <c r="K670" s="1">
        <v>18140</v>
      </c>
      <c r="L670" s="1">
        <v>460</v>
      </c>
      <c r="M670">
        <f t="shared" si="27"/>
        <v>0</v>
      </c>
      <c r="N670" s="1">
        <v>0.32</v>
      </c>
      <c r="O670" s="1">
        <v>60</v>
      </c>
      <c r="P670" s="24">
        <v>8.7800000000000003E-2</v>
      </c>
      <c r="Q670" s="31">
        <f>C670-N670</f>
        <v>2.9999999999996696E-4</v>
      </c>
      <c r="R670" s="41">
        <f>D670-O670</f>
        <v>0</v>
      </c>
      <c r="S670" s="41">
        <f>E670-P670</f>
        <v>0</v>
      </c>
    </row>
    <row r="671" spans="1:23" x14ac:dyDescent="0.15">
      <c r="A671" s="1">
        <v>6</v>
      </c>
      <c r="B671" s="1">
        <v>12</v>
      </c>
      <c r="C671" s="10">
        <v>0.32029999999999997</v>
      </c>
      <c r="D671" s="5">
        <v>60</v>
      </c>
      <c r="E671" s="10">
        <v>9.2799999999999994E-2</v>
      </c>
      <c r="F671" s="5">
        <v>15960</v>
      </c>
      <c r="G671" s="5">
        <v>440</v>
      </c>
      <c r="I671" s="40">
        <f t="shared" si="25"/>
        <v>15960</v>
      </c>
      <c r="J671" s="40">
        <f t="shared" si="26"/>
        <v>440</v>
      </c>
      <c r="K671" s="1">
        <v>15960</v>
      </c>
      <c r="L671" s="1">
        <v>440</v>
      </c>
      <c r="M671">
        <f t="shared" si="27"/>
        <v>0</v>
      </c>
      <c r="N671" s="1">
        <v>0.32</v>
      </c>
      <c r="O671" s="1">
        <v>60</v>
      </c>
      <c r="P671" s="24">
        <v>9.2799999999999994E-2</v>
      </c>
      <c r="Q671" s="31">
        <f>C671-N671</f>
        <v>2.9999999999996696E-4</v>
      </c>
      <c r="R671" s="41">
        <f>D671-O671</f>
        <v>0</v>
      </c>
      <c r="S671" s="41">
        <f>E671-P671</f>
        <v>0</v>
      </c>
    </row>
    <row r="672" spans="1:23" x14ac:dyDescent="0.15">
      <c r="A672" s="1">
        <v>6</v>
      </c>
      <c r="B672" s="1">
        <v>12</v>
      </c>
      <c r="C672" s="10">
        <v>0.32029999999999997</v>
      </c>
      <c r="D672" s="5">
        <v>60</v>
      </c>
      <c r="E672" s="10">
        <v>9.7799999999999998E-2</v>
      </c>
      <c r="F672" s="5">
        <v>14210</v>
      </c>
      <c r="G672" s="5">
        <v>420</v>
      </c>
      <c r="I672" s="40">
        <f t="shared" si="25"/>
        <v>14210</v>
      </c>
      <c r="J672" s="40">
        <f t="shared" si="26"/>
        <v>420</v>
      </c>
      <c r="K672" s="1">
        <v>14210</v>
      </c>
      <c r="L672" s="1">
        <v>420</v>
      </c>
      <c r="M672">
        <f t="shared" si="27"/>
        <v>0</v>
      </c>
      <c r="N672" s="1">
        <v>0.32</v>
      </c>
      <c r="O672" s="1">
        <v>60</v>
      </c>
      <c r="P672" s="24">
        <v>9.7799999999999998E-2</v>
      </c>
      <c r="Q672" s="31">
        <f>C672-N672</f>
        <v>2.9999999999996696E-4</v>
      </c>
      <c r="R672" s="41">
        <f>D672-O672</f>
        <v>0</v>
      </c>
      <c r="S672" s="41">
        <f>E672-P672</f>
        <v>0</v>
      </c>
    </row>
    <row r="673" spans="1:19" x14ac:dyDescent="0.15">
      <c r="A673" s="1">
        <v>6</v>
      </c>
      <c r="B673" s="1">
        <v>12</v>
      </c>
      <c r="C673" s="10">
        <v>0.32029999999999997</v>
      </c>
      <c r="D673" s="5">
        <v>60</v>
      </c>
      <c r="E673" s="10">
        <v>0.1028</v>
      </c>
      <c r="F673" s="5">
        <v>12200</v>
      </c>
      <c r="G673" s="5">
        <v>400</v>
      </c>
      <c r="I673" s="40">
        <f t="shared" si="25"/>
        <v>12200</v>
      </c>
      <c r="J673" s="40">
        <f t="shared" si="26"/>
        <v>400</v>
      </c>
      <c r="K673" s="1">
        <v>12220</v>
      </c>
      <c r="L673" s="1">
        <v>400</v>
      </c>
      <c r="M673">
        <f t="shared" si="27"/>
        <v>-20</v>
      </c>
      <c r="N673" s="1">
        <v>0.32</v>
      </c>
      <c r="O673" s="1">
        <v>60</v>
      </c>
      <c r="P673" s="24">
        <v>0.1028</v>
      </c>
      <c r="Q673" s="31">
        <f>C673-N673</f>
        <v>2.9999999999996696E-4</v>
      </c>
      <c r="R673" s="41">
        <f>D673-O673</f>
        <v>0</v>
      </c>
      <c r="S673" s="41">
        <f>E673-P673</f>
        <v>0</v>
      </c>
    </row>
    <row r="674" spans="1:19" x14ac:dyDescent="0.15">
      <c r="A674" s="1">
        <v>6</v>
      </c>
      <c r="B674" s="1">
        <v>12</v>
      </c>
      <c r="C674" s="10">
        <v>0.32029999999999997</v>
      </c>
      <c r="D674" s="5">
        <v>60</v>
      </c>
      <c r="E674" s="10">
        <v>0.10779999999999999</v>
      </c>
      <c r="F674" s="5">
        <v>10730</v>
      </c>
      <c r="G674" s="5">
        <v>380</v>
      </c>
      <c r="I674" s="40">
        <f t="shared" si="25"/>
        <v>10730</v>
      </c>
      <c r="J674" s="40">
        <f t="shared" si="26"/>
        <v>380</v>
      </c>
      <c r="K674" s="1">
        <v>10730</v>
      </c>
      <c r="L674" s="1">
        <v>380</v>
      </c>
      <c r="M674">
        <f t="shared" si="27"/>
        <v>0</v>
      </c>
      <c r="N674" s="1">
        <v>0.32</v>
      </c>
      <c r="O674" s="1">
        <v>60</v>
      </c>
      <c r="P674" s="24">
        <v>0.10780000000000001</v>
      </c>
      <c r="Q674" s="31">
        <f>C674-N674</f>
        <v>2.9999999999996696E-4</v>
      </c>
      <c r="R674" s="41">
        <f>D674-O674</f>
        <v>0</v>
      </c>
      <c r="S674" s="41">
        <f>E674-P674</f>
        <v>0</v>
      </c>
    </row>
    <row r="675" spans="1:19" x14ac:dyDescent="0.15">
      <c r="A675" s="1">
        <v>6</v>
      </c>
      <c r="B675" s="1">
        <v>12</v>
      </c>
      <c r="C675" s="10">
        <v>0.32029999999999997</v>
      </c>
      <c r="D675" s="5">
        <v>60</v>
      </c>
      <c r="E675" s="10">
        <v>0.1128</v>
      </c>
      <c r="F675" s="5">
        <v>9320</v>
      </c>
      <c r="G675" s="5">
        <v>370</v>
      </c>
      <c r="I675" s="40">
        <f t="shared" si="25"/>
        <v>9320</v>
      </c>
      <c r="J675" s="40">
        <f t="shared" si="26"/>
        <v>370</v>
      </c>
      <c r="K675" s="1">
        <v>9320</v>
      </c>
      <c r="L675" s="1">
        <v>370</v>
      </c>
      <c r="M675">
        <f t="shared" si="27"/>
        <v>0</v>
      </c>
      <c r="N675" s="1">
        <v>0.32</v>
      </c>
      <c r="O675" s="1">
        <v>60</v>
      </c>
      <c r="P675" s="24">
        <v>0.1128</v>
      </c>
      <c r="Q675" s="31">
        <f>C675-N675</f>
        <v>2.9999999999996696E-4</v>
      </c>
      <c r="R675" s="41">
        <f>D675-O675</f>
        <v>0</v>
      </c>
      <c r="S675" s="41">
        <f>E675-P675</f>
        <v>0</v>
      </c>
    </row>
    <row r="676" spans="1:19" x14ac:dyDescent="0.15">
      <c r="A676" s="1">
        <v>6</v>
      </c>
      <c r="B676" s="1">
        <v>12</v>
      </c>
      <c r="C676" s="10">
        <v>0.32029999999999997</v>
      </c>
      <c r="D676" s="5">
        <v>60</v>
      </c>
      <c r="E676" s="10">
        <v>0.1178</v>
      </c>
      <c r="F676" s="5">
        <v>8150</v>
      </c>
      <c r="G676" s="5">
        <v>350</v>
      </c>
      <c r="I676" s="40">
        <f t="shared" si="25"/>
        <v>8150</v>
      </c>
      <c r="J676" s="40">
        <f t="shared" si="26"/>
        <v>350</v>
      </c>
      <c r="K676" s="1">
        <v>8150</v>
      </c>
      <c r="L676" s="1">
        <v>350</v>
      </c>
      <c r="M676">
        <f t="shared" si="27"/>
        <v>0</v>
      </c>
      <c r="N676" s="1">
        <v>0.32</v>
      </c>
      <c r="O676" s="1">
        <v>60</v>
      </c>
      <c r="P676" s="24">
        <v>0.1178</v>
      </c>
      <c r="Q676" s="31">
        <f>C676-N676</f>
        <v>2.9999999999996696E-4</v>
      </c>
      <c r="R676" s="41">
        <f>D676-O676</f>
        <v>0</v>
      </c>
      <c r="S676" s="41">
        <f>E676-P676</f>
        <v>0</v>
      </c>
    </row>
    <row r="677" spans="1:19" x14ac:dyDescent="0.15">
      <c r="A677" s="1">
        <v>6</v>
      </c>
      <c r="B677" s="1">
        <v>12</v>
      </c>
      <c r="C677" s="10">
        <v>0.32029999999999997</v>
      </c>
      <c r="D677" s="5">
        <v>60</v>
      </c>
      <c r="E677" s="10">
        <v>0.12279999999999999</v>
      </c>
      <c r="F677" s="5">
        <v>7140</v>
      </c>
      <c r="G677" s="5">
        <v>340</v>
      </c>
      <c r="I677" s="40">
        <f t="shared" si="25"/>
        <v>7140</v>
      </c>
      <c r="J677" s="40">
        <f t="shared" si="26"/>
        <v>340</v>
      </c>
      <c r="K677" s="1">
        <v>7140</v>
      </c>
      <c r="L677" s="1">
        <v>340</v>
      </c>
      <c r="M677">
        <f t="shared" si="27"/>
        <v>0</v>
      </c>
      <c r="N677" s="1">
        <v>0.32</v>
      </c>
      <c r="O677" s="1">
        <v>60</v>
      </c>
      <c r="P677" s="24">
        <v>0.12280000000000001</v>
      </c>
      <c r="Q677" s="31">
        <f>C677-N677</f>
        <v>2.9999999999996696E-4</v>
      </c>
      <c r="R677" s="41">
        <f>D677-O677</f>
        <v>0</v>
      </c>
      <c r="S677" s="41">
        <f>E677-P677</f>
        <v>0</v>
      </c>
    </row>
    <row r="678" spans="1:19" x14ac:dyDescent="0.15">
      <c r="A678" s="1">
        <v>6</v>
      </c>
      <c r="B678" s="1">
        <v>12</v>
      </c>
      <c r="C678" s="10">
        <v>0.32029999999999997</v>
      </c>
      <c r="D678" s="5">
        <v>60</v>
      </c>
      <c r="E678" s="10">
        <v>0.1278</v>
      </c>
      <c r="F678" s="5">
        <v>6180</v>
      </c>
      <c r="G678" s="5">
        <v>330</v>
      </c>
      <c r="I678" s="40">
        <f t="shared" si="25"/>
        <v>6180</v>
      </c>
      <c r="J678" s="40">
        <f t="shared" si="26"/>
        <v>330</v>
      </c>
      <c r="K678" s="1">
        <v>6180</v>
      </c>
      <c r="L678" s="1">
        <v>330</v>
      </c>
      <c r="M678">
        <f t="shared" si="27"/>
        <v>0</v>
      </c>
      <c r="N678" s="1">
        <v>0.32</v>
      </c>
      <c r="O678" s="1">
        <v>60</v>
      </c>
      <c r="P678" s="24">
        <v>0.1278</v>
      </c>
      <c r="Q678" s="31">
        <f>C678-N678</f>
        <v>2.9999999999996696E-4</v>
      </c>
      <c r="R678" s="41">
        <f>D678-O678</f>
        <v>0</v>
      </c>
      <c r="S678" s="41">
        <f>E678-P678</f>
        <v>0</v>
      </c>
    </row>
    <row r="679" spans="1:19" x14ac:dyDescent="0.15">
      <c r="A679" s="1">
        <v>6</v>
      </c>
      <c r="B679" s="1">
        <v>12</v>
      </c>
      <c r="C679" s="10">
        <v>0.32029999999999997</v>
      </c>
      <c r="D679" s="5">
        <v>60</v>
      </c>
      <c r="E679" s="10">
        <v>0.1328</v>
      </c>
      <c r="F679" s="5">
        <v>5680</v>
      </c>
      <c r="G679" s="5">
        <v>320</v>
      </c>
      <c r="I679" s="40">
        <f t="shared" si="25"/>
        <v>5680</v>
      </c>
      <c r="J679" s="40">
        <f t="shared" si="26"/>
        <v>320</v>
      </c>
      <c r="K679" s="1">
        <v>5680</v>
      </c>
      <c r="L679" s="1">
        <v>320</v>
      </c>
      <c r="M679">
        <f t="shared" si="27"/>
        <v>0</v>
      </c>
      <c r="N679" s="1">
        <v>0.32</v>
      </c>
      <c r="O679" s="1">
        <v>60</v>
      </c>
      <c r="P679" s="24">
        <v>0.1328</v>
      </c>
      <c r="Q679" s="31">
        <f>C679-N679</f>
        <v>2.9999999999996696E-4</v>
      </c>
      <c r="R679" s="41">
        <f>D679-O679</f>
        <v>0</v>
      </c>
      <c r="S679" s="41">
        <f>E679-P679</f>
        <v>0</v>
      </c>
    </row>
    <row r="680" spans="1:19" x14ac:dyDescent="0.15">
      <c r="A680" s="1">
        <v>6</v>
      </c>
      <c r="B680" s="1">
        <v>12</v>
      </c>
      <c r="C680" s="10">
        <v>0.32029999999999997</v>
      </c>
      <c r="D680" s="5">
        <v>60</v>
      </c>
      <c r="E680" s="10">
        <v>0.13780000000000001</v>
      </c>
      <c r="F680" s="5">
        <v>5260</v>
      </c>
      <c r="G680" s="5">
        <v>320</v>
      </c>
      <c r="I680" s="40">
        <f t="shared" si="25"/>
        <v>5260</v>
      </c>
      <c r="J680" s="40">
        <f t="shared" si="26"/>
        <v>320</v>
      </c>
      <c r="K680" s="1">
        <v>5260</v>
      </c>
      <c r="L680" s="1">
        <v>320</v>
      </c>
      <c r="M680">
        <f t="shared" si="27"/>
        <v>0</v>
      </c>
      <c r="N680" s="1">
        <v>0.32</v>
      </c>
      <c r="O680" s="1">
        <v>60</v>
      </c>
      <c r="P680" s="24">
        <v>0.13780000000000001</v>
      </c>
      <c r="Q680" s="31">
        <f>C680-N680</f>
        <v>2.9999999999996696E-4</v>
      </c>
      <c r="R680" s="41">
        <f>D680-O680</f>
        <v>0</v>
      </c>
      <c r="S680" s="41">
        <f>E680-P680</f>
        <v>0</v>
      </c>
    </row>
    <row r="681" spans="1:19" x14ac:dyDescent="0.15">
      <c r="A681" s="1">
        <v>6</v>
      </c>
      <c r="B681" s="1">
        <v>12</v>
      </c>
      <c r="C681" s="10">
        <v>0.32029999999999997</v>
      </c>
      <c r="D681" s="5">
        <v>60</v>
      </c>
      <c r="E681" s="10">
        <v>0.14280000000000001</v>
      </c>
      <c r="F681" s="5">
        <v>4600</v>
      </c>
      <c r="G681" s="5">
        <v>320</v>
      </c>
      <c r="I681" s="40">
        <f t="shared" si="25"/>
        <v>4600</v>
      </c>
      <c r="J681" s="40">
        <f t="shared" si="26"/>
        <v>320</v>
      </c>
      <c r="K681" s="1">
        <v>4600</v>
      </c>
      <c r="L681" s="1">
        <v>320</v>
      </c>
      <c r="M681">
        <f t="shared" si="27"/>
        <v>0</v>
      </c>
      <c r="N681" s="1">
        <v>0.32</v>
      </c>
      <c r="O681" s="1">
        <v>60</v>
      </c>
      <c r="P681" s="24">
        <v>0.14280000000000001</v>
      </c>
      <c r="Q681" s="31">
        <f>C681-N681</f>
        <v>2.9999999999996696E-4</v>
      </c>
      <c r="R681" s="41">
        <f>D681-O681</f>
        <v>0</v>
      </c>
      <c r="S681" s="41">
        <f>E681-P681</f>
        <v>0</v>
      </c>
    </row>
    <row r="682" spans="1:19" x14ac:dyDescent="0.15">
      <c r="A682" s="1">
        <v>6</v>
      </c>
      <c r="B682" s="1">
        <v>12</v>
      </c>
      <c r="C682" s="10">
        <v>0.32029999999999997</v>
      </c>
      <c r="D682" s="5">
        <v>60</v>
      </c>
      <c r="E682" s="10">
        <v>0.14780000000000001</v>
      </c>
      <c r="F682" s="5">
        <v>4180</v>
      </c>
      <c r="G682" s="5">
        <v>330</v>
      </c>
      <c r="I682" s="40">
        <f t="shared" si="25"/>
        <v>4180</v>
      </c>
      <c r="J682" s="40">
        <f t="shared" si="26"/>
        <v>330</v>
      </c>
      <c r="K682" s="1">
        <v>4180</v>
      </c>
      <c r="L682" s="1">
        <v>330</v>
      </c>
      <c r="M682">
        <f t="shared" si="27"/>
        <v>0</v>
      </c>
      <c r="N682" s="1">
        <v>0.32</v>
      </c>
      <c r="O682" s="1">
        <v>60</v>
      </c>
      <c r="P682" s="24">
        <v>0.14779999999999999</v>
      </c>
      <c r="Q682" s="31">
        <f>C682-N682</f>
        <v>2.9999999999996696E-4</v>
      </c>
      <c r="R682" s="41">
        <f>D682-O682</f>
        <v>0</v>
      </c>
      <c r="S682" s="41">
        <f>E682-P682</f>
        <v>0</v>
      </c>
    </row>
    <row r="683" spans="1:19" x14ac:dyDescent="0.15">
      <c r="A683" s="1">
        <v>6</v>
      </c>
      <c r="B683" s="1">
        <v>12</v>
      </c>
      <c r="C683" s="10">
        <v>0.32029999999999997</v>
      </c>
      <c r="D683" s="5">
        <v>60</v>
      </c>
      <c r="E683" s="10">
        <v>0.15280000000000002</v>
      </c>
      <c r="F683" s="5">
        <v>3810</v>
      </c>
      <c r="G683" s="5">
        <v>340</v>
      </c>
      <c r="I683" s="40">
        <f t="shared" si="25"/>
        <v>3810</v>
      </c>
      <c r="J683" s="40">
        <f t="shared" si="26"/>
        <v>340</v>
      </c>
      <c r="K683" s="1">
        <v>3810</v>
      </c>
      <c r="L683" s="1">
        <v>340</v>
      </c>
      <c r="M683">
        <f t="shared" si="27"/>
        <v>0</v>
      </c>
      <c r="N683" s="1">
        <v>0.32</v>
      </c>
      <c r="O683" s="1">
        <v>60</v>
      </c>
      <c r="P683" s="24">
        <v>0.15279999999999999</v>
      </c>
      <c r="Q683" s="31">
        <f>C683-N683</f>
        <v>2.9999999999996696E-4</v>
      </c>
      <c r="R683" s="41">
        <f>D683-O683</f>
        <v>0</v>
      </c>
      <c r="S683" s="41">
        <f>E683-P683</f>
        <v>0</v>
      </c>
    </row>
    <row r="684" spans="1:19" x14ac:dyDescent="0.15">
      <c r="A684" s="1">
        <v>6</v>
      </c>
      <c r="B684" s="1">
        <v>12</v>
      </c>
      <c r="C684" s="10">
        <v>0.32029999999999997</v>
      </c>
      <c r="D684" s="5">
        <v>60</v>
      </c>
      <c r="E684" s="10">
        <v>0.15780000000000002</v>
      </c>
      <c r="F684" s="5">
        <v>3390</v>
      </c>
      <c r="G684" s="5">
        <v>350</v>
      </c>
      <c r="I684" s="40">
        <f t="shared" si="25"/>
        <v>3390</v>
      </c>
      <c r="J684" s="40">
        <f t="shared" si="26"/>
        <v>350</v>
      </c>
      <c r="K684" s="1">
        <v>3390</v>
      </c>
      <c r="L684" s="1">
        <v>350</v>
      </c>
      <c r="M684">
        <f t="shared" si="27"/>
        <v>0</v>
      </c>
      <c r="N684" s="1">
        <v>0.32</v>
      </c>
      <c r="O684" s="1">
        <v>60</v>
      </c>
      <c r="P684" s="24">
        <v>0.1578</v>
      </c>
      <c r="Q684" s="31">
        <f>C684-N684</f>
        <v>2.9999999999996696E-4</v>
      </c>
      <c r="R684" s="41">
        <f>D684-O684</f>
        <v>0</v>
      </c>
      <c r="S684" s="41">
        <f>E684-P684</f>
        <v>0</v>
      </c>
    </row>
    <row r="685" spans="1:19" x14ac:dyDescent="0.15">
      <c r="A685" s="1">
        <v>6</v>
      </c>
      <c r="B685" s="1">
        <v>12</v>
      </c>
      <c r="C685" s="10">
        <v>0.32029999999999997</v>
      </c>
      <c r="D685" s="5">
        <v>60</v>
      </c>
      <c r="E685" s="10">
        <v>0.1628</v>
      </c>
      <c r="F685" s="5">
        <v>3050</v>
      </c>
      <c r="G685" s="5">
        <v>360</v>
      </c>
      <c r="I685" s="40">
        <f t="shared" si="25"/>
        <v>3050</v>
      </c>
      <c r="J685" s="40">
        <f t="shared" si="26"/>
        <v>360</v>
      </c>
      <c r="K685" s="1">
        <v>3050</v>
      </c>
      <c r="L685" s="1">
        <v>360</v>
      </c>
      <c r="M685">
        <f t="shared" si="27"/>
        <v>0</v>
      </c>
      <c r="N685" s="1">
        <v>0.32</v>
      </c>
      <c r="O685" s="1">
        <v>60</v>
      </c>
      <c r="P685" s="24">
        <v>0.1628</v>
      </c>
      <c r="Q685" s="31">
        <f>C685-N685</f>
        <v>2.9999999999996696E-4</v>
      </c>
      <c r="R685" s="41">
        <f>D685-O685</f>
        <v>0</v>
      </c>
      <c r="S685" s="41">
        <f>E685-P685</f>
        <v>0</v>
      </c>
    </row>
    <row r="686" spans="1:19" x14ac:dyDescent="0.15">
      <c r="A686" s="1">
        <v>6</v>
      </c>
      <c r="B686" s="1">
        <v>12</v>
      </c>
      <c r="C686" s="10">
        <v>0.32029999999999997</v>
      </c>
      <c r="D686" s="5">
        <v>60</v>
      </c>
      <c r="E686" s="10">
        <v>0.1678</v>
      </c>
      <c r="F686" s="5">
        <v>2860</v>
      </c>
      <c r="G686" s="5">
        <v>390</v>
      </c>
      <c r="I686" s="40">
        <f t="shared" si="25"/>
        <v>2860</v>
      </c>
      <c r="J686" s="40">
        <f t="shared" si="26"/>
        <v>390</v>
      </c>
      <c r="K686" s="1">
        <v>2860</v>
      </c>
      <c r="L686" s="1">
        <v>390</v>
      </c>
      <c r="M686">
        <f t="shared" si="27"/>
        <v>0</v>
      </c>
      <c r="N686" s="1">
        <v>0.32</v>
      </c>
      <c r="O686" s="1">
        <v>60</v>
      </c>
      <c r="P686" s="24">
        <v>0.1678</v>
      </c>
      <c r="Q686" s="31">
        <f>C686-N686</f>
        <v>2.9999999999996696E-4</v>
      </c>
      <c r="R686" s="41">
        <f>D686-O686</f>
        <v>0</v>
      </c>
      <c r="S686" s="41">
        <f>E686-P686</f>
        <v>0</v>
      </c>
    </row>
    <row r="687" spans="1:19" x14ac:dyDescent="0.15">
      <c r="A687" s="12">
        <v>6</v>
      </c>
      <c r="B687" s="12">
        <v>12</v>
      </c>
      <c r="C687" s="13">
        <v>0.28029999999999999</v>
      </c>
      <c r="D687" s="14">
        <v>60</v>
      </c>
      <c r="E687" s="13">
        <v>2.8E-3</v>
      </c>
      <c r="F687" s="14">
        <v>48190</v>
      </c>
      <c r="G687" s="14">
        <v>1180</v>
      </c>
      <c r="I687" s="40">
        <f t="shared" si="25"/>
        <v>48190</v>
      </c>
      <c r="J687" s="40">
        <f t="shared" si="26"/>
        <v>1180</v>
      </c>
      <c r="K687" s="12">
        <v>48190</v>
      </c>
      <c r="L687" s="12">
        <v>1180</v>
      </c>
      <c r="M687">
        <f t="shared" si="27"/>
        <v>0</v>
      </c>
      <c r="N687" s="12">
        <v>0.28000000000000003</v>
      </c>
      <c r="O687" s="12">
        <v>60</v>
      </c>
      <c r="P687" s="24">
        <v>2.8E-3</v>
      </c>
      <c r="Q687" s="31">
        <f>C687-N687</f>
        <v>2.9999999999996696E-4</v>
      </c>
      <c r="R687" s="41">
        <f>D687-O687</f>
        <v>0</v>
      </c>
      <c r="S687" s="41">
        <f>E687-P687</f>
        <v>0</v>
      </c>
    </row>
    <row r="688" spans="1:19" x14ac:dyDescent="0.15">
      <c r="A688" s="1">
        <v>6</v>
      </c>
      <c r="B688" s="1">
        <v>12</v>
      </c>
      <c r="C688" s="10">
        <v>0.28029999999999999</v>
      </c>
      <c r="D688" s="5">
        <v>60</v>
      </c>
      <c r="E688" s="10">
        <v>7.7999999999999996E-3</v>
      </c>
      <c r="F688" s="5">
        <v>56900</v>
      </c>
      <c r="G688" s="5">
        <v>1650</v>
      </c>
      <c r="I688" s="40">
        <f t="shared" si="25"/>
        <v>56900</v>
      </c>
      <c r="J688" s="40">
        <f t="shared" si="26"/>
        <v>1650</v>
      </c>
      <c r="K688" s="1">
        <v>56900</v>
      </c>
      <c r="L688" s="1">
        <v>1650</v>
      </c>
      <c r="M688">
        <f t="shared" si="27"/>
        <v>0</v>
      </c>
      <c r="N688" s="1">
        <v>0.28000000000000003</v>
      </c>
      <c r="O688" s="1">
        <v>60</v>
      </c>
      <c r="P688" s="24">
        <v>7.7999999999999996E-3</v>
      </c>
      <c r="Q688" s="31">
        <f>C688-N688</f>
        <v>2.9999999999996696E-4</v>
      </c>
      <c r="R688" s="41">
        <f>D688-O688</f>
        <v>0</v>
      </c>
      <c r="S688" s="41">
        <f>E688-P688</f>
        <v>0</v>
      </c>
    </row>
    <row r="689" spans="1:23" x14ac:dyDescent="0.15">
      <c r="A689" s="1">
        <v>6</v>
      </c>
      <c r="B689" s="1">
        <v>12</v>
      </c>
      <c r="C689" s="10">
        <v>0.28029999999999999</v>
      </c>
      <c r="D689" s="5">
        <v>60</v>
      </c>
      <c r="E689" s="10">
        <v>1.2800000000000001E-2</v>
      </c>
      <c r="F689" s="5">
        <v>36920</v>
      </c>
      <c r="G689" s="5">
        <v>810</v>
      </c>
      <c r="I689" s="40">
        <f t="shared" si="25"/>
        <v>36920</v>
      </c>
      <c r="J689" s="40">
        <f t="shared" si="26"/>
        <v>810</v>
      </c>
      <c r="K689" s="1">
        <v>39620</v>
      </c>
      <c r="L689" s="1">
        <v>810</v>
      </c>
      <c r="M689">
        <f t="shared" si="27"/>
        <v>-2700</v>
      </c>
      <c r="N689" s="1">
        <v>0.28000000000000003</v>
      </c>
      <c r="O689" s="1">
        <v>60</v>
      </c>
      <c r="P689" s="24">
        <v>1.2800000000000001E-2</v>
      </c>
      <c r="Q689" s="31">
        <f>C689-N689</f>
        <v>2.9999999999996696E-4</v>
      </c>
      <c r="R689" s="41">
        <f>D689-O689</f>
        <v>0</v>
      </c>
      <c r="S689" s="41">
        <f>E689-P689</f>
        <v>0</v>
      </c>
    </row>
    <row r="690" spans="1:23" x14ac:dyDescent="0.15">
      <c r="A690" s="1">
        <v>6</v>
      </c>
      <c r="B690" s="1">
        <v>12</v>
      </c>
      <c r="C690" s="10">
        <v>0.28029999999999999</v>
      </c>
      <c r="D690" s="5">
        <v>60</v>
      </c>
      <c r="E690" s="10">
        <v>1.78E-2</v>
      </c>
      <c r="F690" s="5">
        <v>21640</v>
      </c>
      <c r="G690" s="5">
        <v>530</v>
      </c>
      <c r="I690" s="40">
        <f t="shared" si="25"/>
        <v>21640</v>
      </c>
      <c r="J690" s="40">
        <f t="shared" si="26"/>
        <v>530</v>
      </c>
      <c r="K690" s="1">
        <v>21640</v>
      </c>
      <c r="L690" s="1">
        <v>530</v>
      </c>
      <c r="M690">
        <f t="shared" si="27"/>
        <v>0</v>
      </c>
      <c r="N690" s="1">
        <v>0.28000000000000003</v>
      </c>
      <c r="O690" s="1">
        <v>60</v>
      </c>
      <c r="P690" s="24">
        <v>1.78E-2</v>
      </c>
      <c r="Q690" s="31">
        <f>C690-N690</f>
        <v>2.9999999999996696E-4</v>
      </c>
      <c r="R690" s="41">
        <f>D690-O690</f>
        <v>0</v>
      </c>
      <c r="S690" s="41">
        <f>E690-P690</f>
        <v>0</v>
      </c>
    </row>
    <row r="691" spans="1:23" x14ac:dyDescent="0.15">
      <c r="A691" s="1">
        <v>6</v>
      </c>
      <c r="B691" s="1">
        <v>12</v>
      </c>
      <c r="C691" s="10">
        <v>0.28029999999999999</v>
      </c>
      <c r="D691" s="5">
        <v>60</v>
      </c>
      <c r="E691" s="10">
        <v>2.2800000000000001E-2</v>
      </c>
      <c r="F691" s="5">
        <v>26140</v>
      </c>
      <c r="G691" s="5">
        <v>580</v>
      </c>
      <c r="I691" s="40">
        <f t="shared" si="25"/>
        <v>26140</v>
      </c>
      <c r="J691" s="40">
        <f t="shared" si="26"/>
        <v>580</v>
      </c>
      <c r="K691" s="1">
        <v>26140</v>
      </c>
      <c r="L691" s="1">
        <v>580</v>
      </c>
      <c r="M691">
        <f t="shared" si="27"/>
        <v>0</v>
      </c>
      <c r="N691" s="1">
        <v>0.28000000000000003</v>
      </c>
      <c r="O691" s="1">
        <v>60</v>
      </c>
      <c r="P691" s="24">
        <v>2.2800000000000001E-2</v>
      </c>
      <c r="Q691" s="31">
        <f>C691-N691</f>
        <v>2.9999999999996696E-4</v>
      </c>
      <c r="R691" s="41">
        <f>D691-O691</f>
        <v>0</v>
      </c>
      <c r="S691" s="41">
        <f>E691-P691</f>
        <v>0</v>
      </c>
    </row>
    <row r="692" spans="1:23" x14ac:dyDescent="0.15">
      <c r="A692" s="1">
        <v>6</v>
      </c>
      <c r="B692" s="1">
        <v>12</v>
      </c>
      <c r="C692" s="10">
        <v>0.28029999999999999</v>
      </c>
      <c r="D692" s="5">
        <v>60</v>
      </c>
      <c r="E692" s="10">
        <v>2.7800000000000002E-2</v>
      </c>
      <c r="F692" s="5">
        <v>26300</v>
      </c>
      <c r="G692" s="5">
        <v>570</v>
      </c>
      <c r="I692" s="40">
        <f t="shared" si="25"/>
        <v>26300</v>
      </c>
      <c r="J692" s="40">
        <f t="shared" si="26"/>
        <v>570</v>
      </c>
      <c r="K692" s="1">
        <v>26300</v>
      </c>
      <c r="L692" s="1">
        <v>570</v>
      </c>
      <c r="M692">
        <f t="shared" si="27"/>
        <v>0</v>
      </c>
      <c r="N692" s="1">
        <v>0.28000000000000003</v>
      </c>
      <c r="O692" s="1">
        <v>60</v>
      </c>
      <c r="P692" s="24">
        <v>2.7799999999999998E-2</v>
      </c>
      <c r="Q692" s="31">
        <f>C692-N692</f>
        <v>2.9999999999996696E-4</v>
      </c>
      <c r="R692" s="41">
        <f>D692-O692</f>
        <v>0</v>
      </c>
      <c r="S692" s="41">
        <f>E692-P692</f>
        <v>0</v>
      </c>
    </row>
    <row r="693" spans="1:23" x14ac:dyDescent="0.15">
      <c r="A693" s="1">
        <v>6</v>
      </c>
      <c r="B693" s="1">
        <v>12</v>
      </c>
      <c r="C693" s="10">
        <v>0.28029999999999999</v>
      </c>
      <c r="D693" s="5">
        <v>60</v>
      </c>
      <c r="E693" s="10">
        <v>3.2799999999999996E-2</v>
      </c>
      <c r="F693" s="5">
        <v>31910</v>
      </c>
      <c r="G693" s="5">
        <v>650</v>
      </c>
      <c r="I693" s="40">
        <f t="shared" si="25"/>
        <v>31910</v>
      </c>
      <c r="J693" s="40">
        <f t="shared" si="26"/>
        <v>650</v>
      </c>
      <c r="K693" s="1">
        <v>31910</v>
      </c>
      <c r="L693" s="1">
        <v>650</v>
      </c>
      <c r="M693">
        <f t="shared" si="27"/>
        <v>0</v>
      </c>
      <c r="N693" s="1">
        <v>0.28000000000000003</v>
      </c>
      <c r="O693" s="1">
        <v>60</v>
      </c>
      <c r="P693" s="24">
        <v>3.2800000000000003E-2</v>
      </c>
      <c r="Q693" s="31">
        <f>C693-N693</f>
        <v>2.9999999999996696E-4</v>
      </c>
      <c r="R693" s="41">
        <f>D693-O693</f>
        <v>0</v>
      </c>
      <c r="S693" s="41">
        <f>E693-P693</f>
        <v>0</v>
      </c>
    </row>
    <row r="694" spans="1:23" x14ac:dyDescent="0.15">
      <c r="A694" s="1">
        <v>6</v>
      </c>
      <c r="B694" s="1">
        <v>12</v>
      </c>
      <c r="C694" s="10">
        <v>0.28029999999999999</v>
      </c>
      <c r="D694" s="5">
        <v>60</v>
      </c>
      <c r="E694" s="10">
        <v>3.78E-2</v>
      </c>
      <c r="F694" s="5">
        <v>34420</v>
      </c>
      <c r="G694" s="5">
        <v>710</v>
      </c>
      <c r="I694" s="40">
        <f t="shared" si="25"/>
        <v>34420</v>
      </c>
      <c r="J694" s="40">
        <f t="shared" si="26"/>
        <v>710</v>
      </c>
      <c r="K694" s="1">
        <v>34420</v>
      </c>
      <c r="L694" s="1">
        <v>710</v>
      </c>
      <c r="M694">
        <f t="shared" si="27"/>
        <v>0</v>
      </c>
      <c r="N694" s="1">
        <v>0.28000000000000003</v>
      </c>
      <c r="O694" s="1">
        <v>60</v>
      </c>
      <c r="P694" s="24">
        <v>3.78E-2</v>
      </c>
      <c r="Q694" s="31">
        <f>C694-N694</f>
        <v>2.9999999999996696E-4</v>
      </c>
      <c r="R694" s="41">
        <f>D694-O694</f>
        <v>0</v>
      </c>
      <c r="S694" s="41">
        <f>E694-P694</f>
        <v>0</v>
      </c>
    </row>
    <row r="695" spans="1:23" x14ac:dyDescent="0.15">
      <c r="A695" s="1">
        <v>6</v>
      </c>
      <c r="B695" s="1">
        <v>12</v>
      </c>
      <c r="C695" s="10">
        <v>0.28029999999999999</v>
      </c>
      <c r="D695" s="5">
        <v>60</v>
      </c>
      <c r="E695" s="10">
        <v>4.2799999999999998E-2</v>
      </c>
      <c r="F695" s="5">
        <v>36160</v>
      </c>
      <c r="G695" s="5">
        <v>740</v>
      </c>
      <c r="I695" s="40">
        <f t="shared" si="25"/>
        <v>36160</v>
      </c>
      <c r="J695" s="40">
        <f t="shared" si="26"/>
        <v>740</v>
      </c>
      <c r="K695" s="1">
        <v>36160</v>
      </c>
      <c r="L695" s="1">
        <v>740</v>
      </c>
      <c r="M695">
        <f t="shared" si="27"/>
        <v>0</v>
      </c>
      <c r="N695" s="1">
        <v>0.28000000000000003</v>
      </c>
      <c r="O695" s="1">
        <v>60</v>
      </c>
      <c r="P695" s="24">
        <v>4.2799999999999998E-2</v>
      </c>
      <c r="Q695" s="31">
        <f>C695-N695</f>
        <v>2.9999999999996696E-4</v>
      </c>
      <c r="R695" s="41">
        <f>D695-O695</f>
        <v>0</v>
      </c>
      <c r="S695" s="41">
        <f>E695-P695</f>
        <v>0</v>
      </c>
    </row>
    <row r="696" spans="1:23" x14ac:dyDescent="0.15">
      <c r="A696" s="1">
        <v>6</v>
      </c>
      <c r="B696" s="1">
        <v>12</v>
      </c>
      <c r="C696" s="10">
        <v>0.28029999999999999</v>
      </c>
      <c r="D696" s="5">
        <v>60</v>
      </c>
      <c r="E696" s="10">
        <v>4.7799999999999995E-2</v>
      </c>
      <c r="F696" s="5">
        <v>38100</v>
      </c>
      <c r="G696" s="5">
        <v>790</v>
      </c>
      <c r="I696" s="40">
        <f t="shared" si="25"/>
        <v>38100</v>
      </c>
      <c r="J696" s="40">
        <f t="shared" si="26"/>
        <v>790</v>
      </c>
      <c r="K696" s="1">
        <v>38100</v>
      </c>
      <c r="L696" s="1">
        <v>790</v>
      </c>
      <c r="M696">
        <f t="shared" si="27"/>
        <v>0</v>
      </c>
      <c r="N696" s="1">
        <v>0.28000000000000003</v>
      </c>
      <c r="O696" s="1">
        <v>60</v>
      </c>
      <c r="P696" s="24">
        <v>4.7800000000000002E-2</v>
      </c>
      <c r="Q696" s="31">
        <f>C696-N696</f>
        <v>2.9999999999996696E-4</v>
      </c>
      <c r="R696" s="41">
        <f>D696-O696</f>
        <v>0</v>
      </c>
      <c r="S696" s="41">
        <f>E696-P696</f>
        <v>0</v>
      </c>
    </row>
    <row r="697" spans="1:23" s="15" customFormat="1" x14ac:dyDescent="0.15">
      <c r="A697" s="1">
        <v>6</v>
      </c>
      <c r="B697" s="1">
        <v>12</v>
      </c>
      <c r="C697" s="10">
        <v>0.28029999999999999</v>
      </c>
      <c r="D697" s="5">
        <v>60</v>
      </c>
      <c r="E697" s="10">
        <v>5.28E-2</v>
      </c>
      <c r="F697" s="5">
        <v>38150</v>
      </c>
      <c r="G697" s="5">
        <v>810</v>
      </c>
      <c r="H697" s="12"/>
      <c r="I697" s="40">
        <f t="shared" ref="I697:I760" si="28">F697</f>
        <v>38150</v>
      </c>
      <c r="J697" s="40">
        <f t="shared" ref="J697:J760" si="29">G697</f>
        <v>810</v>
      </c>
      <c r="K697" s="1">
        <v>38150</v>
      </c>
      <c r="L697" s="1">
        <v>810</v>
      </c>
      <c r="M697">
        <f t="shared" si="27"/>
        <v>0</v>
      </c>
      <c r="N697" s="1">
        <v>0.28000000000000003</v>
      </c>
      <c r="O697" s="1">
        <v>60</v>
      </c>
      <c r="P697" s="24">
        <v>5.28E-2</v>
      </c>
      <c r="Q697" s="31">
        <f>C697-N697</f>
        <v>2.9999999999996696E-4</v>
      </c>
      <c r="R697" s="41">
        <f>D697-O697</f>
        <v>0</v>
      </c>
      <c r="S697" s="41">
        <f>E697-P697</f>
        <v>0</v>
      </c>
      <c r="U697" s="12"/>
      <c r="V697" s="12"/>
      <c r="W697" s="12"/>
    </row>
    <row r="698" spans="1:23" x14ac:dyDescent="0.15">
      <c r="A698" s="1">
        <v>6</v>
      </c>
      <c r="B698" s="1">
        <v>12</v>
      </c>
      <c r="C698" s="10">
        <v>0.28029999999999999</v>
      </c>
      <c r="D698" s="5">
        <v>60</v>
      </c>
      <c r="E698" s="10">
        <v>5.7799999999999997E-2</v>
      </c>
      <c r="F698" s="5">
        <v>36760</v>
      </c>
      <c r="G698" s="5">
        <v>810</v>
      </c>
      <c r="I698" s="40">
        <f t="shared" si="28"/>
        <v>36760</v>
      </c>
      <c r="J698" s="40">
        <f t="shared" si="29"/>
        <v>810</v>
      </c>
      <c r="K698" s="1">
        <v>36760</v>
      </c>
      <c r="L698" s="1">
        <v>810</v>
      </c>
      <c r="M698">
        <f t="shared" si="27"/>
        <v>0</v>
      </c>
      <c r="N698" s="1">
        <v>0.28000000000000003</v>
      </c>
      <c r="O698" s="1">
        <v>60</v>
      </c>
      <c r="P698" s="24">
        <v>5.7799999999999997E-2</v>
      </c>
      <c r="Q698" s="31">
        <f>C698-N698</f>
        <v>2.9999999999996696E-4</v>
      </c>
      <c r="R698" s="41">
        <f>D698-O698</f>
        <v>0</v>
      </c>
      <c r="S698" s="41">
        <f>E698-P698</f>
        <v>0</v>
      </c>
    </row>
    <row r="699" spans="1:23" x14ac:dyDescent="0.15">
      <c r="A699" s="1">
        <v>6</v>
      </c>
      <c r="B699" s="1">
        <v>12</v>
      </c>
      <c r="C699" s="10">
        <v>0.28029999999999999</v>
      </c>
      <c r="D699" s="5">
        <v>60</v>
      </c>
      <c r="E699" s="10">
        <v>6.2799999999999995E-2</v>
      </c>
      <c r="F699" s="5">
        <v>34670</v>
      </c>
      <c r="G699" s="5">
        <v>800</v>
      </c>
      <c r="I699" s="40">
        <f t="shared" si="28"/>
        <v>34670</v>
      </c>
      <c r="J699" s="40">
        <f t="shared" si="29"/>
        <v>800</v>
      </c>
      <c r="K699" s="1">
        <v>34670</v>
      </c>
      <c r="L699" s="1">
        <v>800</v>
      </c>
      <c r="M699">
        <f t="shared" si="27"/>
        <v>0</v>
      </c>
      <c r="N699" s="1">
        <v>0.28000000000000003</v>
      </c>
      <c r="O699" s="1">
        <v>60</v>
      </c>
      <c r="P699" s="24">
        <v>6.2799999999999995E-2</v>
      </c>
      <c r="Q699" s="31">
        <f>C699-N699</f>
        <v>2.9999999999996696E-4</v>
      </c>
      <c r="R699" s="41">
        <f>D699-O699</f>
        <v>0</v>
      </c>
      <c r="S699" s="41">
        <f>E699-P699</f>
        <v>0</v>
      </c>
    </row>
    <row r="700" spans="1:23" x14ac:dyDescent="0.15">
      <c r="A700" s="1">
        <v>6</v>
      </c>
      <c r="B700" s="1">
        <v>12</v>
      </c>
      <c r="C700" s="10">
        <v>0.28029999999999999</v>
      </c>
      <c r="D700" s="5">
        <v>60</v>
      </c>
      <c r="E700" s="10">
        <v>6.7799999999999999E-2</v>
      </c>
      <c r="F700" s="5">
        <v>31680</v>
      </c>
      <c r="G700" s="5">
        <v>780</v>
      </c>
      <c r="I700" s="40">
        <f t="shared" si="28"/>
        <v>31680</v>
      </c>
      <c r="J700" s="40">
        <f t="shared" si="29"/>
        <v>780</v>
      </c>
      <c r="K700" s="1">
        <v>31680</v>
      </c>
      <c r="L700" s="1">
        <v>780</v>
      </c>
      <c r="M700">
        <f t="shared" si="27"/>
        <v>0</v>
      </c>
      <c r="N700" s="1">
        <v>0.28000000000000003</v>
      </c>
      <c r="O700" s="1">
        <v>60</v>
      </c>
      <c r="P700" s="24">
        <v>6.7799999999999999E-2</v>
      </c>
      <c r="Q700" s="31">
        <f>C700-N700</f>
        <v>2.9999999999996696E-4</v>
      </c>
      <c r="R700" s="41">
        <f>D700-O700</f>
        <v>0</v>
      </c>
      <c r="S700" s="41">
        <f>E700-P700</f>
        <v>0</v>
      </c>
    </row>
    <row r="701" spans="1:23" x14ac:dyDescent="0.15">
      <c r="A701" s="1">
        <v>6</v>
      </c>
      <c r="B701" s="1">
        <v>12</v>
      </c>
      <c r="C701" s="10">
        <v>0.28029999999999999</v>
      </c>
      <c r="D701" s="5">
        <v>60</v>
      </c>
      <c r="E701" s="10">
        <v>7.2800000000000004E-2</v>
      </c>
      <c r="F701" s="5">
        <v>28410</v>
      </c>
      <c r="G701" s="5">
        <v>740</v>
      </c>
      <c r="I701" s="40">
        <f t="shared" si="28"/>
        <v>28410</v>
      </c>
      <c r="J701" s="40">
        <f t="shared" si="29"/>
        <v>740</v>
      </c>
      <c r="K701" s="1">
        <v>28410</v>
      </c>
      <c r="L701" s="1">
        <v>740</v>
      </c>
      <c r="M701">
        <f t="shared" si="27"/>
        <v>0</v>
      </c>
      <c r="N701" s="1">
        <v>0.28000000000000003</v>
      </c>
      <c r="O701" s="1">
        <v>60</v>
      </c>
      <c r="P701" s="24">
        <v>7.2800000000000004E-2</v>
      </c>
      <c r="Q701" s="31">
        <f>C701-N701</f>
        <v>2.9999999999996696E-4</v>
      </c>
      <c r="R701" s="41">
        <f>D701-O701</f>
        <v>0</v>
      </c>
      <c r="S701" s="41">
        <f>E701-P701</f>
        <v>0</v>
      </c>
    </row>
    <row r="702" spans="1:23" x14ac:dyDescent="0.15">
      <c r="A702" s="1">
        <v>6</v>
      </c>
      <c r="B702" s="1">
        <v>12</v>
      </c>
      <c r="C702" s="10">
        <v>0.28029999999999999</v>
      </c>
      <c r="D702" s="5">
        <v>60</v>
      </c>
      <c r="E702" s="10">
        <v>7.7799999999999994E-2</v>
      </c>
      <c r="F702" s="5">
        <v>24830</v>
      </c>
      <c r="G702" s="5">
        <v>700</v>
      </c>
      <c r="I702" s="40">
        <f t="shared" si="28"/>
        <v>24830</v>
      </c>
      <c r="J702" s="40">
        <f t="shared" si="29"/>
        <v>700</v>
      </c>
      <c r="K702" s="1">
        <v>24830</v>
      </c>
      <c r="L702" s="1">
        <v>700</v>
      </c>
      <c r="M702">
        <f t="shared" si="27"/>
        <v>0</v>
      </c>
      <c r="N702" s="1">
        <v>0.28000000000000003</v>
      </c>
      <c r="O702" s="1">
        <v>60</v>
      </c>
      <c r="P702" s="24">
        <v>7.7799999999999994E-2</v>
      </c>
      <c r="Q702" s="31">
        <f>C702-N702</f>
        <v>2.9999999999996696E-4</v>
      </c>
      <c r="R702" s="41">
        <f>D702-O702</f>
        <v>0</v>
      </c>
      <c r="S702" s="41">
        <f>E702-P702</f>
        <v>0</v>
      </c>
    </row>
    <row r="703" spans="1:23" x14ac:dyDescent="0.15">
      <c r="A703" s="1">
        <v>6</v>
      </c>
      <c r="B703" s="1">
        <v>12</v>
      </c>
      <c r="C703" s="10">
        <v>0.28029999999999999</v>
      </c>
      <c r="D703" s="5">
        <v>60</v>
      </c>
      <c r="E703" s="10">
        <v>8.2799999999999999E-2</v>
      </c>
      <c r="F703" s="5">
        <v>21360</v>
      </c>
      <c r="G703" s="5">
        <v>660</v>
      </c>
      <c r="I703" s="40">
        <f t="shared" si="28"/>
        <v>21360</v>
      </c>
      <c r="J703" s="40">
        <f t="shared" si="29"/>
        <v>660</v>
      </c>
      <c r="K703" s="1">
        <v>21360</v>
      </c>
      <c r="L703" s="1">
        <v>660</v>
      </c>
      <c r="M703">
        <f t="shared" si="27"/>
        <v>0</v>
      </c>
      <c r="N703" s="1">
        <v>0.28000000000000003</v>
      </c>
      <c r="O703" s="1">
        <v>60</v>
      </c>
      <c r="P703" s="24">
        <v>8.2799999999999999E-2</v>
      </c>
      <c r="Q703" s="31">
        <f>C703-N703</f>
        <v>2.9999999999996696E-4</v>
      </c>
      <c r="R703" s="41">
        <f>D703-O703</f>
        <v>0</v>
      </c>
      <c r="S703" s="41">
        <f>E703-P703</f>
        <v>0</v>
      </c>
    </row>
    <row r="704" spans="1:23" x14ac:dyDescent="0.15">
      <c r="A704" s="1">
        <v>6</v>
      </c>
      <c r="B704" s="1">
        <v>12</v>
      </c>
      <c r="C704" s="10">
        <v>0.28029999999999999</v>
      </c>
      <c r="D704" s="5">
        <v>60</v>
      </c>
      <c r="E704" s="10">
        <v>8.7800000000000003E-2</v>
      </c>
      <c r="F704" s="5">
        <v>18460</v>
      </c>
      <c r="G704" s="5">
        <v>630</v>
      </c>
      <c r="I704" s="40">
        <f t="shared" si="28"/>
        <v>18460</v>
      </c>
      <c r="J704" s="40">
        <f t="shared" si="29"/>
        <v>630</v>
      </c>
      <c r="K704" s="1">
        <v>18460</v>
      </c>
      <c r="L704" s="1">
        <v>630</v>
      </c>
      <c r="M704">
        <f t="shared" si="27"/>
        <v>0</v>
      </c>
      <c r="N704" s="1">
        <v>0.28000000000000003</v>
      </c>
      <c r="O704" s="1">
        <v>60</v>
      </c>
      <c r="P704" s="24">
        <v>8.7800000000000003E-2</v>
      </c>
      <c r="Q704" s="31">
        <f>C704-N704</f>
        <v>2.9999999999996696E-4</v>
      </c>
      <c r="R704" s="41">
        <f>D704-O704</f>
        <v>0</v>
      </c>
      <c r="S704" s="41">
        <f>E704-P704</f>
        <v>0</v>
      </c>
    </row>
    <row r="705" spans="1:19" x14ac:dyDescent="0.15">
      <c r="A705" s="1">
        <v>6</v>
      </c>
      <c r="B705" s="1">
        <v>12</v>
      </c>
      <c r="C705" s="10">
        <v>0.28029999999999999</v>
      </c>
      <c r="D705" s="5">
        <v>60</v>
      </c>
      <c r="E705" s="10">
        <v>9.2799999999999994E-2</v>
      </c>
      <c r="F705" s="5">
        <v>15560</v>
      </c>
      <c r="G705" s="5">
        <v>590</v>
      </c>
      <c r="I705" s="40">
        <f t="shared" si="28"/>
        <v>15560</v>
      </c>
      <c r="J705" s="40">
        <f t="shared" si="29"/>
        <v>590</v>
      </c>
      <c r="K705" s="1">
        <v>15560</v>
      </c>
      <c r="L705" s="1">
        <v>590</v>
      </c>
      <c r="M705">
        <f t="shared" si="27"/>
        <v>0</v>
      </c>
      <c r="N705" s="1">
        <v>0.28000000000000003</v>
      </c>
      <c r="O705" s="1">
        <v>60</v>
      </c>
      <c r="P705" s="24">
        <v>9.2799999999999994E-2</v>
      </c>
      <c r="Q705" s="31">
        <f>C705-N705</f>
        <v>2.9999999999996696E-4</v>
      </c>
      <c r="R705" s="41">
        <f>D705-O705</f>
        <v>0</v>
      </c>
      <c r="S705" s="41">
        <f>E705-P705</f>
        <v>0</v>
      </c>
    </row>
    <row r="706" spans="1:19" ht="14" thickBot="1" x14ac:dyDescent="0.2">
      <c r="A706" s="1">
        <v>6</v>
      </c>
      <c r="B706" s="1">
        <v>12</v>
      </c>
      <c r="C706" s="10">
        <v>0.28029999999999999</v>
      </c>
      <c r="D706" s="5">
        <v>60</v>
      </c>
      <c r="E706" s="10">
        <v>9.7799999999999998E-2</v>
      </c>
      <c r="F706" s="5">
        <v>13460</v>
      </c>
      <c r="G706" s="5">
        <v>570</v>
      </c>
      <c r="I706" s="40">
        <f t="shared" si="28"/>
        <v>13460</v>
      </c>
      <c r="J706" s="40">
        <f t="shared" si="29"/>
        <v>570</v>
      </c>
      <c r="K706" s="1">
        <v>13460</v>
      </c>
      <c r="L706" s="1">
        <v>570</v>
      </c>
      <c r="M706">
        <f t="shared" si="27"/>
        <v>0</v>
      </c>
      <c r="N706" s="1">
        <v>0.28000000000000003</v>
      </c>
      <c r="O706" s="1">
        <v>60</v>
      </c>
      <c r="P706" s="44">
        <v>9.7799999999999998E-2</v>
      </c>
      <c r="Q706" s="31">
        <f>C706-N706</f>
        <v>2.9999999999996696E-4</v>
      </c>
      <c r="R706" s="41">
        <f>D706-O706</f>
        <v>0</v>
      </c>
      <c r="S706" s="41">
        <f>E706-P706</f>
        <v>0</v>
      </c>
    </row>
    <row r="707" spans="1:19" ht="14" thickTop="1" x14ac:dyDescent="0.15">
      <c r="A707" s="1">
        <v>6</v>
      </c>
      <c r="B707" s="1">
        <v>12</v>
      </c>
      <c r="C707" s="10">
        <v>0.28029999999999999</v>
      </c>
      <c r="D707" s="5">
        <v>60</v>
      </c>
      <c r="E707" s="10">
        <v>0.1028</v>
      </c>
      <c r="F707" s="5">
        <v>11320</v>
      </c>
      <c r="G707" s="5">
        <v>550</v>
      </c>
      <c r="I707" s="40">
        <f t="shared" si="28"/>
        <v>11320</v>
      </c>
      <c r="J707" s="40">
        <f t="shared" si="29"/>
        <v>550</v>
      </c>
      <c r="K707" s="1">
        <v>11320</v>
      </c>
      <c r="L707" s="1">
        <v>550</v>
      </c>
      <c r="M707">
        <f t="shared" ref="M707:M770" si="30">I707+J707-K707-L707</f>
        <v>0</v>
      </c>
      <c r="N707" s="1">
        <v>0.28000000000000003</v>
      </c>
      <c r="O707" s="1">
        <v>60</v>
      </c>
      <c r="P707" s="24">
        <v>0.1028</v>
      </c>
      <c r="Q707" s="31">
        <f>C707-N707</f>
        <v>2.9999999999996696E-4</v>
      </c>
      <c r="R707" s="41">
        <f>D707-O707</f>
        <v>0</v>
      </c>
      <c r="S707" s="41">
        <f>E707-P707</f>
        <v>0</v>
      </c>
    </row>
    <row r="708" spans="1:19" x14ac:dyDescent="0.15">
      <c r="A708" s="1">
        <v>6</v>
      </c>
      <c r="B708" s="1">
        <v>12</v>
      </c>
      <c r="C708" s="10">
        <v>0.28029999999999999</v>
      </c>
      <c r="D708" s="5">
        <v>60</v>
      </c>
      <c r="E708" s="10">
        <v>0.10779999999999999</v>
      </c>
      <c r="F708" s="5">
        <v>10140</v>
      </c>
      <c r="G708" s="5">
        <v>550</v>
      </c>
      <c r="I708" s="40">
        <f t="shared" si="28"/>
        <v>10140</v>
      </c>
      <c r="J708" s="40">
        <f t="shared" si="29"/>
        <v>550</v>
      </c>
      <c r="K708" s="1">
        <v>10140</v>
      </c>
      <c r="L708" s="1">
        <v>550</v>
      </c>
      <c r="M708">
        <f t="shared" si="30"/>
        <v>0</v>
      </c>
      <c r="N708" s="1">
        <v>0.28000000000000003</v>
      </c>
      <c r="O708" s="1">
        <v>60</v>
      </c>
      <c r="P708" s="24">
        <v>0.10780000000000001</v>
      </c>
      <c r="Q708" s="31">
        <f>C708-N708</f>
        <v>2.9999999999996696E-4</v>
      </c>
      <c r="R708" s="41">
        <f>D708-O708</f>
        <v>0</v>
      </c>
      <c r="S708" s="41">
        <f>E708-P708</f>
        <v>0</v>
      </c>
    </row>
    <row r="709" spans="1:19" x14ac:dyDescent="0.15">
      <c r="A709" s="1">
        <v>6</v>
      </c>
      <c r="B709" s="1">
        <v>12</v>
      </c>
      <c r="C709" s="10">
        <v>0.28029999999999999</v>
      </c>
      <c r="D709" s="5">
        <v>60</v>
      </c>
      <c r="E709" s="10">
        <v>0.1128</v>
      </c>
      <c r="F709" s="5">
        <v>8640</v>
      </c>
      <c r="G709" s="5">
        <v>540</v>
      </c>
      <c r="I709" s="40">
        <f t="shared" si="28"/>
        <v>8640</v>
      </c>
      <c r="J709" s="40">
        <f t="shared" si="29"/>
        <v>540</v>
      </c>
      <c r="K709" s="1">
        <v>8640</v>
      </c>
      <c r="L709" s="1">
        <v>540</v>
      </c>
      <c r="M709">
        <f t="shared" si="30"/>
        <v>0</v>
      </c>
      <c r="N709" s="1">
        <v>0.28000000000000003</v>
      </c>
      <c r="O709" s="1">
        <v>60</v>
      </c>
      <c r="P709" s="24">
        <v>0.1128</v>
      </c>
      <c r="Q709" s="31">
        <f>C709-N709</f>
        <v>2.9999999999996696E-4</v>
      </c>
      <c r="R709" s="41">
        <f>D709-O709</f>
        <v>0</v>
      </c>
      <c r="S709" s="41">
        <f>E709-P709</f>
        <v>0</v>
      </c>
    </row>
    <row r="710" spans="1:19" x14ac:dyDescent="0.15">
      <c r="A710" s="1">
        <v>6</v>
      </c>
      <c r="B710" s="1">
        <v>12</v>
      </c>
      <c r="C710" s="10">
        <v>0.28029999999999999</v>
      </c>
      <c r="D710" s="5">
        <v>60</v>
      </c>
      <c r="E710" s="10">
        <v>0.1178</v>
      </c>
      <c r="F710" s="5">
        <v>7660</v>
      </c>
      <c r="G710" s="5">
        <v>540</v>
      </c>
      <c r="I710" s="40">
        <f t="shared" si="28"/>
        <v>7660</v>
      </c>
      <c r="J710" s="40">
        <f t="shared" si="29"/>
        <v>540</v>
      </c>
      <c r="K710" s="1">
        <v>7660</v>
      </c>
      <c r="L710" s="1">
        <v>540</v>
      </c>
      <c r="M710">
        <f t="shared" si="30"/>
        <v>0</v>
      </c>
      <c r="N710" s="1">
        <v>0.28000000000000003</v>
      </c>
      <c r="O710" s="1">
        <v>60</v>
      </c>
      <c r="P710" s="24">
        <v>0.1178</v>
      </c>
      <c r="Q710" s="31">
        <f>C710-N710</f>
        <v>2.9999999999996696E-4</v>
      </c>
      <c r="R710" s="41">
        <f>D710-O710</f>
        <v>0</v>
      </c>
      <c r="S710" s="41">
        <f>E710-P710</f>
        <v>0</v>
      </c>
    </row>
    <row r="711" spans="1:19" x14ac:dyDescent="0.15">
      <c r="A711" s="1">
        <v>6</v>
      </c>
      <c r="B711" s="1">
        <v>12</v>
      </c>
      <c r="C711" s="10">
        <v>0.28029999999999999</v>
      </c>
      <c r="D711" s="5">
        <v>60</v>
      </c>
      <c r="E711" s="10">
        <v>0.12279999999999999</v>
      </c>
      <c r="F711" s="5">
        <v>6490</v>
      </c>
      <c r="G711" s="5">
        <v>540</v>
      </c>
      <c r="I711" s="40">
        <f t="shared" si="28"/>
        <v>6490</v>
      </c>
      <c r="J711" s="40">
        <f t="shared" si="29"/>
        <v>540</v>
      </c>
      <c r="K711" s="1">
        <v>6490</v>
      </c>
      <c r="L711" s="1">
        <v>540</v>
      </c>
      <c r="M711">
        <f t="shared" si="30"/>
        <v>0</v>
      </c>
      <c r="N711" s="1">
        <v>0.28000000000000003</v>
      </c>
      <c r="O711" s="1">
        <v>60</v>
      </c>
      <c r="P711" s="24">
        <v>0.12280000000000001</v>
      </c>
      <c r="Q711" s="31">
        <f>C711-N711</f>
        <v>2.9999999999996696E-4</v>
      </c>
      <c r="R711" s="41">
        <f>D711-O711</f>
        <v>0</v>
      </c>
      <c r="S711" s="41">
        <f>E711-P711</f>
        <v>0</v>
      </c>
    </row>
    <row r="712" spans="1:19" x14ac:dyDescent="0.15">
      <c r="A712" s="1">
        <v>6</v>
      </c>
      <c r="B712" s="1">
        <v>12</v>
      </c>
      <c r="C712" s="10">
        <v>0.28029999999999999</v>
      </c>
      <c r="D712" s="5">
        <v>60</v>
      </c>
      <c r="E712" s="10">
        <v>0.1278</v>
      </c>
      <c r="F712" s="5">
        <v>5840</v>
      </c>
      <c r="G712" s="5">
        <v>550</v>
      </c>
      <c r="I712" s="40">
        <f t="shared" si="28"/>
        <v>5840</v>
      </c>
      <c r="J712" s="40">
        <f t="shared" si="29"/>
        <v>550</v>
      </c>
      <c r="K712" s="1">
        <v>5840</v>
      </c>
      <c r="L712" s="1">
        <v>550</v>
      </c>
      <c r="M712">
        <f t="shared" si="30"/>
        <v>0</v>
      </c>
      <c r="N712" s="1">
        <v>0.28000000000000003</v>
      </c>
      <c r="O712" s="1">
        <v>60</v>
      </c>
      <c r="P712" s="24">
        <v>0.1278</v>
      </c>
      <c r="Q712" s="31">
        <f>C712-N712</f>
        <v>2.9999999999996696E-4</v>
      </c>
      <c r="R712" s="41">
        <f>D712-O712</f>
        <v>0</v>
      </c>
      <c r="S712" s="41">
        <f>E712-P712</f>
        <v>0</v>
      </c>
    </row>
    <row r="713" spans="1:19" x14ac:dyDescent="0.15">
      <c r="A713" s="1">
        <v>6</v>
      </c>
      <c r="B713" s="1">
        <v>12</v>
      </c>
      <c r="C713" s="10">
        <v>0.28029999999999999</v>
      </c>
      <c r="D713" s="5">
        <v>60</v>
      </c>
      <c r="E713" s="10">
        <v>0.1328</v>
      </c>
      <c r="F713" s="5">
        <v>5370</v>
      </c>
      <c r="G713" s="5">
        <v>570</v>
      </c>
      <c r="I713" s="40">
        <f t="shared" si="28"/>
        <v>5370</v>
      </c>
      <c r="J713" s="40">
        <f t="shared" si="29"/>
        <v>570</v>
      </c>
      <c r="K713" s="1">
        <v>5370</v>
      </c>
      <c r="L713" s="1">
        <v>570</v>
      </c>
      <c r="M713">
        <f t="shared" si="30"/>
        <v>0</v>
      </c>
      <c r="N713" s="1">
        <v>0.28000000000000003</v>
      </c>
      <c r="O713" s="1">
        <v>60</v>
      </c>
      <c r="P713" s="24">
        <v>0.1328</v>
      </c>
      <c r="Q713" s="31">
        <f>C713-N713</f>
        <v>2.9999999999996696E-4</v>
      </c>
      <c r="R713" s="41">
        <f>D713-O713</f>
        <v>0</v>
      </c>
      <c r="S713" s="41">
        <f>E713-P713</f>
        <v>0</v>
      </c>
    </row>
    <row r="714" spans="1:19" x14ac:dyDescent="0.15">
      <c r="A714" s="1">
        <v>6</v>
      </c>
      <c r="B714" s="1">
        <v>12</v>
      </c>
      <c r="C714" s="10">
        <v>0.28029999999999999</v>
      </c>
      <c r="D714" s="5">
        <v>60</v>
      </c>
      <c r="E714" s="10">
        <v>0.13780000000000001</v>
      </c>
      <c r="F714" s="5">
        <v>4930</v>
      </c>
      <c r="G714" s="5">
        <v>600</v>
      </c>
      <c r="I714" s="40">
        <f t="shared" si="28"/>
        <v>4930</v>
      </c>
      <c r="J714" s="40">
        <f t="shared" si="29"/>
        <v>600</v>
      </c>
      <c r="K714" s="1">
        <v>4930</v>
      </c>
      <c r="L714" s="1">
        <v>600</v>
      </c>
      <c r="M714">
        <f t="shared" si="30"/>
        <v>0</v>
      </c>
      <c r="N714" s="1">
        <v>0.28000000000000003</v>
      </c>
      <c r="O714" s="1">
        <v>60</v>
      </c>
      <c r="P714" s="24">
        <v>0.13780000000000001</v>
      </c>
      <c r="Q714" s="31">
        <f>C714-N714</f>
        <v>2.9999999999996696E-4</v>
      </c>
      <c r="R714" s="41">
        <f>D714-O714</f>
        <v>0</v>
      </c>
      <c r="S714" s="41">
        <f>E714-P714</f>
        <v>0</v>
      </c>
    </row>
    <row r="715" spans="1:19" x14ac:dyDescent="0.15">
      <c r="A715" s="12">
        <v>6</v>
      </c>
      <c r="B715" s="12">
        <v>12</v>
      </c>
      <c r="C715" s="13">
        <v>0.2404</v>
      </c>
      <c r="D715" s="14">
        <v>60</v>
      </c>
      <c r="E715" s="13">
        <v>2.8999999999999998E-3</v>
      </c>
      <c r="F715" s="14">
        <v>270700</v>
      </c>
      <c r="G715" s="14">
        <v>7180</v>
      </c>
      <c r="I715" s="40">
        <f t="shared" si="28"/>
        <v>270700</v>
      </c>
      <c r="J715" s="40">
        <f t="shared" si="29"/>
        <v>7180</v>
      </c>
      <c r="K715" s="12">
        <v>270700</v>
      </c>
      <c r="L715" s="12">
        <v>7180</v>
      </c>
      <c r="M715">
        <f t="shared" si="30"/>
        <v>0</v>
      </c>
      <c r="N715" s="12">
        <v>0.24</v>
      </c>
      <c r="O715" s="12">
        <v>60</v>
      </c>
      <c r="P715" s="24">
        <v>2.8999999999999998E-3</v>
      </c>
      <c r="Q715" s="31">
        <f>C715-N715</f>
        <v>4.0000000000001146E-4</v>
      </c>
      <c r="R715" s="41">
        <f>D715-O715</f>
        <v>0</v>
      </c>
      <c r="S715" s="41">
        <f>E715-P715</f>
        <v>0</v>
      </c>
    </row>
    <row r="716" spans="1:19" x14ac:dyDescent="0.15">
      <c r="A716" s="1">
        <v>6</v>
      </c>
      <c r="B716" s="1">
        <v>12</v>
      </c>
      <c r="C716" s="10">
        <v>0.2404</v>
      </c>
      <c r="D716" s="5">
        <v>60</v>
      </c>
      <c r="E716" s="10">
        <v>7.9000000000000008E-3</v>
      </c>
      <c r="F716" s="5">
        <v>106700</v>
      </c>
      <c r="G716" s="5">
        <v>4120</v>
      </c>
      <c r="I716" s="40">
        <f t="shared" si="28"/>
        <v>106700</v>
      </c>
      <c r="J716" s="40">
        <f t="shared" si="29"/>
        <v>4120</v>
      </c>
      <c r="K716" s="1">
        <v>106700</v>
      </c>
      <c r="L716" s="1">
        <v>4120</v>
      </c>
      <c r="M716">
        <f t="shared" si="30"/>
        <v>0</v>
      </c>
      <c r="N716" s="1">
        <v>0.24</v>
      </c>
      <c r="O716" s="1">
        <v>60</v>
      </c>
      <c r="P716" s="24">
        <v>7.9000000000000008E-3</v>
      </c>
      <c r="Q716" s="31">
        <f>C716-N716</f>
        <v>4.0000000000001146E-4</v>
      </c>
      <c r="R716" s="41">
        <f>D716-O716</f>
        <v>0</v>
      </c>
      <c r="S716" s="41">
        <f>E716-P716</f>
        <v>0</v>
      </c>
    </row>
    <row r="717" spans="1:19" x14ac:dyDescent="0.15">
      <c r="A717" s="1">
        <v>6</v>
      </c>
      <c r="B717" s="1">
        <v>12</v>
      </c>
      <c r="C717" s="10">
        <v>0.2404</v>
      </c>
      <c r="D717" s="5">
        <v>60</v>
      </c>
      <c r="E717" s="10">
        <v>1.29E-2</v>
      </c>
      <c r="F717" s="5">
        <v>60580</v>
      </c>
      <c r="G717" s="5">
        <v>1800</v>
      </c>
      <c r="I717" s="40">
        <f t="shared" si="28"/>
        <v>60580</v>
      </c>
      <c r="J717" s="40">
        <f t="shared" si="29"/>
        <v>1800</v>
      </c>
      <c r="K717" s="1">
        <v>60580</v>
      </c>
      <c r="L717" s="1">
        <v>1800</v>
      </c>
      <c r="M717">
        <f t="shared" si="30"/>
        <v>0</v>
      </c>
      <c r="N717" s="1">
        <v>0.24</v>
      </c>
      <c r="O717" s="1">
        <v>60</v>
      </c>
      <c r="P717" s="24">
        <v>1.29E-2</v>
      </c>
      <c r="Q717" s="31">
        <f>C717-N717</f>
        <v>4.0000000000001146E-4</v>
      </c>
      <c r="R717" s="41">
        <f>D717-O717</f>
        <v>0</v>
      </c>
      <c r="S717" s="41">
        <f>E717-P717</f>
        <v>0</v>
      </c>
    </row>
    <row r="718" spans="1:19" x14ac:dyDescent="0.15">
      <c r="A718" s="1">
        <v>6</v>
      </c>
      <c r="B718" s="1">
        <v>12</v>
      </c>
      <c r="C718" s="10">
        <v>0.2404</v>
      </c>
      <c r="D718" s="5">
        <v>60</v>
      </c>
      <c r="E718" s="10">
        <v>1.7899999999999999E-2</v>
      </c>
      <c r="F718" s="5">
        <v>33090</v>
      </c>
      <c r="G718" s="5">
        <v>1320</v>
      </c>
      <c r="I718" s="40">
        <f t="shared" si="28"/>
        <v>33090</v>
      </c>
      <c r="J718" s="40">
        <f t="shared" si="29"/>
        <v>1320</v>
      </c>
      <c r="K718" s="1">
        <v>33090</v>
      </c>
      <c r="L718" s="1">
        <v>1320</v>
      </c>
      <c r="M718">
        <f t="shared" si="30"/>
        <v>0</v>
      </c>
      <c r="N718" s="1">
        <v>0.24</v>
      </c>
      <c r="O718" s="1">
        <v>60</v>
      </c>
      <c r="P718" s="24">
        <v>1.7899999999999999E-2</v>
      </c>
      <c r="Q718" s="31">
        <f>C718-N718</f>
        <v>4.0000000000001146E-4</v>
      </c>
      <c r="R718" s="41">
        <f>D718-O718</f>
        <v>0</v>
      </c>
      <c r="S718" s="41">
        <f>E718-P718</f>
        <v>0</v>
      </c>
    </row>
    <row r="719" spans="1:19" x14ac:dyDescent="0.15">
      <c r="A719" s="1">
        <v>6</v>
      </c>
      <c r="B719" s="1">
        <v>12</v>
      </c>
      <c r="C719" s="10">
        <v>0.2404</v>
      </c>
      <c r="D719" s="5">
        <v>60</v>
      </c>
      <c r="E719" s="10">
        <v>2.29E-2</v>
      </c>
      <c r="F719" s="5">
        <v>43270</v>
      </c>
      <c r="G719" s="5">
        <v>1400</v>
      </c>
      <c r="I719" s="40">
        <f t="shared" si="28"/>
        <v>43270</v>
      </c>
      <c r="J719" s="40">
        <f t="shared" si="29"/>
        <v>1400</v>
      </c>
      <c r="K719" s="1">
        <v>43270</v>
      </c>
      <c r="L719" s="1">
        <v>1400</v>
      </c>
      <c r="M719">
        <f t="shared" si="30"/>
        <v>0</v>
      </c>
      <c r="N719" s="1">
        <v>0.24</v>
      </c>
      <c r="O719" s="1">
        <v>60</v>
      </c>
      <c r="P719" s="24">
        <v>2.29E-2</v>
      </c>
      <c r="Q719" s="31">
        <f>C719-N719</f>
        <v>4.0000000000001146E-4</v>
      </c>
      <c r="R719" s="41">
        <f>D719-O719</f>
        <v>0</v>
      </c>
      <c r="S719" s="41">
        <f>E719-P719</f>
        <v>0</v>
      </c>
    </row>
    <row r="720" spans="1:19" x14ac:dyDescent="0.15">
      <c r="A720" s="1">
        <v>6</v>
      </c>
      <c r="B720" s="1">
        <v>12</v>
      </c>
      <c r="C720" s="10">
        <v>0.2404</v>
      </c>
      <c r="D720" s="5">
        <v>60</v>
      </c>
      <c r="E720" s="10">
        <v>2.7899999999999998E-2</v>
      </c>
      <c r="F720" s="5">
        <v>45830</v>
      </c>
      <c r="G720" s="5">
        <v>1370</v>
      </c>
      <c r="I720" s="40">
        <f t="shared" si="28"/>
        <v>45830</v>
      </c>
      <c r="J720" s="40">
        <f t="shared" si="29"/>
        <v>1370</v>
      </c>
      <c r="K720" s="1">
        <v>45830</v>
      </c>
      <c r="L720" s="1">
        <v>1370</v>
      </c>
      <c r="M720">
        <f t="shared" si="30"/>
        <v>0</v>
      </c>
      <c r="N720" s="1">
        <v>0.24</v>
      </c>
      <c r="O720" s="1">
        <v>60</v>
      </c>
      <c r="P720" s="24">
        <v>2.7900000000000001E-2</v>
      </c>
      <c r="Q720" s="31">
        <f>C720-N720</f>
        <v>4.0000000000001146E-4</v>
      </c>
      <c r="R720" s="41">
        <f>D720-O720</f>
        <v>0</v>
      </c>
      <c r="S720" s="41">
        <f>E720-P720</f>
        <v>0</v>
      </c>
    </row>
    <row r="721" spans="1:23" x14ac:dyDescent="0.15">
      <c r="A721" s="1">
        <v>6</v>
      </c>
      <c r="B721" s="1">
        <v>12</v>
      </c>
      <c r="C721" s="10">
        <v>0.2404</v>
      </c>
      <c r="D721" s="5">
        <v>60</v>
      </c>
      <c r="E721" s="10">
        <v>3.2899999999999999E-2</v>
      </c>
      <c r="F721" s="5">
        <v>48900</v>
      </c>
      <c r="G721" s="5">
        <v>1400</v>
      </c>
      <c r="I721" s="40">
        <f t="shared" si="28"/>
        <v>48900</v>
      </c>
      <c r="J721" s="40">
        <f t="shared" si="29"/>
        <v>1400</v>
      </c>
      <c r="K721" s="1">
        <v>48900</v>
      </c>
      <c r="L721" s="1">
        <v>1400</v>
      </c>
      <c r="M721">
        <f t="shared" si="30"/>
        <v>0</v>
      </c>
      <c r="N721" s="1">
        <v>0.24</v>
      </c>
      <c r="O721" s="1">
        <v>60</v>
      </c>
      <c r="P721" s="24">
        <v>3.2899999999999999E-2</v>
      </c>
      <c r="Q721" s="31">
        <f>C721-N721</f>
        <v>4.0000000000001146E-4</v>
      </c>
      <c r="R721" s="41">
        <f>D721-O721</f>
        <v>0</v>
      </c>
      <c r="S721" s="41">
        <f>E721-P721</f>
        <v>0</v>
      </c>
    </row>
    <row r="722" spans="1:23" x14ac:dyDescent="0.15">
      <c r="A722" s="1">
        <v>6</v>
      </c>
      <c r="B722" s="1">
        <v>12</v>
      </c>
      <c r="C722" s="10">
        <v>0.2404</v>
      </c>
      <c r="D722" s="5">
        <v>60</v>
      </c>
      <c r="E722" s="10">
        <v>3.7899999999999996E-2</v>
      </c>
      <c r="F722" s="5">
        <v>47980</v>
      </c>
      <c r="G722" s="5">
        <v>1400</v>
      </c>
      <c r="I722" s="40">
        <f t="shared" si="28"/>
        <v>47980</v>
      </c>
      <c r="J722" s="40">
        <f t="shared" si="29"/>
        <v>1400</v>
      </c>
      <c r="K722" s="1">
        <v>47980</v>
      </c>
      <c r="L722" s="1">
        <v>1400</v>
      </c>
      <c r="M722">
        <f t="shared" si="30"/>
        <v>0</v>
      </c>
      <c r="N722" s="1">
        <v>0.24</v>
      </c>
      <c r="O722" s="1">
        <v>60</v>
      </c>
      <c r="P722" s="24">
        <v>3.7900000000000003E-2</v>
      </c>
      <c r="Q722" s="31">
        <f>C722-N722</f>
        <v>4.0000000000001146E-4</v>
      </c>
      <c r="R722" s="41">
        <f>D722-O722</f>
        <v>0</v>
      </c>
      <c r="S722" s="41">
        <f>E722-P722</f>
        <v>0</v>
      </c>
    </row>
    <row r="723" spans="1:23" x14ac:dyDescent="0.15">
      <c r="A723" s="1">
        <v>6</v>
      </c>
      <c r="B723" s="1">
        <v>12</v>
      </c>
      <c r="C723" s="10">
        <v>0.2404</v>
      </c>
      <c r="D723" s="5">
        <v>60</v>
      </c>
      <c r="E723" s="10">
        <v>4.2900000000000001E-2</v>
      </c>
      <c r="F723" s="5">
        <v>48650</v>
      </c>
      <c r="G723" s="5">
        <v>1440</v>
      </c>
      <c r="I723" s="40">
        <f t="shared" si="28"/>
        <v>48650</v>
      </c>
      <c r="J723" s="40">
        <f t="shared" si="29"/>
        <v>1440</v>
      </c>
      <c r="K723" s="1">
        <v>48650</v>
      </c>
      <c r="L723" s="1">
        <v>1440</v>
      </c>
      <c r="M723">
        <f t="shared" si="30"/>
        <v>0</v>
      </c>
      <c r="N723" s="1">
        <v>0.24</v>
      </c>
      <c r="O723" s="1">
        <v>60</v>
      </c>
      <c r="P723" s="24">
        <v>4.2900000000000001E-2</v>
      </c>
      <c r="Q723" s="31">
        <f>C723-N723</f>
        <v>4.0000000000001146E-4</v>
      </c>
      <c r="R723" s="41">
        <f>D723-O723</f>
        <v>0</v>
      </c>
      <c r="S723" s="41">
        <f>E723-P723</f>
        <v>0</v>
      </c>
    </row>
    <row r="724" spans="1:23" x14ac:dyDescent="0.15">
      <c r="A724" s="1">
        <v>6</v>
      </c>
      <c r="B724" s="1">
        <v>12</v>
      </c>
      <c r="C724" s="10">
        <v>0.2404</v>
      </c>
      <c r="D724" s="5">
        <v>60</v>
      </c>
      <c r="E724" s="10">
        <v>4.7899999999999998E-2</v>
      </c>
      <c r="F724" s="5">
        <v>46250</v>
      </c>
      <c r="G724" s="5">
        <v>1420</v>
      </c>
      <c r="I724" s="40">
        <f t="shared" si="28"/>
        <v>46250</v>
      </c>
      <c r="J724" s="40">
        <f t="shared" si="29"/>
        <v>1420</v>
      </c>
      <c r="K724" s="1">
        <v>46260</v>
      </c>
      <c r="L724" s="1">
        <v>1420</v>
      </c>
      <c r="M724">
        <f t="shared" si="30"/>
        <v>-10</v>
      </c>
      <c r="N724" s="1">
        <v>0.24</v>
      </c>
      <c r="O724" s="1">
        <v>60</v>
      </c>
      <c r="P724" s="24">
        <v>4.7899999999999998E-2</v>
      </c>
      <c r="Q724" s="31">
        <f>C724-N724</f>
        <v>4.0000000000001146E-4</v>
      </c>
      <c r="R724" s="41">
        <f>D724-O724</f>
        <v>0</v>
      </c>
      <c r="S724" s="41">
        <f>E724-P724</f>
        <v>0</v>
      </c>
    </row>
    <row r="725" spans="1:23" s="15" customFormat="1" x14ac:dyDescent="0.15">
      <c r="A725" s="1">
        <v>6</v>
      </c>
      <c r="B725" s="1">
        <v>12</v>
      </c>
      <c r="C725" s="10">
        <v>0.2404</v>
      </c>
      <c r="D725" s="5">
        <v>60</v>
      </c>
      <c r="E725" s="10">
        <v>5.2899999999999996E-2</v>
      </c>
      <c r="F725" s="5">
        <v>43750</v>
      </c>
      <c r="G725" s="5">
        <v>1410</v>
      </c>
      <c r="H725" s="12"/>
      <c r="I725" s="40">
        <f t="shared" si="28"/>
        <v>43750</v>
      </c>
      <c r="J725" s="40">
        <f t="shared" si="29"/>
        <v>1410</v>
      </c>
      <c r="K725" s="1">
        <v>43750</v>
      </c>
      <c r="L725" s="1">
        <v>1410</v>
      </c>
      <c r="M725">
        <f t="shared" si="30"/>
        <v>0</v>
      </c>
      <c r="N725" s="1">
        <v>0.24</v>
      </c>
      <c r="O725" s="1">
        <v>60</v>
      </c>
      <c r="P725" s="24">
        <v>5.2900000000000003E-2</v>
      </c>
      <c r="Q725" s="31">
        <f>C725-N725</f>
        <v>4.0000000000001146E-4</v>
      </c>
      <c r="R725" s="41">
        <f>D725-O725</f>
        <v>0</v>
      </c>
      <c r="S725" s="41">
        <f>E725-P725</f>
        <v>0</v>
      </c>
      <c r="U725" s="12"/>
      <c r="V725" s="12"/>
      <c r="W725" s="12"/>
    </row>
    <row r="726" spans="1:23" x14ac:dyDescent="0.15">
      <c r="A726" s="1">
        <v>6</v>
      </c>
      <c r="B726" s="1">
        <v>12</v>
      </c>
      <c r="C726" s="10">
        <v>0.2404</v>
      </c>
      <c r="D726" s="5">
        <v>60</v>
      </c>
      <c r="E726" s="10">
        <v>5.79E-2</v>
      </c>
      <c r="F726" s="5">
        <v>39630</v>
      </c>
      <c r="G726" s="5">
        <v>1390</v>
      </c>
      <c r="I726" s="40">
        <f t="shared" si="28"/>
        <v>39630</v>
      </c>
      <c r="J726" s="40">
        <f t="shared" si="29"/>
        <v>1390</v>
      </c>
      <c r="K726" s="1">
        <v>39630</v>
      </c>
      <c r="L726" s="1">
        <v>1390</v>
      </c>
      <c r="M726">
        <f t="shared" si="30"/>
        <v>0</v>
      </c>
      <c r="N726" s="1">
        <v>0.24</v>
      </c>
      <c r="O726" s="1">
        <v>60</v>
      </c>
      <c r="P726" s="24">
        <v>5.79E-2</v>
      </c>
      <c r="Q726" s="31">
        <f>C726-N726</f>
        <v>4.0000000000001146E-4</v>
      </c>
      <c r="R726" s="41">
        <f>D726-O726</f>
        <v>0</v>
      </c>
      <c r="S726" s="41">
        <f>E726-P726</f>
        <v>0</v>
      </c>
    </row>
    <row r="727" spans="1:23" x14ac:dyDescent="0.15">
      <c r="A727" s="1">
        <v>6</v>
      </c>
      <c r="B727" s="1">
        <v>12</v>
      </c>
      <c r="C727" s="10">
        <v>0.2404</v>
      </c>
      <c r="D727" s="5">
        <v>60</v>
      </c>
      <c r="E727" s="10">
        <v>6.2899999999999998E-2</v>
      </c>
      <c r="F727" s="5">
        <v>33680</v>
      </c>
      <c r="G727" s="5">
        <v>1310</v>
      </c>
      <c r="I727" s="40">
        <f t="shared" si="28"/>
        <v>33680</v>
      </c>
      <c r="J727" s="40">
        <f t="shared" si="29"/>
        <v>1310</v>
      </c>
      <c r="K727" s="1">
        <v>33680</v>
      </c>
      <c r="L727" s="1">
        <v>1310</v>
      </c>
      <c r="M727">
        <f t="shared" si="30"/>
        <v>0</v>
      </c>
      <c r="N727" s="1">
        <v>0.24</v>
      </c>
      <c r="O727" s="1">
        <v>60</v>
      </c>
      <c r="P727" s="24">
        <v>6.2899999999999998E-2</v>
      </c>
      <c r="Q727" s="31">
        <f>C727-N727</f>
        <v>4.0000000000001146E-4</v>
      </c>
      <c r="R727" s="41">
        <f>D727-O727</f>
        <v>0</v>
      </c>
      <c r="S727" s="41">
        <f>E727-P727</f>
        <v>0</v>
      </c>
    </row>
    <row r="728" spans="1:23" x14ac:dyDescent="0.15">
      <c r="A728" s="1">
        <v>6</v>
      </c>
      <c r="B728" s="1">
        <v>12</v>
      </c>
      <c r="C728" s="10">
        <v>0.2404</v>
      </c>
      <c r="D728" s="5">
        <v>60</v>
      </c>
      <c r="E728" s="10">
        <v>6.7900000000000002E-2</v>
      </c>
      <c r="F728" s="5">
        <v>29580</v>
      </c>
      <c r="G728" s="5">
        <v>1250</v>
      </c>
      <c r="I728" s="40">
        <f t="shared" si="28"/>
        <v>29580</v>
      </c>
      <c r="J728" s="40">
        <f t="shared" si="29"/>
        <v>1250</v>
      </c>
      <c r="K728" s="1">
        <v>29580</v>
      </c>
      <c r="L728" s="1">
        <v>1250</v>
      </c>
      <c r="M728">
        <f t="shared" si="30"/>
        <v>0</v>
      </c>
      <c r="N728" s="1">
        <v>0.24</v>
      </c>
      <c r="O728" s="1">
        <v>60</v>
      </c>
      <c r="P728" s="24">
        <v>6.7900000000000002E-2</v>
      </c>
      <c r="Q728" s="31">
        <f>C728-N728</f>
        <v>4.0000000000001146E-4</v>
      </c>
      <c r="R728" s="41">
        <f>D728-O728</f>
        <v>0</v>
      </c>
      <c r="S728" s="41">
        <f>E728-P728</f>
        <v>0</v>
      </c>
    </row>
    <row r="729" spans="1:23" x14ac:dyDescent="0.15">
      <c r="A729" s="1">
        <v>6</v>
      </c>
      <c r="B729" s="1">
        <v>12</v>
      </c>
      <c r="C729" s="10">
        <v>0.2404</v>
      </c>
      <c r="D729" s="5">
        <v>60</v>
      </c>
      <c r="E729" s="10">
        <v>7.2900000000000006E-2</v>
      </c>
      <c r="F729" s="5">
        <v>24830</v>
      </c>
      <c r="G729" s="5">
        <v>1220</v>
      </c>
      <c r="I729" s="40">
        <f t="shared" si="28"/>
        <v>24830</v>
      </c>
      <c r="J729" s="40">
        <f t="shared" si="29"/>
        <v>1220</v>
      </c>
      <c r="K729" s="1">
        <v>24830</v>
      </c>
      <c r="L729" s="1">
        <v>1220</v>
      </c>
      <c r="M729">
        <f t="shared" si="30"/>
        <v>0</v>
      </c>
      <c r="N729" s="1">
        <v>0.24</v>
      </c>
      <c r="O729" s="1">
        <v>60</v>
      </c>
      <c r="P729" s="24">
        <v>7.2900000000000006E-2</v>
      </c>
      <c r="Q729" s="31">
        <f>C729-N729</f>
        <v>4.0000000000001146E-4</v>
      </c>
      <c r="R729" s="41">
        <f>D729-O729</f>
        <v>0</v>
      </c>
      <c r="S729" s="41">
        <f>E729-P729</f>
        <v>0</v>
      </c>
    </row>
    <row r="730" spans="1:23" x14ac:dyDescent="0.15">
      <c r="A730" s="1">
        <v>6</v>
      </c>
      <c r="B730" s="1">
        <v>12</v>
      </c>
      <c r="C730" s="10">
        <v>0.2404</v>
      </c>
      <c r="D730" s="5">
        <v>60</v>
      </c>
      <c r="E730" s="10">
        <v>7.7900000000000011E-2</v>
      </c>
      <c r="F730" s="5">
        <v>19880</v>
      </c>
      <c r="G730" s="5">
        <v>1160</v>
      </c>
      <c r="I730" s="40">
        <f t="shared" si="28"/>
        <v>19880</v>
      </c>
      <c r="J730" s="40">
        <f t="shared" si="29"/>
        <v>1160</v>
      </c>
      <c r="K730" s="1">
        <v>19880</v>
      </c>
      <c r="L730" s="1">
        <v>1160</v>
      </c>
      <c r="M730">
        <f t="shared" si="30"/>
        <v>0</v>
      </c>
      <c r="N730" s="1">
        <v>0.24</v>
      </c>
      <c r="O730" s="1">
        <v>60</v>
      </c>
      <c r="P730" s="24">
        <v>7.7899999999999997E-2</v>
      </c>
      <c r="Q730" s="31">
        <f>C730-N730</f>
        <v>4.0000000000001146E-4</v>
      </c>
      <c r="R730" s="41">
        <f>D730-O730</f>
        <v>0</v>
      </c>
      <c r="S730" s="41">
        <f>E730-P730</f>
        <v>0</v>
      </c>
    </row>
    <row r="731" spans="1:23" x14ac:dyDescent="0.15">
      <c r="A731" s="1">
        <v>6</v>
      </c>
      <c r="B731" s="1">
        <v>12</v>
      </c>
      <c r="C731" s="10">
        <v>0.2404</v>
      </c>
      <c r="D731" s="5">
        <v>60</v>
      </c>
      <c r="E731" s="10">
        <v>8.2900000000000001E-2</v>
      </c>
      <c r="F731" s="5">
        <v>16970</v>
      </c>
      <c r="G731" s="5">
        <v>1110</v>
      </c>
      <c r="I731" s="40">
        <f t="shared" si="28"/>
        <v>16970</v>
      </c>
      <c r="J731" s="40">
        <f t="shared" si="29"/>
        <v>1110</v>
      </c>
      <c r="K731" s="1">
        <v>16970</v>
      </c>
      <c r="L731" s="1">
        <v>1110</v>
      </c>
      <c r="M731">
        <f t="shared" si="30"/>
        <v>0</v>
      </c>
      <c r="N731" s="1">
        <v>0.24</v>
      </c>
      <c r="O731" s="1">
        <v>60</v>
      </c>
      <c r="P731" s="24">
        <v>8.2900000000000001E-2</v>
      </c>
      <c r="Q731" s="31">
        <f>C731-N731</f>
        <v>4.0000000000001146E-4</v>
      </c>
      <c r="R731" s="41">
        <f>D731-O731</f>
        <v>0</v>
      </c>
      <c r="S731" s="41">
        <f>E731-P731</f>
        <v>0</v>
      </c>
    </row>
    <row r="732" spans="1:23" x14ac:dyDescent="0.15">
      <c r="A732" s="1">
        <v>6</v>
      </c>
      <c r="B732" s="1">
        <v>12</v>
      </c>
      <c r="C732" s="10">
        <v>0.2404</v>
      </c>
      <c r="D732" s="5">
        <v>60</v>
      </c>
      <c r="E732" s="10">
        <v>8.7900000000000006E-2</v>
      </c>
      <c r="F732" s="5">
        <v>14830</v>
      </c>
      <c r="G732" s="5">
        <v>1110</v>
      </c>
      <c r="I732" s="40">
        <f t="shared" si="28"/>
        <v>14830</v>
      </c>
      <c r="J732" s="40">
        <f t="shared" si="29"/>
        <v>1110</v>
      </c>
      <c r="K732" s="1">
        <v>14830</v>
      </c>
      <c r="L732" s="1">
        <v>1110</v>
      </c>
      <c r="M732">
        <f t="shared" si="30"/>
        <v>0</v>
      </c>
      <c r="N732" s="1">
        <v>0.24</v>
      </c>
      <c r="O732" s="1">
        <v>60</v>
      </c>
      <c r="P732" s="24">
        <v>8.7900000000000006E-2</v>
      </c>
      <c r="Q732" s="31">
        <f>C732-N732</f>
        <v>4.0000000000001146E-4</v>
      </c>
      <c r="R732" s="41">
        <f>D732-O732</f>
        <v>0</v>
      </c>
      <c r="S732" s="41">
        <f>E732-P732</f>
        <v>0</v>
      </c>
    </row>
    <row r="733" spans="1:23" x14ac:dyDescent="0.15">
      <c r="A733" s="1">
        <v>6</v>
      </c>
      <c r="B733" s="1">
        <v>12</v>
      </c>
      <c r="C733" s="10">
        <v>0.2404</v>
      </c>
      <c r="D733" s="5">
        <v>60</v>
      </c>
      <c r="E733" s="10">
        <v>9.290000000000001E-2</v>
      </c>
      <c r="F733" s="5">
        <v>12020</v>
      </c>
      <c r="G733" s="5">
        <v>1090</v>
      </c>
      <c r="I733" s="40">
        <f t="shared" si="28"/>
        <v>12020</v>
      </c>
      <c r="J733" s="40">
        <f t="shared" si="29"/>
        <v>1090</v>
      </c>
      <c r="K733" s="1">
        <v>12020</v>
      </c>
      <c r="L733" s="1">
        <v>1090</v>
      </c>
      <c r="M733">
        <f t="shared" si="30"/>
        <v>0</v>
      </c>
      <c r="N733" s="1">
        <v>0.24</v>
      </c>
      <c r="O733" s="1">
        <v>60</v>
      </c>
      <c r="P733" s="24">
        <v>9.2899999999999996E-2</v>
      </c>
      <c r="Q733" s="31">
        <f>C733-N733</f>
        <v>4.0000000000001146E-4</v>
      </c>
      <c r="R733" s="41">
        <f>D733-O733</f>
        <v>0</v>
      </c>
      <c r="S733" s="41">
        <f>E733-P733</f>
        <v>0</v>
      </c>
    </row>
    <row r="734" spans="1:23" x14ac:dyDescent="0.15">
      <c r="A734" s="1">
        <v>6</v>
      </c>
      <c r="B734" s="1">
        <v>12</v>
      </c>
      <c r="C734" s="10">
        <v>0.2404</v>
      </c>
      <c r="D734" s="5">
        <v>60</v>
      </c>
      <c r="E734" s="10">
        <v>9.7900000000000001E-2</v>
      </c>
      <c r="F734" s="5">
        <v>10710</v>
      </c>
      <c r="G734" s="5">
        <v>1100</v>
      </c>
      <c r="I734" s="40">
        <f t="shared" si="28"/>
        <v>10710</v>
      </c>
      <c r="J734" s="40">
        <f t="shared" si="29"/>
        <v>1100</v>
      </c>
      <c r="K734" s="1">
        <v>10710</v>
      </c>
      <c r="L734" s="1">
        <v>1100</v>
      </c>
      <c r="M734">
        <f t="shared" si="30"/>
        <v>0</v>
      </c>
      <c r="N734" s="1">
        <v>0.24</v>
      </c>
      <c r="O734" s="1">
        <v>60</v>
      </c>
      <c r="P734" s="24">
        <v>9.7900000000000001E-2</v>
      </c>
      <c r="Q734" s="31">
        <f>C734-N734</f>
        <v>4.0000000000001146E-4</v>
      </c>
      <c r="R734" s="41">
        <f>D734-O734</f>
        <v>0</v>
      </c>
      <c r="S734" s="41">
        <f>E734-P734</f>
        <v>0</v>
      </c>
    </row>
    <row r="735" spans="1:23" x14ac:dyDescent="0.15">
      <c r="A735" s="1">
        <v>6</v>
      </c>
      <c r="B735" s="1">
        <v>12</v>
      </c>
      <c r="C735" s="10">
        <v>0.2404</v>
      </c>
      <c r="D735" s="5">
        <v>60</v>
      </c>
      <c r="E735" s="10">
        <v>0.10290000000000001</v>
      </c>
      <c r="F735" s="5">
        <v>9650</v>
      </c>
      <c r="G735" s="5">
        <v>1140</v>
      </c>
      <c r="I735" s="40">
        <f t="shared" si="28"/>
        <v>9650</v>
      </c>
      <c r="J735" s="40">
        <f t="shared" si="29"/>
        <v>1140</v>
      </c>
      <c r="K735" s="1">
        <v>9650</v>
      </c>
      <c r="L735" s="1">
        <v>1140</v>
      </c>
      <c r="M735">
        <f t="shared" si="30"/>
        <v>0</v>
      </c>
      <c r="N735" s="1">
        <v>0.24</v>
      </c>
      <c r="O735" s="1">
        <v>60</v>
      </c>
      <c r="P735" s="24">
        <v>0.10290000000000001</v>
      </c>
      <c r="Q735" s="31">
        <f>C735-N735</f>
        <v>4.0000000000001146E-4</v>
      </c>
      <c r="R735" s="41">
        <f>D735-O735</f>
        <v>0</v>
      </c>
      <c r="S735" s="41">
        <f>E735-P735</f>
        <v>0</v>
      </c>
    </row>
    <row r="736" spans="1:23" x14ac:dyDescent="0.15">
      <c r="A736" s="1">
        <v>6</v>
      </c>
      <c r="B736" s="1">
        <v>12</v>
      </c>
      <c r="C736" s="10">
        <v>0.2404</v>
      </c>
      <c r="D736" s="5">
        <v>60</v>
      </c>
      <c r="E736" s="10">
        <v>0.10790000000000001</v>
      </c>
      <c r="F736" s="5">
        <v>7140</v>
      </c>
      <c r="G736" s="5">
        <v>1120</v>
      </c>
      <c r="I736" s="40">
        <f t="shared" si="28"/>
        <v>7140</v>
      </c>
      <c r="J736" s="40">
        <f t="shared" si="29"/>
        <v>1120</v>
      </c>
      <c r="K736" s="1">
        <v>7140</v>
      </c>
      <c r="L736" s="1">
        <v>1120</v>
      </c>
      <c r="M736">
        <f t="shared" si="30"/>
        <v>0</v>
      </c>
      <c r="N736" s="1">
        <v>0.24</v>
      </c>
      <c r="O736" s="1">
        <v>60</v>
      </c>
      <c r="P736" s="24">
        <v>0.1079</v>
      </c>
      <c r="Q736" s="31">
        <f>C736-N736</f>
        <v>4.0000000000001146E-4</v>
      </c>
      <c r="R736" s="41">
        <f>D736-O736</f>
        <v>0</v>
      </c>
      <c r="S736" s="41">
        <f>E736-P736</f>
        <v>0</v>
      </c>
    </row>
    <row r="737" spans="1:23" ht="16" x14ac:dyDescent="0.2">
      <c r="A737" s="12">
        <v>6</v>
      </c>
      <c r="B737" s="12">
        <v>12</v>
      </c>
      <c r="C737" s="13">
        <v>0.2</v>
      </c>
      <c r="D737" s="14">
        <v>60</v>
      </c>
      <c r="E737" s="13">
        <v>7.4999999999999997E-3</v>
      </c>
      <c r="F737" s="14">
        <v>164000</v>
      </c>
      <c r="G737" s="14">
        <v>12880</v>
      </c>
      <c r="I737" s="40">
        <f t="shared" si="28"/>
        <v>164000</v>
      </c>
      <c r="J737" s="40">
        <f t="shared" si="29"/>
        <v>12880</v>
      </c>
      <c r="K737" s="12">
        <v>164000</v>
      </c>
      <c r="L737" s="12">
        <v>12880</v>
      </c>
      <c r="M737">
        <f t="shared" si="30"/>
        <v>0</v>
      </c>
      <c r="N737" s="12">
        <v>0.2</v>
      </c>
      <c r="O737" s="12">
        <v>60</v>
      </c>
      <c r="P737" s="47">
        <v>7.4999999999999997E-3</v>
      </c>
      <c r="Q737" s="31">
        <f>C737-N737</f>
        <v>0</v>
      </c>
      <c r="R737" s="41">
        <f>D737-O737</f>
        <v>0</v>
      </c>
      <c r="S737" s="41">
        <f>E737-P737</f>
        <v>0</v>
      </c>
    </row>
    <row r="738" spans="1:23" ht="16" x14ac:dyDescent="0.2">
      <c r="A738" s="1">
        <v>6</v>
      </c>
      <c r="B738" s="1">
        <v>12</v>
      </c>
      <c r="C738" s="10">
        <v>0.2</v>
      </c>
      <c r="D738" s="5">
        <v>60</v>
      </c>
      <c r="E738" s="10">
        <v>1.2500000000000001E-2</v>
      </c>
      <c r="F738" s="5">
        <v>84410</v>
      </c>
      <c r="G738" s="5">
        <v>5990</v>
      </c>
      <c r="I738" s="40">
        <f t="shared" si="28"/>
        <v>84410</v>
      </c>
      <c r="J738" s="40">
        <f t="shared" si="29"/>
        <v>5990</v>
      </c>
      <c r="K738" s="1">
        <v>84410</v>
      </c>
      <c r="L738" s="1">
        <v>5990</v>
      </c>
      <c r="M738">
        <f t="shared" si="30"/>
        <v>0</v>
      </c>
      <c r="N738" s="1">
        <v>0.2</v>
      </c>
      <c r="O738" s="1">
        <v>60</v>
      </c>
      <c r="P738" s="47">
        <v>1.2500000000000001E-2</v>
      </c>
      <c r="Q738" s="31">
        <f>C738-N738</f>
        <v>0</v>
      </c>
      <c r="R738" s="41">
        <f>D738-O738</f>
        <v>0</v>
      </c>
      <c r="S738" s="41">
        <f>E738-P738</f>
        <v>0</v>
      </c>
    </row>
    <row r="739" spans="1:23" ht="16" x14ac:dyDescent="0.2">
      <c r="A739" s="1">
        <v>6</v>
      </c>
      <c r="B739" s="1">
        <v>12</v>
      </c>
      <c r="C739" s="10">
        <v>0.2</v>
      </c>
      <c r="D739" s="5">
        <v>60</v>
      </c>
      <c r="E739" s="10">
        <v>1.7500000000000002E-2</v>
      </c>
      <c r="F739" s="5">
        <v>51280</v>
      </c>
      <c r="G739" s="5">
        <v>4270</v>
      </c>
      <c r="I739" s="40">
        <f t="shared" si="28"/>
        <v>51280</v>
      </c>
      <c r="J739" s="40">
        <f t="shared" si="29"/>
        <v>4270</v>
      </c>
      <c r="K739" s="1">
        <v>51280</v>
      </c>
      <c r="L739" s="1">
        <v>4270</v>
      </c>
      <c r="M739">
        <f t="shared" si="30"/>
        <v>0</v>
      </c>
      <c r="N739" s="1">
        <v>0.2</v>
      </c>
      <c r="O739" s="1">
        <v>60</v>
      </c>
      <c r="P739" s="47">
        <v>1.7500000000000002E-2</v>
      </c>
      <c r="Q739" s="31">
        <f>C739-N739</f>
        <v>0</v>
      </c>
      <c r="R739" s="41">
        <f>D739-O739</f>
        <v>0</v>
      </c>
      <c r="S739" s="41">
        <f>E739-P739</f>
        <v>0</v>
      </c>
    </row>
    <row r="740" spans="1:23" ht="16" x14ac:dyDescent="0.2">
      <c r="A740" s="1">
        <v>6</v>
      </c>
      <c r="B740" s="1">
        <v>12</v>
      </c>
      <c r="C740" s="10">
        <v>0.2</v>
      </c>
      <c r="D740" s="5">
        <v>60</v>
      </c>
      <c r="E740" s="10">
        <v>2.2499999999999999E-2</v>
      </c>
      <c r="F740" s="5">
        <v>77990</v>
      </c>
      <c r="G740" s="5">
        <v>4760</v>
      </c>
      <c r="I740" s="40">
        <f t="shared" si="28"/>
        <v>77990</v>
      </c>
      <c r="J740" s="40">
        <f t="shared" si="29"/>
        <v>4760</v>
      </c>
      <c r="K740" s="1">
        <v>77990</v>
      </c>
      <c r="L740" s="1">
        <v>4760</v>
      </c>
      <c r="M740">
        <f t="shared" si="30"/>
        <v>0</v>
      </c>
      <c r="N740" s="1">
        <v>0.2</v>
      </c>
      <c r="O740" s="1">
        <v>60</v>
      </c>
      <c r="P740" s="47">
        <v>2.2499999999999999E-2</v>
      </c>
      <c r="Q740" s="31">
        <f>C740-N740</f>
        <v>0</v>
      </c>
      <c r="R740" s="41">
        <f>D740-O740</f>
        <v>0</v>
      </c>
      <c r="S740" s="41">
        <f>E740-P740</f>
        <v>0</v>
      </c>
    </row>
    <row r="741" spans="1:23" ht="16" x14ac:dyDescent="0.2">
      <c r="A741" s="1">
        <v>6</v>
      </c>
      <c r="B741" s="1">
        <v>12</v>
      </c>
      <c r="C741" s="10">
        <v>0.2</v>
      </c>
      <c r="D741" s="5">
        <v>60</v>
      </c>
      <c r="E741" s="10">
        <v>2.75E-2</v>
      </c>
      <c r="F741" s="5">
        <v>82410</v>
      </c>
      <c r="G741" s="5">
        <v>4700</v>
      </c>
      <c r="I741" s="40">
        <f t="shared" si="28"/>
        <v>82410</v>
      </c>
      <c r="J741" s="40">
        <f t="shared" si="29"/>
        <v>4700</v>
      </c>
      <c r="K741" s="1">
        <v>82410</v>
      </c>
      <c r="L741" s="1">
        <v>4700</v>
      </c>
      <c r="M741">
        <f t="shared" si="30"/>
        <v>0</v>
      </c>
      <c r="N741" s="1">
        <v>0.2</v>
      </c>
      <c r="O741" s="1">
        <v>60</v>
      </c>
      <c r="P741" s="47">
        <v>2.75E-2</v>
      </c>
      <c r="Q741" s="31">
        <f>C741-N741</f>
        <v>0</v>
      </c>
      <c r="R741" s="41">
        <f>D741-O741</f>
        <v>0</v>
      </c>
      <c r="S741" s="41">
        <f>E741-P741</f>
        <v>0</v>
      </c>
    </row>
    <row r="742" spans="1:23" ht="16" x14ac:dyDescent="0.2">
      <c r="A742" s="1">
        <v>6</v>
      </c>
      <c r="B742" s="1">
        <v>12</v>
      </c>
      <c r="C742" s="10">
        <v>0.2</v>
      </c>
      <c r="D742" s="5">
        <v>60</v>
      </c>
      <c r="E742" s="10">
        <v>3.2500000000000001E-2</v>
      </c>
      <c r="F742" s="5">
        <v>74080</v>
      </c>
      <c r="G742" s="5">
        <v>4350</v>
      </c>
      <c r="I742" s="40">
        <f t="shared" si="28"/>
        <v>74080</v>
      </c>
      <c r="J742" s="40">
        <f t="shared" si="29"/>
        <v>4350</v>
      </c>
      <c r="K742" s="1">
        <v>74080</v>
      </c>
      <c r="L742" s="1">
        <v>4350</v>
      </c>
      <c r="M742">
        <f t="shared" si="30"/>
        <v>0</v>
      </c>
      <c r="N742" s="1">
        <v>0.2</v>
      </c>
      <c r="O742" s="1">
        <v>60</v>
      </c>
      <c r="P742" s="47">
        <v>3.2500000000000001E-2</v>
      </c>
      <c r="Q742" s="31">
        <f>C742-N742</f>
        <v>0</v>
      </c>
      <c r="R742" s="41">
        <f>D742-O742</f>
        <v>0</v>
      </c>
      <c r="S742" s="41">
        <f>E742-P742</f>
        <v>0</v>
      </c>
    </row>
    <row r="743" spans="1:23" ht="16" x14ac:dyDescent="0.2">
      <c r="A743" s="1">
        <v>6</v>
      </c>
      <c r="B743" s="1">
        <v>12</v>
      </c>
      <c r="C743" s="10">
        <v>0.2</v>
      </c>
      <c r="D743" s="5">
        <v>60</v>
      </c>
      <c r="E743" s="10">
        <v>3.7499999999999999E-2</v>
      </c>
      <c r="F743" s="5">
        <v>68520</v>
      </c>
      <c r="G743" s="5">
        <v>4170</v>
      </c>
      <c r="I743" s="40">
        <f t="shared" si="28"/>
        <v>68520</v>
      </c>
      <c r="J743" s="40">
        <f t="shared" si="29"/>
        <v>4170</v>
      </c>
      <c r="K743" s="1">
        <v>68520</v>
      </c>
      <c r="L743" s="1">
        <v>4170</v>
      </c>
      <c r="M743">
        <f t="shared" si="30"/>
        <v>0</v>
      </c>
      <c r="N743" s="1">
        <v>0.2</v>
      </c>
      <c r="O743" s="1">
        <v>60</v>
      </c>
      <c r="P743" s="47">
        <v>3.7499999999999999E-2</v>
      </c>
      <c r="Q743" s="31">
        <f>C743-N743</f>
        <v>0</v>
      </c>
      <c r="R743" s="41">
        <f>D743-O743</f>
        <v>0</v>
      </c>
      <c r="S743" s="41">
        <f>E743-P743</f>
        <v>0</v>
      </c>
    </row>
    <row r="744" spans="1:23" ht="16" x14ac:dyDescent="0.2">
      <c r="A744" s="1">
        <v>6</v>
      </c>
      <c r="B744" s="1">
        <v>12</v>
      </c>
      <c r="C744" s="10">
        <v>0.2</v>
      </c>
      <c r="D744" s="5">
        <v>60</v>
      </c>
      <c r="E744" s="10">
        <v>4.24E-2</v>
      </c>
      <c r="F744" s="5">
        <v>64950</v>
      </c>
      <c r="G744" s="5">
        <v>4070.0000000000005</v>
      </c>
      <c r="I744" s="40">
        <f t="shared" si="28"/>
        <v>64950</v>
      </c>
      <c r="J744" s="40">
        <f t="shared" si="29"/>
        <v>4070.0000000000005</v>
      </c>
      <c r="K744" s="1">
        <v>64950</v>
      </c>
      <c r="L744" s="1">
        <v>4070</v>
      </c>
      <c r="M744">
        <f t="shared" si="30"/>
        <v>0</v>
      </c>
      <c r="N744" s="1">
        <v>0.2</v>
      </c>
      <c r="O744" s="1">
        <v>60</v>
      </c>
      <c r="P744" s="47">
        <v>4.2500000000000003E-2</v>
      </c>
      <c r="Q744" s="31">
        <f>C744-N744</f>
        <v>0</v>
      </c>
      <c r="R744" s="41">
        <f>D744-O744</f>
        <v>0</v>
      </c>
      <c r="S744" s="41">
        <f>E744-P744</f>
        <v>-1.0000000000000286E-4</v>
      </c>
    </row>
    <row r="745" spans="1:23" ht="16" x14ac:dyDescent="0.2">
      <c r="A745" s="1">
        <v>6</v>
      </c>
      <c r="B745" s="1">
        <v>12</v>
      </c>
      <c r="C745" s="10">
        <v>0.2</v>
      </c>
      <c r="D745" s="5">
        <v>60</v>
      </c>
      <c r="E745" s="10">
        <v>4.7500000000000001E-2</v>
      </c>
      <c r="F745" s="5">
        <v>56440</v>
      </c>
      <c r="G745" s="5">
        <v>3840</v>
      </c>
      <c r="I745" s="40">
        <f t="shared" si="28"/>
        <v>56440</v>
      </c>
      <c r="J745" s="40">
        <f t="shared" si="29"/>
        <v>3840</v>
      </c>
      <c r="K745" s="1">
        <v>56440</v>
      </c>
      <c r="L745" s="1">
        <v>3840</v>
      </c>
      <c r="M745">
        <f t="shared" si="30"/>
        <v>0</v>
      </c>
      <c r="N745" s="1">
        <v>0.2</v>
      </c>
      <c r="O745" s="1">
        <v>60</v>
      </c>
      <c r="P745" s="47">
        <v>4.7500000000000001E-2</v>
      </c>
      <c r="Q745" s="31">
        <f>C745-N745</f>
        <v>0</v>
      </c>
      <c r="R745" s="41">
        <f>D745-O745</f>
        <v>0</v>
      </c>
      <c r="S745" s="41">
        <f>E745-P745</f>
        <v>0</v>
      </c>
    </row>
    <row r="746" spans="1:23" ht="16" x14ac:dyDescent="0.2">
      <c r="A746" s="1">
        <v>6</v>
      </c>
      <c r="B746" s="1">
        <v>12</v>
      </c>
      <c r="C746" s="10">
        <v>0.2</v>
      </c>
      <c r="D746" s="5">
        <v>60</v>
      </c>
      <c r="E746" s="10">
        <v>5.2499999999999998E-2</v>
      </c>
      <c r="F746" s="5">
        <v>47050</v>
      </c>
      <c r="G746" s="5">
        <v>3640</v>
      </c>
      <c r="I746" s="40">
        <f t="shared" si="28"/>
        <v>47050</v>
      </c>
      <c r="J746" s="40">
        <f t="shared" si="29"/>
        <v>3640</v>
      </c>
      <c r="K746" s="1">
        <v>47050</v>
      </c>
      <c r="L746" s="1">
        <v>3640</v>
      </c>
      <c r="M746">
        <f t="shared" si="30"/>
        <v>0</v>
      </c>
      <c r="N746" s="1">
        <v>0.2</v>
      </c>
      <c r="O746" s="1">
        <v>60</v>
      </c>
      <c r="P746" s="47">
        <v>5.2499999999999998E-2</v>
      </c>
      <c r="Q746" s="31">
        <f>C746-N746</f>
        <v>0</v>
      </c>
      <c r="R746" s="41">
        <f>D746-O746</f>
        <v>0</v>
      </c>
      <c r="S746" s="41">
        <f>E746-P746</f>
        <v>0</v>
      </c>
    </row>
    <row r="747" spans="1:23" s="15" customFormat="1" ht="16" x14ac:dyDescent="0.2">
      <c r="A747" s="1">
        <v>6</v>
      </c>
      <c r="B747" s="1">
        <v>12</v>
      </c>
      <c r="C747" s="10">
        <v>0.2</v>
      </c>
      <c r="D747" s="5">
        <v>60</v>
      </c>
      <c r="E747" s="10">
        <v>5.7500000000000002E-2</v>
      </c>
      <c r="F747" s="5">
        <v>39000</v>
      </c>
      <c r="G747" s="5">
        <v>3570</v>
      </c>
      <c r="H747" s="12"/>
      <c r="I747" s="40">
        <f t="shared" si="28"/>
        <v>39000</v>
      </c>
      <c r="J747" s="40">
        <f t="shared" si="29"/>
        <v>3570</v>
      </c>
      <c r="K747" s="1">
        <v>39000</v>
      </c>
      <c r="L747" s="1">
        <v>3570</v>
      </c>
      <c r="M747">
        <f t="shared" si="30"/>
        <v>0</v>
      </c>
      <c r="N747" s="1">
        <v>0.2</v>
      </c>
      <c r="O747" s="1">
        <v>60</v>
      </c>
      <c r="P747" s="47">
        <v>5.7500000000000002E-2</v>
      </c>
      <c r="Q747" s="31">
        <f>C747-N747</f>
        <v>0</v>
      </c>
      <c r="R747" s="41">
        <f>D747-O747</f>
        <v>0</v>
      </c>
      <c r="S747" s="41">
        <f>E747-P747</f>
        <v>0</v>
      </c>
      <c r="U747" s="12"/>
      <c r="V747" s="12"/>
      <c r="W747" s="12"/>
    </row>
    <row r="748" spans="1:23" ht="16" x14ac:dyDescent="0.2">
      <c r="A748" s="1">
        <v>6</v>
      </c>
      <c r="B748" s="1">
        <v>12</v>
      </c>
      <c r="C748" s="10">
        <v>0.2</v>
      </c>
      <c r="D748" s="5">
        <v>60</v>
      </c>
      <c r="E748" s="10">
        <v>6.25E-2</v>
      </c>
      <c r="F748" s="5">
        <v>31660</v>
      </c>
      <c r="G748" s="5">
        <v>3380</v>
      </c>
      <c r="I748" s="40">
        <f t="shared" si="28"/>
        <v>31660</v>
      </c>
      <c r="J748" s="40">
        <f t="shared" si="29"/>
        <v>3380</v>
      </c>
      <c r="K748" s="1">
        <v>31660</v>
      </c>
      <c r="L748" s="1">
        <v>3380</v>
      </c>
      <c r="M748">
        <f t="shared" si="30"/>
        <v>0</v>
      </c>
      <c r="N748" s="1">
        <v>0.2</v>
      </c>
      <c r="O748" s="1">
        <v>60</v>
      </c>
      <c r="P748" s="47">
        <v>6.25E-2</v>
      </c>
      <c r="Q748" s="31">
        <f>C748-N748</f>
        <v>0</v>
      </c>
      <c r="R748" s="41">
        <f>D748-O748</f>
        <v>0</v>
      </c>
      <c r="S748" s="41">
        <f>E748-P748</f>
        <v>0</v>
      </c>
    </row>
    <row r="749" spans="1:23" x14ac:dyDescent="0.15">
      <c r="A749" s="1">
        <v>6</v>
      </c>
      <c r="B749" s="1">
        <v>12</v>
      </c>
      <c r="C749" s="10">
        <v>0.2</v>
      </c>
      <c r="D749" s="5">
        <v>60</v>
      </c>
      <c r="E749" s="10">
        <v>6.7500000000000004E-2</v>
      </c>
      <c r="F749" s="5">
        <v>26050</v>
      </c>
      <c r="G749" s="5">
        <v>3200</v>
      </c>
      <c r="I749" s="40">
        <f t="shared" si="28"/>
        <v>26050</v>
      </c>
      <c r="J749" s="40">
        <f t="shared" si="29"/>
        <v>3200</v>
      </c>
      <c r="K749" s="1">
        <v>26050</v>
      </c>
      <c r="L749" s="1">
        <v>3200</v>
      </c>
      <c r="M749">
        <f t="shared" si="30"/>
        <v>0</v>
      </c>
      <c r="N749" s="1">
        <v>0.2</v>
      </c>
      <c r="O749" s="1">
        <v>60</v>
      </c>
      <c r="P749" s="24">
        <v>6.7500000000000004E-2</v>
      </c>
      <c r="Q749" s="31">
        <f>C749-N749</f>
        <v>0</v>
      </c>
      <c r="R749" s="41">
        <f>D749-O749</f>
        <v>0</v>
      </c>
      <c r="S749" s="41">
        <f>E749-P749</f>
        <v>0</v>
      </c>
    </row>
    <row r="750" spans="1:23" ht="16" x14ac:dyDescent="0.2">
      <c r="A750" s="12">
        <v>6</v>
      </c>
      <c r="B750" s="12">
        <v>12</v>
      </c>
      <c r="C750" s="13">
        <v>0.16089999999999999</v>
      </c>
      <c r="D750" s="14">
        <v>60</v>
      </c>
      <c r="E750" s="13">
        <v>8.4000000000000012E-3</v>
      </c>
      <c r="F750" s="14">
        <v>146800</v>
      </c>
      <c r="G750" s="14">
        <v>19250</v>
      </c>
      <c r="I750" s="40">
        <f t="shared" si="28"/>
        <v>146800</v>
      </c>
      <c r="J750" s="40">
        <f t="shared" si="29"/>
        <v>19250</v>
      </c>
      <c r="K750" s="12">
        <v>146800</v>
      </c>
      <c r="L750" s="12">
        <v>19250</v>
      </c>
      <c r="M750">
        <f t="shared" si="30"/>
        <v>0</v>
      </c>
      <c r="N750" s="12">
        <v>0.161</v>
      </c>
      <c r="O750" s="12">
        <v>60</v>
      </c>
      <c r="P750" s="48">
        <v>8.3999999999999995E-3</v>
      </c>
      <c r="Q750" s="31">
        <f>C750-N750</f>
        <v>-1.0000000000001674E-4</v>
      </c>
      <c r="R750" s="41">
        <f>D750-O750</f>
        <v>0</v>
      </c>
      <c r="S750" s="41">
        <f>E750-P750</f>
        <v>0</v>
      </c>
    </row>
    <row r="751" spans="1:23" ht="16" x14ac:dyDescent="0.2">
      <c r="A751" s="1">
        <v>6</v>
      </c>
      <c r="B751" s="1">
        <v>12</v>
      </c>
      <c r="C751" s="10">
        <v>0.16089999999999999</v>
      </c>
      <c r="D751" s="5">
        <v>60</v>
      </c>
      <c r="E751" s="10">
        <v>1.34E-2</v>
      </c>
      <c r="F751" s="5">
        <v>81090</v>
      </c>
      <c r="G751" s="5">
        <v>10790</v>
      </c>
      <c r="I751" s="40">
        <f t="shared" si="28"/>
        <v>81090</v>
      </c>
      <c r="J751" s="40">
        <f t="shared" si="29"/>
        <v>10790</v>
      </c>
      <c r="K751" s="1">
        <v>81090</v>
      </c>
      <c r="L751" s="1">
        <v>10790</v>
      </c>
      <c r="M751">
        <f t="shared" si="30"/>
        <v>0</v>
      </c>
      <c r="N751" s="1">
        <v>0.161</v>
      </c>
      <c r="O751" s="1">
        <v>60</v>
      </c>
      <c r="P751" s="48">
        <v>1.34E-2</v>
      </c>
      <c r="Q751" s="31">
        <f>C751-N751</f>
        <v>-1.0000000000001674E-4</v>
      </c>
      <c r="R751" s="41">
        <f>D751-O751</f>
        <v>0</v>
      </c>
      <c r="S751" s="41">
        <f>E751-P751</f>
        <v>0</v>
      </c>
    </row>
    <row r="752" spans="1:23" ht="16" x14ac:dyDescent="0.2">
      <c r="A752" s="1">
        <v>6</v>
      </c>
      <c r="B752" s="1">
        <v>12</v>
      </c>
      <c r="C752" s="10">
        <v>0.16089999999999999</v>
      </c>
      <c r="D752" s="5">
        <v>60</v>
      </c>
      <c r="E752" s="10">
        <v>1.84E-2</v>
      </c>
      <c r="F752" s="5">
        <v>96280</v>
      </c>
      <c r="G752" s="5">
        <v>9250</v>
      </c>
      <c r="I752" s="40">
        <f t="shared" si="28"/>
        <v>96280</v>
      </c>
      <c r="J752" s="40">
        <f t="shared" si="29"/>
        <v>9250</v>
      </c>
      <c r="K752" s="1">
        <v>96280</v>
      </c>
      <c r="L752" s="1">
        <v>9250</v>
      </c>
      <c r="M752">
        <f t="shared" si="30"/>
        <v>0</v>
      </c>
      <c r="N752" s="1">
        <v>0.161</v>
      </c>
      <c r="O752" s="1">
        <v>60</v>
      </c>
      <c r="P752" s="48">
        <v>1.84E-2</v>
      </c>
      <c r="Q752" s="31">
        <f>C752-N752</f>
        <v>-1.0000000000001674E-4</v>
      </c>
      <c r="R752" s="41">
        <f>D752-O752</f>
        <v>0</v>
      </c>
      <c r="S752" s="41">
        <f>E752-P752</f>
        <v>0</v>
      </c>
    </row>
    <row r="753" spans="1:23" ht="16" x14ac:dyDescent="0.2">
      <c r="A753" s="1">
        <v>6</v>
      </c>
      <c r="B753" s="1">
        <v>12</v>
      </c>
      <c r="C753" s="10">
        <v>0.16089999999999999</v>
      </c>
      <c r="D753" s="5">
        <v>60</v>
      </c>
      <c r="E753" s="10">
        <v>2.3399999999999997E-2</v>
      </c>
      <c r="F753" s="5">
        <v>147100</v>
      </c>
      <c r="G753" s="5">
        <v>9330</v>
      </c>
      <c r="I753" s="40">
        <f t="shared" si="28"/>
        <v>147100</v>
      </c>
      <c r="J753" s="40">
        <f t="shared" si="29"/>
        <v>9330</v>
      </c>
      <c r="K753" s="1">
        <v>147100</v>
      </c>
      <c r="L753" s="1">
        <v>9330</v>
      </c>
      <c r="M753">
        <f t="shared" si="30"/>
        <v>0</v>
      </c>
      <c r="N753" s="1">
        <v>0.161</v>
      </c>
      <c r="O753" s="1">
        <v>60</v>
      </c>
      <c r="P753" s="48">
        <v>2.3400000000000001E-2</v>
      </c>
      <c r="Q753" s="31">
        <f>C753-N753</f>
        <v>-1.0000000000001674E-4</v>
      </c>
      <c r="R753" s="41">
        <f>D753-O753</f>
        <v>0</v>
      </c>
      <c r="S753" s="41">
        <f>E753-P753</f>
        <v>0</v>
      </c>
    </row>
    <row r="754" spans="1:23" ht="16" x14ac:dyDescent="0.2">
      <c r="A754" s="1">
        <v>6</v>
      </c>
      <c r="B754" s="1">
        <v>12</v>
      </c>
      <c r="C754" s="10">
        <v>0.16089999999999999</v>
      </c>
      <c r="D754" s="5">
        <v>60</v>
      </c>
      <c r="E754" s="10">
        <v>2.8399999999999998E-2</v>
      </c>
      <c r="F754" s="5">
        <v>132800</v>
      </c>
      <c r="G754" s="5">
        <v>8350</v>
      </c>
      <c r="I754" s="40">
        <f t="shared" si="28"/>
        <v>132800</v>
      </c>
      <c r="J754" s="40">
        <f t="shared" si="29"/>
        <v>8350</v>
      </c>
      <c r="K754" s="1">
        <v>132800</v>
      </c>
      <c r="L754" s="1">
        <v>8350</v>
      </c>
      <c r="M754">
        <f t="shared" si="30"/>
        <v>0</v>
      </c>
      <c r="N754" s="1">
        <v>0.161</v>
      </c>
      <c r="O754" s="1">
        <v>60</v>
      </c>
      <c r="P754" s="48">
        <v>2.8400000000000002E-2</v>
      </c>
      <c r="Q754" s="31">
        <f>C754-N754</f>
        <v>-1.0000000000001674E-4</v>
      </c>
      <c r="R754" s="41">
        <f>D754-O754</f>
        <v>0</v>
      </c>
      <c r="S754" s="41">
        <f>E754-P754</f>
        <v>0</v>
      </c>
    </row>
    <row r="755" spans="1:23" ht="16" x14ac:dyDescent="0.2">
      <c r="A755" s="1">
        <v>6</v>
      </c>
      <c r="B755" s="1">
        <v>12</v>
      </c>
      <c r="C755" s="10">
        <v>0.16089999999999999</v>
      </c>
      <c r="D755" s="5">
        <v>60</v>
      </c>
      <c r="E755" s="10">
        <v>3.3399999999999999E-2</v>
      </c>
      <c r="F755" s="5">
        <v>101000</v>
      </c>
      <c r="G755" s="5">
        <v>7350</v>
      </c>
      <c r="I755" s="40">
        <f t="shared" si="28"/>
        <v>101000</v>
      </c>
      <c r="J755" s="40">
        <f t="shared" si="29"/>
        <v>7350</v>
      </c>
      <c r="K755" s="1">
        <v>101000</v>
      </c>
      <c r="L755" s="1">
        <v>7350</v>
      </c>
      <c r="M755">
        <f t="shared" si="30"/>
        <v>0</v>
      </c>
      <c r="N755" s="1">
        <v>0.161</v>
      </c>
      <c r="O755" s="1">
        <v>60</v>
      </c>
      <c r="P755" s="48">
        <v>3.3399999999999999E-2</v>
      </c>
      <c r="Q755" s="31">
        <f>C755-N755</f>
        <v>-1.0000000000001674E-4</v>
      </c>
      <c r="R755" s="41">
        <f>D755-O755</f>
        <v>0</v>
      </c>
      <c r="S755" s="41">
        <f>E755-P755</f>
        <v>0</v>
      </c>
    </row>
    <row r="756" spans="1:23" ht="16" x14ac:dyDescent="0.2">
      <c r="A756" s="1">
        <v>6</v>
      </c>
      <c r="B756" s="1">
        <v>12</v>
      </c>
      <c r="C756" s="10">
        <v>0.16089999999999999</v>
      </c>
      <c r="D756" s="5">
        <v>60</v>
      </c>
      <c r="E756" s="10">
        <v>3.8399999999999997E-2</v>
      </c>
      <c r="F756" s="5">
        <v>84780</v>
      </c>
      <c r="G756" s="5">
        <v>6800</v>
      </c>
      <c r="I756" s="40">
        <f t="shared" si="28"/>
        <v>84780</v>
      </c>
      <c r="J756" s="40">
        <f t="shared" si="29"/>
        <v>6800</v>
      </c>
      <c r="K756" s="1">
        <v>84780</v>
      </c>
      <c r="L756" s="1">
        <v>6800</v>
      </c>
      <c r="M756">
        <f t="shared" si="30"/>
        <v>0</v>
      </c>
      <c r="N756" s="1">
        <v>0.161</v>
      </c>
      <c r="O756" s="1">
        <v>60</v>
      </c>
      <c r="P756" s="48">
        <v>3.8399999999999997E-2</v>
      </c>
      <c r="Q756" s="31">
        <f>C756-N756</f>
        <v>-1.0000000000001674E-4</v>
      </c>
      <c r="R756" s="41">
        <f>D756-O756</f>
        <v>0</v>
      </c>
      <c r="S756" s="41">
        <f>E756-P756</f>
        <v>0</v>
      </c>
    </row>
    <row r="757" spans="1:23" ht="16" x14ac:dyDescent="0.2">
      <c r="A757" s="1">
        <v>6</v>
      </c>
      <c r="B757" s="1">
        <v>12</v>
      </c>
      <c r="C757" s="10">
        <v>0.16089999999999999</v>
      </c>
      <c r="D757" s="5">
        <v>60</v>
      </c>
      <c r="E757" s="10">
        <v>4.3400000000000001E-2</v>
      </c>
      <c r="F757" s="5">
        <v>71350</v>
      </c>
      <c r="G757" s="5">
        <v>6380</v>
      </c>
      <c r="I757" s="40">
        <f t="shared" si="28"/>
        <v>71350</v>
      </c>
      <c r="J757" s="40">
        <f t="shared" si="29"/>
        <v>6380</v>
      </c>
      <c r="K757" s="1">
        <v>71350</v>
      </c>
      <c r="L757" s="1">
        <v>6380</v>
      </c>
      <c r="M757">
        <f t="shared" si="30"/>
        <v>0</v>
      </c>
      <c r="N757" s="1">
        <v>0.161</v>
      </c>
      <c r="O757" s="1">
        <v>60</v>
      </c>
      <c r="P757" s="48">
        <v>4.3400000000000001E-2</v>
      </c>
      <c r="Q757" s="31">
        <f>C757-N757</f>
        <v>-1.0000000000001674E-4</v>
      </c>
      <c r="R757" s="41">
        <f>D757-O757</f>
        <v>0</v>
      </c>
      <c r="S757" s="41">
        <f>E757-P757</f>
        <v>0</v>
      </c>
    </row>
    <row r="758" spans="1:23" ht="17" thickBot="1" x14ac:dyDescent="0.25">
      <c r="A758" s="1">
        <v>6</v>
      </c>
      <c r="B758" s="1">
        <v>12</v>
      </c>
      <c r="C758" s="10">
        <v>0.16089999999999999</v>
      </c>
      <c r="D758" s="5">
        <v>60</v>
      </c>
      <c r="E758" s="10">
        <v>4.8399999999999999E-2</v>
      </c>
      <c r="F758" s="5">
        <v>58670</v>
      </c>
      <c r="G758" s="5">
        <v>6040</v>
      </c>
      <c r="I758" s="40">
        <f t="shared" si="28"/>
        <v>58670</v>
      </c>
      <c r="J758" s="40">
        <f t="shared" si="29"/>
        <v>6040</v>
      </c>
      <c r="K758" s="1">
        <v>58670</v>
      </c>
      <c r="L758" s="1">
        <v>6040</v>
      </c>
      <c r="M758">
        <f t="shared" si="30"/>
        <v>0</v>
      </c>
      <c r="N758" s="1">
        <v>0.161</v>
      </c>
      <c r="O758" s="1">
        <v>60</v>
      </c>
      <c r="P758" s="49">
        <v>4.8399999999999999E-2</v>
      </c>
      <c r="Q758" s="31">
        <f>C758-N758</f>
        <v>-1.0000000000001674E-4</v>
      </c>
      <c r="R758" s="41">
        <f>D758-O758</f>
        <v>0</v>
      </c>
      <c r="S758" s="41">
        <f>E758-P758</f>
        <v>0</v>
      </c>
    </row>
    <row r="759" spans="1:23" ht="14" thickTop="1" x14ac:dyDescent="0.15">
      <c r="A759" s="12">
        <v>6</v>
      </c>
      <c r="B759" s="12">
        <v>12</v>
      </c>
      <c r="C759" s="13">
        <v>0.55679999999999996</v>
      </c>
      <c r="D759" s="14">
        <v>90</v>
      </c>
      <c r="E759" s="13">
        <v>7.9299999999999995E-2</v>
      </c>
      <c r="F759" s="14">
        <v>14</v>
      </c>
      <c r="G759" s="14">
        <v>2</v>
      </c>
      <c r="I759" s="40">
        <f t="shared" si="28"/>
        <v>14</v>
      </c>
      <c r="J759" s="40">
        <f t="shared" si="29"/>
        <v>2</v>
      </c>
      <c r="K759" s="12">
        <v>14</v>
      </c>
      <c r="L759" s="12">
        <v>2</v>
      </c>
      <c r="M759">
        <f t="shared" si="30"/>
        <v>0</v>
      </c>
      <c r="N759" s="12">
        <v>0.55679999999999996</v>
      </c>
      <c r="O759" s="12">
        <v>90</v>
      </c>
      <c r="P759" s="24">
        <v>7.9299999999999995E-2</v>
      </c>
      <c r="Q759" s="31">
        <f>C759-N759</f>
        <v>0</v>
      </c>
      <c r="R759" s="41">
        <f>D759-O759</f>
        <v>0</v>
      </c>
      <c r="S759" s="41">
        <f>E759-P759</f>
        <v>0</v>
      </c>
    </row>
    <row r="760" spans="1:23" s="15" customFormat="1" x14ac:dyDescent="0.15">
      <c r="A760" s="1">
        <v>6</v>
      </c>
      <c r="B760" s="1">
        <v>12</v>
      </c>
      <c r="C760" s="10">
        <v>0.55679999999999996</v>
      </c>
      <c r="D760" s="5">
        <v>90</v>
      </c>
      <c r="E760" s="10">
        <v>8.929999999999999E-2</v>
      </c>
      <c r="F760" s="5">
        <v>24</v>
      </c>
      <c r="G760" s="5">
        <v>2</v>
      </c>
      <c r="H760" s="12"/>
      <c r="I760" s="40">
        <f t="shared" si="28"/>
        <v>24</v>
      </c>
      <c r="J760" s="40">
        <f t="shared" si="29"/>
        <v>2</v>
      </c>
      <c r="K760" s="1">
        <v>24</v>
      </c>
      <c r="L760" s="1">
        <v>2</v>
      </c>
      <c r="M760">
        <f t="shared" si="30"/>
        <v>0</v>
      </c>
      <c r="N760" s="1">
        <v>0.55679999999999996</v>
      </c>
      <c r="O760" s="1">
        <v>90</v>
      </c>
      <c r="P760" s="24">
        <v>8.9300000000000004E-2</v>
      </c>
      <c r="Q760" s="31">
        <f>C760-N760</f>
        <v>0</v>
      </c>
      <c r="R760" s="41">
        <f>D760-O760</f>
        <v>0</v>
      </c>
      <c r="S760" s="41">
        <f>E760-P760</f>
        <v>0</v>
      </c>
      <c r="U760" s="12"/>
      <c r="V760" s="12"/>
      <c r="W760" s="12"/>
    </row>
    <row r="761" spans="1:23" x14ac:dyDescent="0.15">
      <c r="A761" s="1">
        <v>6</v>
      </c>
      <c r="B761" s="1">
        <v>12</v>
      </c>
      <c r="C761" s="10">
        <v>0.55679999999999996</v>
      </c>
      <c r="D761" s="5">
        <v>90</v>
      </c>
      <c r="E761" s="10">
        <v>9.9299999999999999E-2</v>
      </c>
      <c r="F761" s="5">
        <v>40</v>
      </c>
      <c r="G761" s="5">
        <v>3</v>
      </c>
      <c r="I761" s="40">
        <f t="shared" ref="I761:I824" si="31">F761</f>
        <v>40</v>
      </c>
      <c r="J761" s="40">
        <f t="shared" ref="J761:J824" si="32">G761</f>
        <v>3</v>
      </c>
      <c r="K761" s="1">
        <v>40</v>
      </c>
      <c r="L761" s="1">
        <v>3</v>
      </c>
      <c r="M761">
        <f t="shared" si="30"/>
        <v>0</v>
      </c>
      <c r="N761" s="1">
        <v>0.55679999999999996</v>
      </c>
      <c r="O761" s="1">
        <v>90</v>
      </c>
      <c r="P761" s="24">
        <v>9.9299999999999999E-2</v>
      </c>
      <c r="Q761" s="31">
        <f>C761-N761</f>
        <v>0</v>
      </c>
      <c r="R761" s="41">
        <f>D761-O761</f>
        <v>0</v>
      </c>
      <c r="S761" s="41">
        <f>E761-P761</f>
        <v>0</v>
      </c>
    </row>
    <row r="762" spans="1:23" x14ac:dyDescent="0.15">
      <c r="A762" s="1">
        <v>6</v>
      </c>
      <c r="B762" s="1">
        <v>12</v>
      </c>
      <c r="C762" s="10">
        <v>0.55679999999999996</v>
      </c>
      <c r="D762" s="5">
        <v>90</v>
      </c>
      <c r="E762" s="10">
        <v>0.10929999999999999</v>
      </c>
      <c r="F762" s="5">
        <v>60</v>
      </c>
      <c r="G762" s="5">
        <v>4</v>
      </c>
      <c r="I762" s="40">
        <f t="shared" si="31"/>
        <v>60</v>
      </c>
      <c r="J762" s="40">
        <f t="shared" si="32"/>
        <v>4</v>
      </c>
      <c r="K762" s="1">
        <v>60</v>
      </c>
      <c r="L762" s="1">
        <v>4</v>
      </c>
      <c r="M762">
        <f t="shared" si="30"/>
        <v>0</v>
      </c>
      <c r="N762" s="1">
        <v>0.55679999999999996</v>
      </c>
      <c r="O762" s="1">
        <v>90</v>
      </c>
      <c r="P762" s="24">
        <v>0.10929999999999999</v>
      </c>
      <c r="Q762" s="31">
        <f>C762-N762</f>
        <v>0</v>
      </c>
      <c r="R762" s="41">
        <f>D762-O762</f>
        <v>0</v>
      </c>
      <c r="S762" s="41">
        <f>E762-P762</f>
        <v>0</v>
      </c>
    </row>
    <row r="763" spans="1:23" x14ac:dyDescent="0.15">
      <c r="A763" s="1">
        <v>6</v>
      </c>
      <c r="B763" s="1">
        <v>12</v>
      </c>
      <c r="C763" s="10">
        <v>0.55679999999999996</v>
      </c>
      <c r="D763" s="5">
        <v>90</v>
      </c>
      <c r="E763" s="10">
        <v>0.1193</v>
      </c>
      <c r="F763" s="5">
        <v>100</v>
      </c>
      <c r="G763" s="5">
        <v>10</v>
      </c>
      <c r="I763" s="40">
        <f t="shared" si="31"/>
        <v>100</v>
      </c>
      <c r="J763" s="40">
        <f t="shared" si="32"/>
        <v>10</v>
      </c>
      <c r="K763" s="1">
        <v>100</v>
      </c>
      <c r="L763" s="1">
        <v>10</v>
      </c>
      <c r="M763">
        <f t="shared" si="30"/>
        <v>0</v>
      </c>
      <c r="N763" s="1">
        <v>0.55679999999999996</v>
      </c>
      <c r="O763" s="1">
        <v>90</v>
      </c>
      <c r="P763" s="24">
        <v>0.1193</v>
      </c>
      <c r="Q763" s="31">
        <f>C763-N763</f>
        <v>0</v>
      </c>
      <c r="R763" s="41">
        <f>D763-O763</f>
        <v>0</v>
      </c>
      <c r="S763" s="41">
        <f>E763-P763</f>
        <v>0</v>
      </c>
    </row>
    <row r="764" spans="1:23" x14ac:dyDescent="0.15">
      <c r="A764" s="1">
        <v>6</v>
      </c>
      <c r="B764" s="1">
        <v>12</v>
      </c>
      <c r="C764" s="10">
        <v>0.55679999999999996</v>
      </c>
      <c r="D764" s="5">
        <v>90</v>
      </c>
      <c r="E764" s="10">
        <v>0.1293</v>
      </c>
      <c r="F764" s="5">
        <v>140</v>
      </c>
      <c r="G764" s="5">
        <v>10</v>
      </c>
      <c r="I764" s="40">
        <f t="shared" si="31"/>
        <v>140</v>
      </c>
      <c r="J764" s="40">
        <f t="shared" si="32"/>
        <v>10</v>
      </c>
      <c r="K764" s="1">
        <v>140</v>
      </c>
      <c r="L764" s="1">
        <v>10</v>
      </c>
      <c r="M764">
        <f t="shared" si="30"/>
        <v>0</v>
      </c>
      <c r="N764" s="1">
        <v>0.55679999999999996</v>
      </c>
      <c r="O764" s="1">
        <v>90</v>
      </c>
      <c r="P764" s="24">
        <v>0.1293</v>
      </c>
      <c r="Q764" s="31">
        <f>C764-N764</f>
        <v>0</v>
      </c>
      <c r="R764" s="41">
        <f>D764-O764</f>
        <v>0</v>
      </c>
      <c r="S764" s="41">
        <f>E764-P764</f>
        <v>0</v>
      </c>
    </row>
    <row r="765" spans="1:23" x14ac:dyDescent="0.15">
      <c r="A765" s="1">
        <v>6</v>
      </c>
      <c r="B765" s="1">
        <v>12</v>
      </c>
      <c r="C765" s="10">
        <v>0.55679999999999996</v>
      </c>
      <c r="D765" s="5">
        <v>90</v>
      </c>
      <c r="E765" s="10">
        <v>0.13930000000000001</v>
      </c>
      <c r="F765" s="5">
        <v>190</v>
      </c>
      <c r="G765" s="5">
        <v>10</v>
      </c>
      <c r="I765" s="40">
        <f t="shared" si="31"/>
        <v>190</v>
      </c>
      <c r="J765" s="40">
        <f t="shared" si="32"/>
        <v>10</v>
      </c>
      <c r="K765" s="1">
        <v>190</v>
      </c>
      <c r="L765" s="1">
        <v>10</v>
      </c>
      <c r="M765">
        <f t="shared" si="30"/>
        <v>0</v>
      </c>
      <c r="N765" s="1">
        <v>0.55679999999999996</v>
      </c>
      <c r="O765" s="1">
        <v>90</v>
      </c>
      <c r="P765" s="24">
        <v>0.13930000000000001</v>
      </c>
      <c r="Q765" s="31">
        <f>C765-N765</f>
        <v>0</v>
      </c>
      <c r="R765" s="41">
        <f>D765-O765</f>
        <v>0</v>
      </c>
      <c r="S765" s="41">
        <f>E765-P765</f>
        <v>0</v>
      </c>
    </row>
    <row r="766" spans="1:23" x14ac:dyDescent="0.15">
      <c r="A766" s="1">
        <v>6</v>
      </c>
      <c r="B766" s="1">
        <v>12</v>
      </c>
      <c r="C766" s="10">
        <v>0.55679999999999996</v>
      </c>
      <c r="D766" s="5">
        <v>90</v>
      </c>
      <c r="E766" s="10">
        <v>0.14930000000000002</v>
      </c>
      <c r="F766" s="5">
        <v>270</v>
      </c>
      <c r="G766" s="5">
        <v>10</v>
      </c>
      <c r="I766" s="40">
        <f t="shared" si="31"/>
        <v>270</v>
      </c>
      <c r="J766" s="40">
        <f t="shared" si="32"/>
        <v>10</v>
      </c>
      <c r="K766" s="1">
        <v>270</v>
      </c>
      <c r="L766" s="1">
        <v>10</v>
      </c>
      <c r="M766">
        <f t="shared" si="30"/>
        <v>0</v>
      </c>
      <c r="N766" s="1">
        <v>0.55679999999999996</v>
      </c>
      <c r="O766" s="1">
        <v>90</v>
      </c>
      <c r="P766" s="24">
        <v>0.14929999999999999</v>
      </c>
      <c r="Q766" s="31">
        <f>C766-N766</f>
        <v>0</v>
      </c>
      <c r="R766" s="41">
        <f>D766-O766</f>
        <v>0</v>
      </c>
      <c r="S766" s="41">
        <f>E766-P766</f>
        <v>0</v>
      </c>
    </row>
    <row r="767" spans="1:23" x14ac:dyDescent="0.15">
      <c r="A767" s="1">
        <v>6</v>
      </c>
      <c r="B767" s="1">
        <v>12</v>
      </c>
      <c r="C767" s="10">
        <v>0.55679999999999996</v>
      </c>
      <c r="D767" s="5">
        <v>90</v>
      </c>
      <c r="E767" s="10">
        <v>0.15930000000000002</v>
      </c>
      <c r="F767" s="5">
        <v>360</v>
      </c>
      <c r="G767" s="5">
        <v>10</v>
      </c>
      <c r="I767" s="40">
        <f t="shared" si="31"/>
        <v>360</v>
      </c>
      <c r="J767" s="40">
        <f t="shared" si="32"/>
        <v>10</v>
      </c>
      <c r="K767" s="1">
        <v>360</v>
      </c>
      <c r="L767" s="1">
        <v>10</v>
      </c>
      <c r="M767">
        <f t="shared" si="30"/>
        <v>0</v>
      </c>
      <c r="N767" s="1">
        <v>0.55679999999999996</v>
      </c>
      <c r="O767" s="1">
        <v>90</v>
      </c>
      <c r="P767" s="24">
        <v>0.1593</v>
      </c>
      <c r="Q767" s="31">
        <f>C767-N767</f>
        <v>0</v>
      </c>
      <c r="R767" s="41">
        <f>D767-O767</f>
        <v>0</v>
      </c>
      <c r="S767" s="41">
        <f>E767-P767</f>
        <v>0</v>
      </c>
    </row>
    <row r="768" spans="1:23" x14ac:dyDescent="0.15">
      <c r="A768" s="1">
        <v>6</v>
      </c>
      <c r="B768" s="1">
        <v>12</v>
      </c>
      <c r="C768" s="10">
        <v>0.55679999999999996</v>
      </c>
      <c r="D768" s="5">
        <v>90</v>
      </c>
      <c r="E768" s="10">
        <v>0.16930000000000001</v>
      </c>
      <c r="F768" s="5">
        <v>470</v>
      </c>
      <c r="G768" s="5">
        <v>20</v>
      </c>
      <c r="I768" s="40">
        <f t="shared" si="31"/>
        <v>470</v>
      </c>
      <c r="J768" s="40">
        <f t="shared" si="32"/>
        <v>20</v>
      </c>
      <c r="K768" s="1">
        <v>470</v>
      </c>
      <c r="L768" s="1">
        <v>20</v>
      </c>
      <c r="M768">
        <f t="shared" si="30"/>
        <v>0</v>
      </c>
      <c r="N768" s="1">
        <v>0.55679999999999996</v>
      </c>
      <c r="O768" s="1">
        <v>90</v>
      </c>
      <c r="P768" s="24">
        <v>0.16930000000000001</v>
      </c>
      <c r="Q768" s="31">
        <f>C768-N768</f>
        <v>0</v>
      </c>
      <c r="R768" s="41">
        <f>D768-O768</f>
        <v>0</v>
      </c>
      <c r="S768" s="41">
        <f>E768-P768</f>
        <v>0</v>
      </c>
    </row>
    <row r="769" spans="1:23" s="15" customFormat="1" x14ac:dyDescent="0.15">
      <c r="A769" s="1">
        <v>6</v>
      </c>
      <c r="B769" s="1">
        <v>12</v>
      </c>
      <c r="C769" s="10">
        <v>0.55679999999999996</v>
      </c>
      <c r="D769" s="5">
        <v>90</v>
      </c>
      <c r="E769" s="10">
        <v>0.17930000000000001</v>
      </c>
      <c r="F769" s="5">
        <v>560</v>
      </c>
      <c r="G769" s="5">
        <v>20</v>
      </c>
      <c r="H769" s="12"/>
      <c r="I769" s="40">
        <f t="shared" si="31"/>
        <v>560</v>
      </c>
      <c r="J769" s="40">
        <f t="shared" si="32"/>
        <v>20</v>
      </c>
      <c r="K769" s="1">
        <v>560</v>
      </c>
      <c r="L769" s="1">
        <v>20</v>
      </c>
      <c r="M769">
        <f t="shared" si="30"/>
        <v>0</v>
      </c>
      <c r="N769" s="1">
        <v>0.55679999999999996</v>
      </c>
      <c r="O769" s="1">
        <v>90</v>
      </c>
      <c r="P769" s="24">
        <v>0.17929999999999999</v>
      </c>
      <c r="Q769" s="31">
        <f>C769-N769</f>
        <v>0</v>
      </c>
      <c r="R769" s="41">
        <f>D769-O769</f>
        <v>0</v>
      </c>
      <c r="S769" s="41">
        <f>E769-P769</f>
        <v>0</v>
      </c>
      <c r="U769" s="12"/>
      <c r="V769" s="12"/>
      <c r="W769" s="12"/>
    </row>
    <row r="770" spans="1:23" x14ac:dyDescent="0.15">
      <c r="A770" s="1">
        <v>6</v>
      </c>
      <c r="B770" s="1">
        <v>12</v>
      </c>
      <c r="C770" s="10">
        <v>0.55679999999999996</v>
      </c>
      <c r="D770" s="5">
        <v>90</v>
      </c>
      <c r="E770" s="10">
        <v>0.18930000000000002</v>
      </c>
      <c r="F770" s="5">
        <v>670</v>
      </c>
      <c r="G770" s="5">
        <v>30</v>
      </c>
      <c r="I770" s="40">
        <f t="shared" si="31"/>
        <v>670</v>
      </c>
      <c r="J770" s="40">
        <f t="shared" si="32"/>
        <v>30</v>
      </c>
      <c r="K770" s="1">
        <v>670</v>
      </c>
      <c r="L770" s="1">
        <v>30</v>
      </c>
      <c r="M770">
        <f t="shared" si="30"/>
        <v>0</v>
      </c>
      <c r="N770" s="1">
        <v>0.55679999999999996</v>
      </c>
      <c r="O770" s="1">
        <v>90</v>
      </c>
      <c r="P770" s="24">
        <v>0.1893</v>
      </c>
      <c r="Q770" s="31">
        <f>C770-N770</f>
        <v>0</v>
      </c>
      <c r="R770" s="41">
        <f>D770-O770</f>
        <v>0</v>
      </c>
      <c r="S770" s="41">
        <f>E770-P770</f>
        <v>0</v>
      </c>
    </row>
    <row r="771" spans="1:23" x14ac:dyDescent="0.15">
      <c r="A771" s="1">
        <v>6</v>
      </c>
      <c r="B771" s="1">
        <v>12</v>
      </c>
      <c r="C771" s="10">
        <v>0.55679999999999996</v>
      </c>
      <c r="D771" s="5">
        <v>90</v>
      </c>
      <c r="E771" s="10">
        <v>0.1993</v>
      </c>
      <c r="F771" s="5">
        <v>740</v>
      </c>
      <c r="G771" s="5">
        <v>30</v>
      </c>
      <c r="I771" s="40">
        <f t="shared" si="31"/>
        <v>740</v>
      </c>
      <c r="J771" s="40">
        <f t="shared" si="32"/>
        <v>30</v>
      </c>
      <c r="K771" s="1">
        <v>740</v>
      </c>
      <c r="L771" s="1">
        <v>30</v>
      </c>
      <c r="M771">
        <f t="shared" ref="M771:M834" si="33">I771+J771-K771-L771</f>
        <v>0</v>
      </c>
      <c r="N771" s="1">
        <v>0.55679999999999996</v>
      </c>
      <c r="O771" s="1">
        <v>90</v>
      </c>
      <c r="P771" s="24">
        <v>0.1993</v>
      </c>
      <c r="Q771" s="31">
        <f>C771-N771</f>
        <v>0</v>
      </c>
      <c r="R771" s="41">
        <f>D771-O771</f>
        <v>0</v>
      </c>
      <c r="S771" s="41">
        <f>E771-P771</f>
        <v>0</v>
      </c>
    </row>
    <row r="772" spans="1:23" x14ac:dyDescent="0.15">
      <c r="A772" s="1">
        <v>6</v>
      </c>
      <c r="B772" s="1">
        <v>12</v>
      </c>
      <c r="C772" s="10">
        <v>0.55679999999999996</v>
      </c>
      <c r="D772" s="5">
        <v>90</v>
      </c>
      <c r="E772" s="10">
        <v>0.20930000000000001</v>
      </c>
      <c r="F772" s="5">
        <v>800</v>
      </c>
      <c r="G772" s="5">
        <v>30</v>
      </c>
      <c r="I772" s="40">
        <f t="shared" si="31"/>
        <v>800</v>
      </c>
      <c r="J772" s="40">
        <f t="shared" si="32"/>
        <v>30</v>
      </c>
      <c r="K772" s="1">
        <v>800</v>
      </c>
      <c r="L772" s="1">
        <v>30</v>
      </c>
      <c r="M772">
        <f t="shared" si="33"/>
        <v>0</v>
      </c>
      <c r="N772" s="1">
        <v>0.55679999999999996</v>
      </c>
      <c r="O772" s="1">
        <v>90</v>
      </c>
      <c r="P772" s="24">
        <v>0.20930000000000001</v>
      </c>
      <c r="Q772" s="31">
        <f>C772-N772</f>
        <v>0</v>
      </c>
      <c r="R772" s="41">
        <f>D772-O772</f>
        <v>0</v>
      </c>
      <c r="S772" s="41">
        <f>E772-P772</f>
        <v>0</v>
      </c>
    </row>
    <row r="773" spans="1:23" x14ac:dyDescent="0.15">
      <c r="A773" s="1">
        <v>6</v>
      </c>
      <c r="B773" s="1">
        <v>12</v>
      </c>
      <c r="C773" s="10">
        <v>0.55679999999999996</v>
      </c>
      <c r="D773" s="5">
        <v>90</v>
      </c>
      <c r="E773" s="10">
        <v>0.21930000000000002</v>
      </c>
      <c r="F773" s="5">
        <v>860</v>
      </c>
      <c r="G773" s="5">
        <v>30</v>
      </c>
      <c r="I773" s="40">
        <f t="shared" si="31"/>
        <v>860</v>
      </c>
      <c r="J773" s="40">
        <f t="shared" si="32"/>
        <v>30</v>
      </c>
      <c r="K773" s="1">
        <v>860</v>
      </c>
      <c r="L773" s="1">
        <v>30</v>
      </c>
      <c r="M773">
        <f t="shared" si="33"/>
        <v>0</v>
      </c>
      <c r="N773" s="1">
        <v>0.55679999999999996</v>
      </c>
      <c r="O773" s="1">
        <v>90</v>
      </c>
      <c r="P773" s="24">
        <v>0.21929999999999999</v>
      </c>
      <c r="Q773" s="31">
        <f>C773-N773</f>
        <v>0</v>
      </c>
      <c r="R773" s="41">
        <f>D773-O773</f>
        <v>0</v>
      </c>
      <c r="S773" s="41">
        <f>E773-P773</f>
        <v>0</v>
      </c>
    </row>
    <row r="774" spans="1:23" x14ac:dyDescent="0.15">
      <c r="A774" s="1">
        <v>6</v>
      </c>
      <c r="B774" s="1">
        <v>12</v>
      </c>
      <c r="C774" s="10">
        <v>0.55679999999999996</v>
      </c>
      <c r="D774" s="5">
        <v>90</v>
      </c>
      <c r="E774" s="10">
        <v>0.2293</v>
      </c>
      <c r="F774" s="5">
        <v>880</v>
      </c>
      <c r="G774" s="5">
        <v>40</v>
      </c>
      <c r="I774" s="40">
        <f t="shared" si="31"/>
        <v>880</v>
      </c>
      <c r="J774" s="40">
        <f t="shared" si="32"/>
        <v>40</v>
      </c>
      <c r="K774" s="1">
        <v>880</v>
      </c>
      <c r="L774" s="1">
        <v>40</v>
      </c>
      <c r="M774">
        <f t="shared" si="33"/>
        <v>0</v>
      </c>
      <c r="N774" s="1">
        <v>0.55679999999999996</v>
      </c>
      <c r="O774" s="1">
        <v>90</v>
      </c>
      <c r="P774" s="24">
        <v>0.2293</v>
      </c>
      <c r="Q774" s="31">
        <f>C774-N774</f>
        <v>0</v>
      </c>
      <c r="R774" s="41">
        <f>D774-O774</f>
        <v>0</v>
      </c>
      <c r="S774" s="41">
        <f>E774-P774</f>
        <v>0</v>
      </c>
    </row>
    <row r="775" spans="1:23" x14ac:dyDescent="0.15">
      <c r="A775" s="1">
        <v>6</v>
      </c>
      <c r="B775" s="1">
        <v>12</v>
      </c>
      <c r="C775" s="10">
        <v>0.55679999999999996</v>
      </c>
      <c r="D775" s="5">
        <v>90</v>
      </c>
      <c r="E775" s="10">
        <v>0.23930000000000001</v>
      </c>
      <c r="F775" s="5">
        <v>890</v>
      </c>
      <c r="G775" s="5">
        <v>40</v>
      </c>
      <c r="I775" s="40">
        <f t="shared" si="31"/>
        <v>890</v>
      </c>
      <c r="J775" s="40">
        <f t="shared" si="32"/>
        <v>40</v>
      </c>
      <c r="K775" s="1">
        <v>890</v>
      </c>
      <c r="L775" s="1">
        <v>40</v>
      </c>
      <c r="M775">
        <f t="shared" si="33"/>
        <v>0</v>
      </c>
      <c r="N775" s="1">
        <v>0.55679999999999996</v>
      </c>
      <c r="O775" s="1">
        <v>90</v>
      </c>
      <c r="P775" s="24">
        <v>0.23930000000000001</v>
      </c>
      <c r="Q775" s="31">
        <f>C775-N775</f>
        <v>0</v>
      </c>
      <c r="R775" s="41">
        <f>D775-O775</f>
        <v>0</v>
      </c>
      <c r="S775" s="41">
        <f>E775-P775</f>
        <v>0</v>
      </c>
    </row>
    <row r="776" spans="1:23" x14ac:dyDescent="0.15">
      <c r="A776" s="1">
        <v>6</v>
      </c>
      <c r="B776" s="1">
        <v>12</v>
      </c>
      <c r="C776" s="10">
        <v>0.55679999999999996</v>
      </c>
      <c r="D776" s="5">
        <v>90</v>
      </c>
      <c r="E776" s="10">
        <v>0.24930000000000002</v>
      </c>
      <c r="F776" s="5">
        <v>850</v>
      </c>
      <c r="G776" s="5">
        <v>40</v>
      </c>
      <c r="I776" s="40">
        <f t="shared" si="31"/>
        <v>850</v>
      </c>
      <c r="J776" s="40">
        <f t="shared" si="32"/>
        <v>40</v>
      </c>
      <c r="K776" s="1">
        <v>850</v>
      </c>
      <c r="L776" s="1">
        <v>40</v>
      </c>
      <c r="M776">
        <f t="shared" si="33"/>
        <v>0</v>
      </c>
      <c r="N776" s="1">
        <v>0.55679999999999996</v>
      </c>
      <c r="O776" s="1">
        <v>90</v>
      </c>
      <c r="P776" s="24">
        <v>0.24929999999999999</v>
      </c>
      <c r="Q776" s="31">
        <f>C776-N776</f>
        <v>0</v>
      </c>
      <c r="R776" s="41">
        <f>D776-O776</f>
        <v>0</v>
      </c>
      <c r="S776" s="41">
        <f>E776-P776</f>
        <v>0</v>
      </c>
    </row>
    <row r="777" spans="1:23" x14ac:dyDescent="0.15">
      <c r="A777" s="1">
        <v>6</v>
      </c>
      <c r="B777" s="1">
        <v>12</v>
      </c>
      <c r="C777" s="10">
        <v>0.55679999999999996</v>
      </c>
      <c r="D777" s="5">
        <v>90</v>
      </c>
      <c r="E777" s="10">
        <v>0.25930000000000003</v>
      </c>
      <c r="F777" s="5">
        <v>840</v>
      </c>
      <c r="G777" s="5">
        <v>40</v>
      </c>
      <c r="I777" s="40">
        <f t="shared" si="31"/>
        <v>840</v>
      </c>
      <c r="J777" s="40">
        <f t="shared" si="32"/>
        <v>40</v>
      </c>
      <c r="K777" s="1">
        <v>840</v>
      </c>
      <c r="L777" s="1">
        <v>40</v>
      </c>
      <c r="M777">
        <f t="shared" si="33"/>
        <v>0</v>
      </c>
      <c r="N777" s="1">
        <v>0.55679999999999996</v>
      </c>
      <c r="O777" s="1">
        <v>90</v>
      </c>
      <c r="P777" s="24">
        <v>0.25929999999999997</v>
      </c>
      <c r="Q777" s="31">
        <f>C777-N777</f>
        <v>0</v>
      </c>
      <c r="R777" s="41">
        <f>D777-O777</f>
        <v>0</v>
      </c>
      <c r="S777" s="41">
        <f>E777-P777</f>
        <v>0</v>
      </c>
    </row>
    <row r="778" spans="1:23" x14ac:dyDescent="0.15">
      <c r="A778" s="1">
        <v>6</v>
      </c>
      <c r="B778" s="1">
        <v>12</v>
      </c>
      <c r="C778" s="10">
        <v>0.55679999999999996</v>
      </c>
      <c r="D778" s="5">
        <v>90</v>
      </c>
      <c r="E778" s="10">
        <v>0.25930000000000003</v>
      </c>
      <c r="F778" s="5">
        <v>810</v>
      </c>
      <c r="G778" s="5">
        <v>40</v>
      </c>
      <c r="I778" s="40">
        <f t="shared" si="31"/>
        <v>810</v>
      </c>
      <c r="J778" s="40">
        <f t="shared" si="32"/>
        <v>40</v>
      </c>
      <c r="K778" s="1">
        <v>810</v>
      </c>
      <c r="L778" s="1">
        <v>40</v>
      </c>
      <c r="M778">
        <f t="shared" si="33"/>
        <v>0</v>
      </c>
      <c r="N778" s="1">
        <v>0.55679999999999996</v>
      </c>
      <c r="O778" s="1">
        <v>90</v>
      </c>
      <c r="P778" s="24">
        <v>0.26929999999999998</v>
      </c>
      <c r="Q778" s="31">
        <f>C778-N778</f>
        <v>0</v>
      </c>
      <c r="R778" s="41">
        <f>D778-O778</f>
        <v>0</v>
      </c>
      <c r="S778" s="41">
        <f>E778-P778</f>
        <v>-9.9999999999999534E-3</v>
      </c>
    </row>
    <row r="779" spans="1:23" x14ac:dyDescent="0.15">
      <c r="A779" s="12">
        <v>6</v>
      </c>
      <c r="B779" s="12">
        <v>12</v>
      </c>
      <c r="C779" s="13">
        <v>0.51929999999999998</v>
      </c>
      <c r="D779" s="14">
        <v>90</v>
      </c>
      <c r="E779" s="13">
        <v>5.1799999999999999E-2</v>
      </c>
      <c r="F779" s="14">
        <v>10</v>
      </c>
      <c r="G779" s="14">
        <v>2</v>
      </c>
      <c r="I779" s="40">
        <f t="shared" si="31"/>
        <v>10</v>
      </c>
      <c r="J779" s="40">
        <f t="shared" si="32"/>
        <v>2</v>
      </c>
      <c r="K779" s="12">
        <v>10</v>
      </c>
      <c r="L779" s="12">
        <v>2</v>
      </c>
      <c r="M779">
        <f t="shared" si="33"/>
        <v>0</v>
      </c>
      <c r="N779" s="12">
        <v>0.51929999999999998</v>
      </c>
      <c r="O779" s="12">
        <v>90</v>
      </c>
      <c r="P779" s="24">
        <v>5.1799999999999999E-2</v>
      </c>
      <c r="Q779" s="31">
        <f>C779-N779</f>
        <v>0</v>
      </c>
      <c r="R779" s="41">
        <f>D779-O779</f>
        <v>0</v>
      </c>
      <c r="S779" s="41">
        <f>E779-P779</f>
        <v>0</v>
      </c>
    </row>
    <row r="780" spans="1:23" x14ac:dyDescent="0.15">
      <c r="A780" s="1">
        <v>6</v>
      </c>
      <c r="B780" s="1">
        <v>12</v>
      </c>
      <c r="C780" s="10">
        <v>0.51929999999999998</v>
      </c>
      <c r="D780" s="5">
        <v>90</v>
      </c>
      <c r="E780" s="10">
        <v>6.1799999999999994E-2</v>
      </c>
      <c r="F780" s="5">
        <v>20</v>
      </c>
      <c r="G780" s="5">
        <v>3</v>
      </c>
      <c r="I780" s="40">
        <f t="shared" si="31"/>
        <v>20</v>
      </c>
      <c r="J780" s="40">
        <f t="shared" si="32"/>
        <v>3</v>
      </c>
      <c r="K780" s="1">
        <v>20</v>
      </c>
      <c r="L780" s="1">
        <v>3</v>
      </c>
      <c r="M780">
        <f t="shared" si="33"/>
        <v>0</v>
      </c>
      <c r="N780" s="1">
        <v>0.51929999999999998</v>
      </c>
      <c r="O780" s="1">
        <v>90</v>
      </c>
      <c r="P780" s="24">
        <v>6.1800000000000001E-2</v>
      </c>
      <c r="Q780" s="31">
        <f>C780-N780</f>
        <v>0</v>
      </c>
      <c r="R780" s="41">
        <f>D780-O780</f>
        <v>0</v>
      </c>
      <c r="S780" s="41">
        <f>E780-P780</f>
        <v>0</v>
      </c>
    </row>
    <row r="781" spans="1:23" x14ac:dyDescent="0.15">
      <c r="A781" s="1">
        <v>6</v>
      </c>
      <c r="B781" s="1">
        <v>12</v>
      </c>
      <c r="C781" s="10">
        <v>0.51929999999999998</v>
      </c>
      <c r="D781" s="5">
        <v>90</v>
      </c>
      <c r="E781" s="10">
        <v>7.1800000000000003E-2</v>
      </c>
      <c r="F781" s="5">
        <v>30</v>
      </c>
      <c r="G781" s="5">
        <v>4</v>
      </c>
      <c r="I781" s="40">
        <f t="shared" si="31"/>
        <v>30</v>
      </c>
      <c r="J781" s="40">
        <f t="shared" si="32"/>
        <v>4</v>
      </c>
      <c r="K781" s="1">
        <v>30</v>
      </c>
      <c r="L781" s="1">
        <v>4</v>
      </c>
      <c r="M781">
        <f t="shared" si="33"/>
        <v>0</v>
      </c>
      <c r="N781" s="1">
        <v>0.51929999999999998</v>
      </c>
      <c r="O781" s="1">
        <v>90</v>
      </c>
      <c r="P781" s="24">
        <v>7.1800000000000003E-2</v>
      </c>
      <c r="Q781" s="31">
        <f>C781-N781</f>
        <v>0</v>
      </c>
      <c r="R781" s="41">
        <f>D781-O781</f>
        <v>0</v>
      </c>
      <c r="S781" s="41">
        <f>E781-P781</f>
        <v>0</v>
      </c>
    </row>
    <row r="782" spans="1:23" x14ac:dyDescent="0.15">
      <c r="A782" s="1">
        <v>6</v>
      </c>
      <c r="B782" s="1">
        <v>12</v>
      </c>
      <c r="C782" s="10">
        <v>0.51929999999999998</v>
      </c>
      <c r="D782" s="5">
        <v>90</v>
      </c>
      <c r="E782" s="10">
        <v>8.1799999999999998E-2</v>
      </c>
      <c r="F782" s="5">
        <v>60</v>
      </c>
      <c r="G782" s="5">
        <v>10</v>
      </c>
      <c r="I782" s="40">
        <f t="shared" si="31"/>
        <v>60</v>
      </c>
      <c r="J782" s="40">
        <f t="shared" si="32"/>
        <v>10</v>
      </c>
      <c r="K782" s="1">
        <v>60</v>
      </c>
      <c r="L782" s="1">
        <v>10</v>
      </c>
      <c r="M782">
        <f t="shared" si="33"/>
        <v>0</v>
      </c>
      <c r="N782" s="1">
        <v>0.51929999999999998</v>
      </c>
      <c r="O782" s="1">
        <v>90</v>
      </c>
      <c r="P782" s="24">
        <v>8.1799999999999998E-2</v>
      </c>
      <c r="Q782" s="31">
        <f>C782-N782</f>
        <v>0</v>
      </c>
      <c r="R782" s="41">
        <f>D782-O782</f>
        <v>0</v>
      </c>
      <c r="S782" s="41">
        <f>E782-P782</f>
        <v>0</v>
      </c>
    </row>
    <row r="783" spans="1:23" x14ac:dyDescent="0.15">
      <c r="A783" s="1">
        <v>6</v>
      </c>
      <c r="B783" s="1">
        <v>12</v>
      </c>
      <c r="C783" s="10">
        <v>0.51929999999999998</v>
      </c>
      <c r="D783" s="5">
        <v>90</v>
      </c>
      <c r="E783" s="10">
        <v>9.1799999999999993E-2</v>
      </c>
      <c r="F783" s="5">
        <v>80</v>
      </c>
      <c r="G783" s="5">
        <v>10</v>
      </c>
      <c r="I783" s="40">
        <f t="shared" si="31"/>
        <v>80</v>
      </c>
      <c r="J783" s="40">
        <f t="shared" si="32"/>
        <v>10</v>
      </c>
      <c r="K783" s="1">
        <v>80</v>
      </c>
      <c r="L783" s="1">
        <v>10</v>
      </c>
      <c r="M783">
        <f t="shared" si="33"/>
        <v>0</v>
      </c>
      <c r="N783" s="1">
        <v>0.51929999999999998</v>
      </c>
      <c r="O783" s="1">
        <v>90</v>
      </c>
      <c r="P783" s="24">
        <v>9.1800000000000007E-2</v>
      </c>
      <c r="Q783" s="31">
        <f>C783-N783</f>
        <v>0</v>
      </c>
      <c r="R783" s="41">
        <f>D783-O783</f>
        <v>0</v>
      </c>
      <c r="S783" s="41">
        <f>E783-P783</f>
        <v>0</v>
      </c>
    </row>
    <row r="784" spans="1:23" x14ac:dyDescent="0.15">
      <c r="A784" s="1">
        <v>6</v>
      </c>
      <c r="B784" s="1">
        <v>12</v>
      </c>
      <c r="C784" s="10">
        <v>0.51929999999999998</v>
      </c>
      <c r="D784" s="5">
        <v>90</v>
      </c>
      <c r="E784" s="10">
        <v>0.1018</v>
      </c>
      <c r="F784" s="5">
        <v>130</v>
      </c>
      <c r="G784" s="5">
        <v>10</v>
      </c>
      <c r="I784" s="40">
        <f t="shared" si="31"/>
        <v>130</v>
      </c>
      <c r="J784" s="40">
        <f t="shared" si="32"/>
        <v>10</v>
      </c>
      <c r="K784" s="1">
        <v>130</v>
      </c>
      <c r="L784" s="1">
        <v>10</v>
      </c>
      <c r="M784">
        <f t="shared" si="33"/>
        <v>0</v>
      </c>
      <c r="N784" s="1">
        <v>0.51929999999999998</v>
      </c>
      <c r="O784" s="1">
        <v>90</v>
      </c>
      <c r="P784" s="24">
        <v>0.1018</v>
      </c>
      <c r="Q784" s="31">
        <f>C784-N784</f>
        <v>0</v>
      </c>
      <c r="R784" s="41">
        <f>D784-O784</f>
        <v>0</v>
      </c>
      <c r="S784" s="41">
        <f>E784-P784</f>
        <v>0</v>
      </c>
    </row>
    <row r="785" spans="1:23" x14ac:dyDescent="0.15">
      <c r="A785" s="1">
        <v>6</v>
      </c>
      <c r="B785" s="1">
        <v>12</v>
      </c>
      <c r="C785" s="10">
        <v>0.51929999999999998</v>
      </c>
      <c r="D785" s="5">
        <v>90</v>
      </c>
      <c r="E785" s="10">
        <v>0.1118</v>
      </c>
      <c r="F785" s="5">
        <v>200</v>
      </c>
      <c r="G785" s="5">
        <v>10</v>
      </c>
      <c r="I785" s="40">
        <f t="shared" si="31"/>
        <v>200</v>
      </c>
      <c r="J785" s="40">
        <f t="shared" si="32"/>
        <v>10</v>
      </c>
      <c r="K785" s="1">
        <v>200</v>
      </c>
      <c r="L785" s="1">
        <v>10</v>
      </c>
      <c r="M785">
        <f t="shared" si="33"/>
        <v>0</v>
      </c>
      <c r="N785" s="1">
        <v>0.51929999999999998</v>
      </c>
      <c r="O785" s="1">
        <v>90</v>
      </c>
      <c r="P785" s="24">
        <v>0.1118</v>
      </c>
      <c r="Q785" s="31">
        <f>C785-N785</f>
        <v>0</v>
      </c>
      <c r="R785" s="41">
        <f>D785-O785</f>
        <v>0</v>
      </c>
      <c r="S785" s="41">
        <f>E785-P785</f>
        <v>0</v>
      </c>
    </row>
    <row r="786" spans="1:23" x14ac:dyDescent="0.15">
      <c r="A786" s="1">
        <v>6</v>
      </c>
      <c r="B786" s="1">
        <v>12</v>
      </c>
      <c r="C786" s="10">
        <v>0.51929999999999998</v>
      </c>
      <c r="D786" s="5">
        <v>90</v>
      </c>
      <c r="E786" s="10">
        <v>0.12179999999999999</v>
      </c>
      <c r="F786" s="5">
        <v>290</v>
      </c>
      <c r="G786" s="5">
        <v>10</v>
      </c>
      <c r="I786" s="40">
        <f t="shared" si="31"/>
        <v>290</v>
      </c>
      <c r="J786" s="40">
        <f t="shared" si="32"/>
        <v>10</v>
      </c>
      <c r="K786" s="1">
        <v>290</v>
      </c>
      <c r="L786" s="1">
        <v>10</v>
      </c>
      <c r="M786">
        <f t="shared" si="33"/>
        <v>0</v>
      </c>
      <c r="N786" s="1">
        <v>0.51929999999999998</v>
      </c>
      <c r="O786" s="1">
        <v>90</v>
      </c>
      <c r="P786" s="24">
        <v>0.12180000000000001</v>
      </c>
      <c r="Q786" s="31">
        <f>C786-N786</f>
        <v>0</v>
      </c>
      <c r="R786" s="41">
        <f>D786-O786</f>
        <v>0</v>
      </c>
      <c r="S786" s="41">
        <f>E786-P786</f>
        <v>0</v>
      </c>
    </row>
    <row r="787" spans="1:23" x14ac:dyDescent="0.15">
      <c r="A787" s="1">
        <v>6</v>
      </c>
      <c r="B787" s="1">
        <v>12</v>
      </c>
      <c r="C787" s="10">
        <v>0.51929999999999998</v>
      </c>
      <c r="D787" s="5">
        <v>90</v>
      </c>
      <c r="E787" s="10">
        <v>0.1318</v>
      </c>
      <c r="F787" s="5">
        <v>390</v>
      </c>
      <c r="G787" s="5">
        <v>20</v>
      </c>
      <c r="I787" s="40">
        <f t="shared" si="31"/>
        <v>390</v>
      </c>
      <c r="J787" s="40">
        <f t="shared" si="32"/>
        <v>20</v>
      </c>
      <c r="K787" s="1">
        <v>390</v>
      </c>
      <c r="L787" s="1">
        <v>20</v>
      </c>
      <c r="M787">
        <f t="shared" si="33"/>
        <v>0</v>
      </c>
      <c r="N787" s="1">
        <v>0.51929999999999998</v>
      </c>
      <c r="O787" s="1">
        <v>90</v>
      </c>
      <c r="P787" s="24">
        <v>0.1318</v>
      </c>
      <c r="Q787" s="31">
        <f>C787-N787</f>
        <v>0</v>
      </c>
      <c r="R787" s="41">
        <f>D787-O787</f>
        <v>0</v>
      </c>
      <c r="S787" s="41">
        <f>E787-P787</f>
        <v>0</v>
      </c>
    </row>
    <row r="788" spans="1:23" x14ac:dyDescent="0.15">
      <c r="A788" s="1">
        <v>6</v>
      </c>
      <c r="B788" s="1">
        <v>12</v>
      </c>
      <c r="C788" s="10">
        <v>0.51929999999999998</v>
      </c>
      <c r="D788" s="5">
        <v>90</v>
      </c>
      <c r="E788" s="10">
        <v>0.14180000000000001</v>
      </c>
      <c r="F788" s="5">
        <v>500</v>
      </c>
      <c r="G788" s="5">
        <v>20</v>
      </c>
      <c r="I788" s="40">
        <f t="shared" si="31"/>
        <v>500</v>
      </c>
      <c r="J788" s="40">
        <f t="shared" si="32"/>
        <v>20</v>
      </c>
      <c r="K788" s="1">
        <v>500</v>
      </c>
      <c r="L788" s="1">
        <v>20</v>
      </c>
      <c r="M788">
        <f t="shared" si="33"/>
        <v>0</v>
      </c>
      <c r="N788" s="1">
        <v>0.51929999999999998</v>
      </c>
      <c r="O788" s="1">
        <v>90</v>
      </c>
      <c r="P788" s="24">
        <v>0.14180000000000001</v>
      </c>
      <c r="Q788" s="31">
        <f>C788-N788</f>
        <v>0</v>
      </c>
      <c r="R788" s="41">
        <f>D788-O788</f>
        <v>0</v>
      </c>
      <c r="S788" s="41">
        <f>E788-P788</f>
        <v>0</v>
      </c>
    </row>
    <row r="789" spans="1:23" s="15" customFormat="1" x14ac:dyDescent="0.15">
      <c r="A789" s="1">
        <v>6</v>
      </c>
      <c r="B789" s="1">
        <v>12</v>
      </c>
      <c r="C789" s="10">
        <v>0.51929999999999998</v>
      </c>
      <c r="D789" s="5">
        <v>90</v>
      </c>
      <c r="E789" s="10">
        <v>0.15180000000000002</v>
      </c>
      <c r="F789" s="5">
        <v>660</v>
      </c>
      <c r="G789" s="5">
        <v>30</v>
      </c>
      <c r="H789" s="12"/>
      <c r="I789" s="40">
        <f t="shared" si="31"/>
        <v>660</v>
      </c>
      <c r="J789" s="40">
        <f t="shared" si="32"/>
        <v>30</v>
      </c>
      <c r="K789" s="1">
        <v>660</v>
      </c>
      <c r="L789" s="1">
        <v>30</v>
      </c>
      <c r="M789">
        <f t="shared" si="33"/>
        <v>0</v>
      </c>
      <c r="N789" s="1">
        <v>0.51929999999999998</v>
      </c>
      <c r="O789" s="1">
        <v>90</v>
      </c>
      <c r="P789" s="24">
        <v>0.15179999999999999</v>
      </c>
      <c r="Q789" s="31">
        <f>C789-N789</f>
        <v>0</v>
      </c>
      <c r="R789" s="41">
        <f>D789-O789</f>
        <v>0</v>
      </c>
      <c r="S789" s="41">
        <f>E789-P789</f>
        <v>0</v>
      </c>
      <c r="U789" s="12"/>
      <c r="V789" s="12"/>
      <c r="W789" s="12"/>
    </row>
    <row r="790" spans="1:23" x14ac:dyDescent="0.15">
      <c r="A790" s="1">
        <v>6</v>
      </c>
      <c r="B790" s="1">
        <v>12</v>
      </c>
      <c r="C790" s="10">
        <v>0.51929999999999998</v>
      </c>
      <c r="D790" s="5">
        <v>90</v>
      </c>
      <c r="E790" s="10">
        <v>0.1618</v>
      </c>
      <c r="F790" s="5">
        <v>780</v>
      </c>
      <c r="G790" s="5">
        <v>30</v>
      </c>
      <c r="I790" s="40">
        <f t="shared" si="31"/>
        <v>780</v>
      </c>
      <c r="J790" s="40">
        <f t="shared" si="32"/>
        <v>30</v>
      </c>
      <c r="K790" s="1">
        <v>780</v>
      </c>
      <c r="L790" s="1">
        <v>30</v>
      </c>
      <c r="M790">
        <f t="shared" si="33"/>
        <v>0</v>
      </c>
      <c r="N790" s="1">
        <v>0.51929999999999998</v>
      </c>
      <c r="O790" s="1">
        <v>90</v>
      </c>
      <c r="P790" s="24">
        <v>0.1618</v>
      </c>
      <c r="Q790" s="31">
        <f>C790-N790</f>
        <v>0</v>
      </c>
      <c r="R790" s="41">
        <f>D790-O790</f>
        <v>0</v>
      </c>
      <c r="S790" s="41">
        <f>E790-P790</f>
        <v>0</v>
      </c>
    </row>
    <row r="791" spans="1:23" x14ac:dyDescent="0.15">
      <c r="A791" s="1">
        <v>6</v>
      </c>
      <c r="B791" s="1">
        <v>12</v>
      </c>
      <c r="C791" s="10">
        <v>0.51929999999999998</v>
      </c>
      <c r="D791" s="5">
        <v>90</v>
      </c>
      <c r="E791" s="10">
        <v>0.17180000000000001</v>
      </c>
      <c r="F791" s="5">
        <v>880</v>
      </c>
      <c r="G791" s="5">
        <v>30</v>
      </c>
      <c r="I791" s="40">
        <f t="shared" si="31"/>
        <v>880</v>
      </c>
      <c r="J791" s="40">
        <f t="shared" si="32"/>
        <v>30</v>
      </c>
      <c r="K791" s="1">
        <v>880</v>
      </c>
      <c r="L791" s="1">
        <v>30</v>
      </c>
      <c r="M791">
        <f t="shared" si="33"/>
        <v>0</v>
      </c>
      <c r="N791" s="1">
        <v>0.51929999999999998</v>
      </c>
      <c r="O791" s="1">
        <v>90</v>
      </c>
      <c r="P791" s="24">
        <v>0.17180000000000001</v>
      </c>
      <c r="Q791" s="31">
        <f>C791-N791</f>
        <v>0</v>
      </c>
      <c r="R791" s="41">
        <f>D791-O791</f>
        <v>0</v>
      </c>
      <c r="S791" s="41">
        <f>E791-P791</f>
        <v>0</v>
      </c>
    </row>
    <row r="792" spans="1:23" x14ac:dyDescent="0.15">
      <c r="A792" s="1">
        <v>6</v>
      </c>
      <c r="B792" s="1">
        <v>12</v>
      </c>
      <c r="C792" s="10">
        <v>0.51929999999999998</v>
      </c>
      <c r="D792" s="5">
        <v>90</v>
      </c>
      <c r="E792" s="10">
        <v>0.18180000000000002</v>
      </c>
      <c r="F792" s="5">
        <v>1010</v>
      </c>
      <c r="G792" s="5">
        <v>40</v>
      </c>
      <c r="I792" s="40">
        <f t="shared" si="31"/>
        <v>1010</v>
      </c>
      <c r="J792" s="40">
        <f t="shared" si="32"/>
        <v>40</v>
      </c>
      <c r="K792" s="1">
        <v>1010</v>
      </c>
      <c r="L792" s="1">
        <v>40</v>
      </c>
      <c r="M792">
        <f t="shared" si="33"/>
        <v>0</v>
      </c>
      <c r="N792" s="1">
        <v>0.51929999999999998</v>
      </c>
      <c r="O792" s="1">
        <v>90</v>
      </c>
      <c r="P792" s="24">
        <v>0.18179999999999999</v>
      </c>
      <c r="Q792" s="31">
        <f>C792-N792</f>
        <v>0</v>
      </c>
      <c r="R792" s="41">
        <f>D792-O792</f>
        <v>0</v>
      </c>
      <c r="S792" s="41">
        <f>E792-P792</f>
        <v>0</v>
      </c>
    </row>
    <row r="793" spans="1:23" x14ac:dyDescent="0.15">
      <c r="A793" s="1">
        <v>6</v>
      </c>
      <c r="B793" s="1">
        <v>12</v>
      </c>
      <c r="C793" s="10">
        <v>0.51929999999999998</v>
      </c>
      <c r="D793" s="5">
        <v>90</v>
      </c>
      <c r="E793" s="10">
        <v>0.1918</v>
      </c>
      <c r="F793" s="5">
        <v>1100</v>
      </c>
      <c r="G793" s="5">
        <v>50</v>
      </c>
      <c r="I793" s="40">
        <f t="shared" si="31"/>
        <v>1100</v>
      </c>
      <c r="J793" s="40">
        <f t="shared" si="32"/>
        <v>50</v>
      </c>
      <c r="K793" s="1">
        <v>1100</v>
      </c>
      <c r="L793" s="1">
        <v>40</v>
      </c>
      <c r="M793">
        <f t="shared" si="33"/>
        <v>10</v>
      </c>
      <c r="N793" s="1">
        <v>0.51929999999999998</v>
      </c>
      <c r="O793" s="1">
        <v>90</v>
      </c>
      <c r="P793" s="24">
        <v>0.1918</v>
      </c>
      <c r="Q793" s="31">
        <f>C793-N793</f>
        <v>0</v>
      </c>
      <c r="R793" s="41">
        <f>D793-O793</f>
        <v>0</v>
      </c>
      <c r="S793" s="41">
        <f>E793-P793</f>
        <v>0</v>
      </c>
    </row>
    <row r="794" spans="1:23" x14ac:dyDescent="0.15">
      <c r="A794" s="1">
        <v>6</v>
      </c>
      <c r="B794" s="1">
        <v>12</v>
      </c>
      <c r="C794" s="10">
        <v>0.51929999999999998</v>
      </c>
      <c r="D794" s="5">
        <v>90</v>
      </c>
      <c r="E794" s="10">
        <v>0.20180000000000001</v>
      </c>
      <c r="F794" s="5">
        <v>1160</v>
      </c>
      <c r="G794" s="5">
        <v>50</v>
      </c>
      <c r="I794" s="40">
        <f t="shared" si="31"/>
        <v>1160</v>
      </c>
      <c r="J794" s="40">
        <f t="shared" si="32"/>
        <v>50</v>
      </c>
      <c r="K794" s="1">
        <v>1160</v>
      </c>
      <c r="L794" s="1">
        <v>50</v>
      </c>
      <c r="M794">
        <f t="shared" si="33"/>
        <v>0</v>
      </c>
      <c r="N794" s="1">
        <v>0.51929999999999998</v>
      </c>
      <c r="O794" s="1">
        <v>90</v>
      </c>
      <c r="P794" s="24">
        <v>0.20180000000000001</v>
      </c>
      <c r="Q794" s="31">
        <f>C794-N794</f>
        <v>0</v>
      </c>
      <c r="R794" s="41">
        <f>D794-O794</f>
        <v>0</v>
      </c>
      <c r="S794" s="41">
        <f>E794-P794</f>
        <v>0</v>
      </c>
    </row>
    <row r="795" spans="1:23" x14ac:dyDescent="0.15">
      <c r="A795" s="1">
        <v>6</v>
      </c>
      <c r="B795" s="1">
        <v>12</v>
      </c>
      <c r="C795" s="10">
        <v>0.51929999999999998</v>
      </c>
      <c r="D795" s="5">
        <v>90</v>
      </c>
      <c r="E795" s="10">
        <v>0.21180000000000002</v>
      </c>
      <c r="F795" s="5">
        <v>1160</v>
      </c>
      <c r="G795" s="5">
        <v>50</v>
      </c>
      <c r="I795" s="40">
        <f t="shared" si="31"/>
        <v>1160</v>
      </c>
      <c r="J795" s="40">
        <f t="shared" si="32"/>
        <v>50</v>
      </c>
      <c r="K795" s="1">
        <v>1160</v>
      </c>
      <c r="L795" s="1">
        <v>50</v>
      </c>
      <c r="M795">
        <f t="shared" si="33"/>
        <v>0</v>
      </c>
      <c r="N795" s="1">
        <v>0.51929999999999998</v>
      </c>
      <c r="O795" s="1">
        <v>90</v>
      </c>
      <c r="P795" s="24">
        <v>0.21179999999999999</v>
      </c>
      <c r="Q795" s="31">
        <f>C795-N795</f>
        <v>0</v>
      </c>
      <c r="R795" s="41">
        <f>D795-O795</f>
        <v>0</v>
      </c>
      <c r="S795" s="41">
        <f>E795-P795</f>
        <v>0</v>
      </c>
    </row>
    <row r="796" spans="1:23" ht="14" thickBot="1" x14ac:dyDescent="0.2">
      <c r="A796" s="1">
        <v>6</v>
      </c>
      <c r="B796" s="1">
        <v>12</v>
      </c>
      <c r="C796" s="10">
        <v>0.51929999999999998</v>
      </c>
      <c r="D796" s="5">
        <v>90</v>
      </c>
      <c r="E796" s="10">
        <v>0.22180000000000002</v>
      </c>
      <c r="F796" s="5">
        <v>1170</v>
      </c>
      <c r="G796" s="5">
        <v>50</v>
      </c>
      <c r="I796" s="40">
        <f t="shared" si="31"/>
        <v>1170</v>
      </c>
      <c r="J796" s="40">
        <f t="shared" si="32"/>
        <v>50</v>
      </c>
      <c r="K796" s="1">
        <v>1140</v>
      </c>
      <c r="L796" s="1">
        <v>50</v>
      </c>
      <c r="M796">
        <f t="shared" si="33"/>
        <v>30</v>
      </c>
      <c r="N796" s="1">
        <v>0.51929999999999998</v>
      </c>
      <c r="O796" s="1">
        <v>90</v>
      </c>
      <c r="P796" s="44">
        <v>0.2218</v>
      </c>
      <c r="Q796" s="31">
        <f>C796-N796</f>
        <v>0</v>
      </c>
      <c r="R796" s="41">
        <f>D796-O796</f>
        <v>0</v>
      </c>
      <c r="S796" s="41">
        <f>E796-P796</f>
        <v>0</v>
      </c>
    </row>
    <row r="797" spans="1:23" ht="14" thickTop="1" x14ac:dyDescent="0.15">
      <c r="A797" s="1">
        <v>6</v>
      </c>
      <c r="B797" s="1">
        <v>12</v>
      </c>
      <c r="C797" s="10">
        <v>0.51929999999999998</v>
      </c>
      <c r="D797" s="5">
        <v>90</v>
      </c>
      <c r="E797" s="10">
        <v>0.23180000000000001</v>
      </c>
      <c r="F797" s="5">
        <v>1140</v>
      </c>
      <c r="G797" s="5">
        <v>50</v>
      </c>
      <c r="I797" s="40">
        <f t="shared" si="31"/>
        <v>1140</v>
      </c>
      <c r="J797" s="40">
        <f t="shared" si="32"/>
        <v>50</v>
      </c>
      <c r="K797" s="1">
        <v>20</v>
      </c>
      <c r="L797" s="1">
        <v>2</v>
      </c>
      <c r="M797">
        <f t="shared" si="33"/>
        <v>1168</v>
      </c>
      <c r="N797" s="1">
        <v>0.47939999999999999</v>
      </c>
      <c r="O797" s="1">
        <v>90</v>
      </c>
      <c r="P797" s="24">
        <v>4.19E-2</v>
      </c>
      <c r="Q797" s="31">
        <f>C797-N797</f>
        <v>3.9899999999999991E-2</v>
      </c>
      <c r="R797" s="41">
        <f>D797-O797</f>
        <v>0</v>
      </c>
      <c r="S797" s="41">
        <f>E797-P797</f>
        <v>0.18990000000000001</v>
      </c>
    </row>
    <row r="798" spans="1:23" x14ac:dyDescent="0.15">
      <c r="A798" s="12">
        <v>6</v>
      </c>
      <c r="B798" s="12">
        <v>12</v>
      </c>
      <c r="C798" s="13">
        <v>0.47939999999999999</v>
      </c>
      <c r="D798" s="14">
        <v>90</v>
      </c>
      <c r="E798" s="13">
        <v>4.19E-2</v>
      </c>
      <c r="F798" s="14">
        <v>20</v>
      </c>
      <c r="G798" s="14">
        <v>2</v>
      </c>
      <c r="I798" s="40">
        <f t="shared" si="31"/>
        <v>20</v>
      </c>
      <c r="J798" s="40">
        <f t="shared" si="32"/>
        <v>2</v>
      </c>
      <c r="K798" s="12">
        <v>30</v>
      </c>
      <c r="L798" s="12">
        <v>3</v>
      </c>
      <c r="M798">
        <f t="shared" si="33"/>
        <v>-11</v>
      </c>
      <c r="N798" s="12">
        <v>0.47939999999999999</v>
      </c>
      <c r="O798" s="12">
        <v>90</v>
      </c>
      <c r="P798" s="24">
        <v>5.1900000000000002E-2</v>
      </c>
      <c r="Q798" s="31">
        <f>C798-N798</f>
        <v>0</v>
      </c>
      <c r="R798" s="41">
        <f>D798-O798</f>
        <v>0</v>
      </c>
      <c r="S798" s="41">
        <f>E798-P798</f>
        <v>-1.0000000000000002E-2</v>
      </c>
    </row>
    <row r="799" spans="1:23" x14ac:dyDescent="0.15">
      <c r="A799" s="1">
        <v>6</v>
      </c>
      <c r="B799" s="1">
        <v>12</v>
      </c>
      <c r="C799" s="10">
        <v>0.47939999999999999</v>
      </c>
      <c r="D799" s="5">
        <v>90</v>
      </c>
      <c r="E799" s="10">
        <v>5.1900000000000002E-2</v>
      </c>
      <c r="F799" s="5">
        <v>30</v>
      </c>
      <c r="G799" s="5">
        <v>3</v>
      </c>
      <c r="I799" s="40">
        <f t="shared" si="31"/>
        <v>30</v>
      </c>
      <c r="J799" s="40">
        <f t="shared" si="32"/>
        <v>3</v>
      </c>
      <c r="K799" s="1">
        <v>60</v>
      </c>
      <c r="L799" s="1">
        <v>4</v>
      </c>
      <c r="M799">
        <f t="shared" si="33"/>
        <v>-31</v>
      </c>
      <c r="N799" s="1">
        <v>0.47939999999999999</v>
      </c>
      <c r="O799" s="1">
        <v>90</v>
      </c>
      <c r="P799" s="24">
        <v>6.1899999999999997E-2</v>
      </c>
      <c r="Q799" s="31">
        <f>C799-N799</f>
        <v>0</v>
      </c>
      <c r="R799" s="41">
        <f>D799-O799</f>
        <v>0</v>
      </c>
      <c r="S799" s="41">
        <f>E799-P799</f>
        <v>-9.999999999999995E-3</v>
      </c>
    </row>
    <row r="800" spans="1:23" x14ac:dyDescent="0.15">
      <c r="A800" s="1">
        <v>6</v>
      </c>
      <c r="B800" s="1">
        <v>12</v>
      </c>
      <c r="C800" s="10">
        <v>0.47939999999999999</v>
      </c>
      <c r="D800" s="5">
        <v>90</v>
      </c>
      <c r="E800" s="10">
        <v>6.1899999999999997E-2</v>
      </c>
      <c r="F800" s="5">
        <v>60</v>
      </c>
      <c r="G800" s="5">
        <v>40</v>
      </c>
      <c r="I800" s="40">
        <f t="shared" si="31"/>
        <v>60</v>
      </c>
      <c r="J800" s="40">
        <f t="shared" si="32"/>
        <v>40</v>
      </c>
      <c r="K800" s="1">
        <v>100</v>
      </c>
      <c r="L800" s="1">
        <v>10</v>
      </c>
      <c r="M800">
        <f t="shared" si="33"/>
        <v>-10</v>
      </c>
      <c r="N800" s="1">
        <v>0.47939999999999999</v>
      </c>
      <c r="O800" s="1">
        <v>90</v>
      </c>
      <c r="P800" s="24">
        <v>7.1900000000000006E-2</v>
      </c>
      <c r="Q800" s="31">
        <f>C800-N800</f>
        <v>0</v>
      </c>
      <c r="R800" s="41">
        <f>D800-O800</f>
        <v>0</v>
      </c>
      <c r="S800" s="41">
        <f>E800-P800</f>
        <v>-1.0000000000000009E-2</v>
      </c>
    </row>
    <row r="801" spans="1:23" x14ac:dyDescent="0.15">
      <c r="A801" s="1">
        <v>6</v>
      </c>
      <c r="B801" s="1">
        <v>12</v>
      </c>
      <c r="C801" s="10">
        <v>0.47939999999999999</v>
      </c>
      <c r="D801" s="5">
        <v>90</v>
      </c>
      <c r="E801" s="10">
        <v>7.1900000000000006E-2</v>
      </c>
      <c r="F801" s="5">
        <v>100</v>
      </c>
      <c r="G801" s="5">
        <v>10</v>
      </c>
      <c r="I801" s="40">
        <f t="shared" si="31"/>
        <v>100</v>
      </c>
      <c r="J801" s="40">
        <f t="shared" si="32"/>
        <v>10</v>
      </c>
      <c r="K801" s="1">
        <v>170</v>
      </c>
      <c r="L801" s="1">
        <v>10</v>
      </c>
      <c r="M801">
        <f t="shared" si="33"/>
        <v>-70</v>
      </c>
      <c r="N801" s="1">
        <v>0.47939999999999999</v>
      </c>
      <c r="O801" s="1">
        <v>90</v>
      </c>
      <c r="P801" s="24">
        <v>8.1900000000000001E-2</v>
      </c>
      <c r="Q801" s="31">
        <f>C801-N801</f>
        <v>0</v>
      </c>
      <c r="R801" s="41">
        <f>D801-O801</f>
        <v>0</v>
      </c>
      <c r="S801" s="41">
        <f>E801-P801</f>
        <v>-9.999999999999995E-3</v>
      </c>
    </row>
    <row r="802" spans="1:23" x14ac:dyDescent="0.15">
      <c r="A802" s="1">
        <v>6</v>
      </c>
      <c r="B802" s="1">
        <v>12</v>
      </c>
      <c r="C802" s="10">
        <v>0.47939999999999999</v>
      </c>
      <c r="D802" s="5">
        <v>90</v>
      </c>
      <c r="E802" s="10">
        <v>8.1900000000000001E-2</v>
      </c>
      <c r="F802" s="5">
        <v>170</v>
      </c>
      <c r="G802" s="5">
        <v>10</v>
      </c>
      <c r="I802" s="40">
        <f t="shared" si="31"/>
        <v>170</v>
      </c>
      <c r="J802" s="40">
        <f t="shared" si="32"/>
        <v>10</v>
      </c>
      <c r="K802" s="1">
        <v>260</v>
      </c>
      <c r="L802" s="1">
        <v>10</v>
      </c>
      <c r="M802">
        <f t="shared" si="33"/>
        <v>-90</v>
      </c>
      <c r="N802" s="1">
        <v>0.47939999999999999</v>
      </c>
      <c r="O802" s="1">
        <v>90</v>
      </c>
      <c r="P802" s="24">
        <v>9.1899999999999996E-2</v>
      </c>
      <c r="Q802" s="31">
        <f>C802-N802</f>
        <v>0</v>
      </c>
      <c r="R802" s="41">
        <f>D802-O802</f>
        <v>0</v>
      </c>
      <c r="S802" s="41">
        <f>E802-P802</f>
        <v>-9.999999999999995E-3</v>
      </c>
    </row>
    <row r="803" spans="1:23" x14ac:dyDescent="0.15">
      <c r="A803" s="1">
        <v>6</v>
      </c>
      <c r="B803" s="1">
        <v>12</v>
      </c>
      <c r="C803" s="10">
        <v>0.47939999999999999</v>
      </c>
      <c r="D803" s="5">
        <v>90</v>
      </c>
      <c r="E803" s="10">
        <v>9.1900000000000009E-2</v>
      </c>
      <c r="F803" s="5">
        <v>260</v>
      </c>
      <c r="G803" s="5">
        <v>10</v>
      </c>
      <c r="I803" s="40">
        <f t="shared" si="31"/>
        <v>260</v>
      </c>
      <c r="J803" s="40">
        <f t="shared" si="32"/>
        <v>10</v>
      </c>
      <c r="K803" s="1">
        <v>380</v>
      </c>
      <c r="L803" s="1">
        <v>10</v>
      </c>
      <c r="M803">
        <f t="shared" si="33"/>
        <v>-120</v>
      </c>
      <c r="N803" s="1">
        <v>0.47939999999999999</v>
      </c>
      <c r="O803" s="1">
        <v>90</v>
      </c>
      <c r="P803" s="24">
        <v>0.1019</v>
      </c>
      <c r="Q803" s="31">
        <f>C803-N803</f>
        <v>0</v>
      </c>
      <c r="R803" s="41">
        <f>D803-O803</f>
        <v>0</v>
      </c>
      <c r="S803" s="41">
        <f>E803-P803</f>
        <v>-9.999999999999995E-3</v>
      </c>
    </row>
    <row r="804" spans="1:23" x14ac:dyDescent="0.15">
      <c r="A804" s="1">
        <v>6</v>
      </c>
      <c r="B804" s="1">
        <v>12</v>
      </c>
      <c r="C804" s="10">
        <v>0.47939999999999999</v>
      </c>
      <c r="D804" s="5">
        <v>90</v>
      </c>
      <c r="E804" s="10">
        <v>0.1019</v>
      </c>
      <c r="F804" s="5">
        <v>380</v>
      </c>
      <c r="G804" s="5">
        <v>10</v>
      </c>
      <c r="I804" s="40">
        <f t="shared" si="31"/>
        <v>380</v>
      </c>
      <c r="J804" s="40">
        <f t="shared" si="32"/>
        <v>10</v>
      </c>
      <c r="K804" s="1">
        <v>510</v>
      </c>
      <c r="L804" s="1">
        <v>20</v>
      </c>
      <c r="M804">
        <f t="shared" si="33"/>
        <v>-140</v>
      </c>
      <c r="N804" s="1">
        <v>0.47939999999999999</v>
      </c>
      <c r="O804" s="1">
        <v>90</v>
      </c>
      <c r="P804" s="24">
        <v>0.1119</v>
      </c>
      <c r="Q804" s="31">
        <f>C804-N804</f>
        <v>0</v>
      </c>
      <c r="R804" s="41">
        <f>D804-O804</f>
        <v>0</v>
      </c>
      <c r="S804" s="41">
        <f>E804-P804</f>
        <v>-9.999999999999995E-3</v>
      </c>
    </row>
    <row r="805" spans="1:23" x14ac:dyDescent="0.15">
      <c r="A805" s="1">
        <v>6</v>
      </c>
      <c r="B805" s="1">
        <v>12</v>
      </c>
      <c r="C805" s="10">
        <v>0.47939999999999999</v>
      </c>
      <c r="D805" s="5">
        <v>90</v>
      </c>
      <c r="E805" s="10">
        <v>0.1119</v>
      </c>
      <c r="F805" s="5">
        <v>510</v>
      </c>
      <c r="G805" s="5">
        <v>20</v>
      </c>
      <c r="I805" s="40">
        <f t="shared" si="31"/>
        <v>510</v>
      </c>
      <c r="J805" s="40">
        <f t="shared" si="32"/>
        <v>20</v>
      </c>
      <c r="K805" s="1">
        <v>700</v>
      </c>
      <c r="L805" s="1">
        <v>20</v>
      </c>
      <c r="M805">
        <f t="shared" si="33"/>
        <v>-190</v>
      </c>
      <c r="N805" s="1">
        <v>0.47939999999999999</v>
      </c>
      <c r="O805" s="1">
        <v>90</v>
      </c>
      <c r="P805" s="24">
        <v>0.12189999999999999</v>
      </c>
      <c r="Q805" s="31">
        <f>C805-N805</f>
        <v>0</v>
      </c>
      <c r="R805" s="41">
        <f>D805-O805</f>
        <v>0</v>
      </c>
      <c r="S805" s="41">
        <f>E805-P805</f>
        <v>-9.999999999999995E-3</v>
      </c>
    </row>
    <row r="806" spans="1:23" x14ac:dyDescent="0.15">
      <c r="A806" s="1">
        <v>6</v>
      </c>
      <c r="B806" s="1">
        <v>12</v>
      </c>
      <c r="C806" s="10">
        <v>0.47939999999999999</v>
      </c>
      <c r="D806" s="5">
        <v>90</v>
      </c>
      <c r="E806" s="10">
        <v>0.12190000000000001</v>
      </c>
      <c r="F806" s="5">
        <v>700</v>
      </c>
      <c r="G806" s="5">
        <v>20</v>
      </c>
      <c r="I806" s="40">
        <f t="shared" si="31"/>
        <v>700</v>
      </c>
      <c r="J806" s="40">
        <f t="shared" si="32"/>
        <v>20</v>
      </c>
      <c r="K806" s="1">
        <v>860</v>
      </c>
      <c r="L806" s="1">
        <v>30</v>
      </c>
      <c r="M806">
        <f t="shared" si="33"/>
        <v>-170</v>
      </c>
      <c r="N806" s="1">
        <v>0.47939999999999999</v>
      </c>
      <c r="O806" s="1">
        <v>90</v>
      </c>
      <c r="P806" s="24">
        <v>0.13189999999999999</v>
      </c>
      <c r="Q806" s="31">
        <f>C806-N806</f>
        <v>0</v>
      </c>
      <c r="R806" s="41">
        <f>D806-O806</f>
        <v>0</v>
      </c>
      <c r="S806" s="41">
        <f>E806-P806</f>
        <v>-9.9999999999999811E-3</v>
      </c>
    </row>
    <row r="807" spans="1:23" x14ac:dyDescent="0.15">
      <c r="A807" s="1">
        <v>6</v>
      </c>
      <c r="B807" s="1">
        <v>12</v>
      </c>
      <c r="C807" s="10">
        <v>0.47939999999999999</v>
      </c>
      <c r="D807" s="5">
        <v>90</v>
      </c>
      <c r="E807" s="10">
        <v>0.13190000000000002</v>
      </c>
      <c r="F807" s="5">
        <v>860</v>
      </c>
      <c r="G807" s="5">
        <v>30</v>
      </c>
      <c r="I807" s="40">
        <f t="shared" si="31"/>
        <v>860</v>
      </c>
      <c r="J807" s="40">
        <f t="shared" si="32"/>
        <v>30</v>
      </c>
      <c r="K807" s="1">
        <v>1060</v>
      </c>
      <c r="L807" s="1">
        <v>40</v>
      </c>
      <c r="M807">
        <f t="shared" si="33"/>
        <v>-210</v>
      </c>
      <c r="N807" s="1">
        <v>0.47939999999999999</v>
      </c>
      <c r="O807" s="1">
        <v>90</v>
      </c>
      <c r="P807" s="24">
        <v>0.1419</v>
      </c>
      <c r="Q807" s="31">
        <f>C807-N807</f>
        <v>0</v>
      </c>
      <c r="R807" s="41">
        <f>D807-O807</f>
        <v>0</v>
      </c>
      <c r="S807" s="41">
        <f>E807-P807</f>
        <v>-9.9999999999999811E-3</v>
      </c>
    </row>
    <row r="808" spans="1:23" s="15" customFormat="1" x14ac:dyDescent="0.15">
      <c r="A808" s="1">
        <v>6</v>
      </c>
      <c r="B808" s="1">
        <v>12</v>
      </c>
      <c r="C808" s="10">
        <v>0.47939999999999999</v>
      </c>
      <c r="D808" s="5">
        <v>90</v>
      </c>
      <c r="E808" s="10">
        <v>0.1419</v>
      </c>
      <c r="F808" s="5">
        <v>1060</v>
      </c>
      <c r="G808" s="5">
        <v>40</v>
      </c>
      <c r="H808" s="12"/>
      <c r="I808" s="40">
        <f t="shared" si="31"/>
        <v>1060</v>
      </c>
      <c r="J808" s="40">
        <f t="shared" si="32"/>
        <v>40</v>
      </c>
      <c r="K808" s="1">
        <v>1270</v>
      </c>
      <c r="L808" s="1">
        <v>60</v>
      </c>
      <c r="M808">
        <f t="shared" si="33"/>
        <v>-230</v>
      </c>
      <c r="N808" s="1">
        <v>0.47939999999999999</v>
      </c>
      <c r="O808" s="1">
        <v>90</v>
      </c>
      <c r="P808" s="24">
        <v>0.15190000000000001</v>
      </c>
      <c r="Q808" s="31">
        <f>C808-N808</f>
        <v>0</v>
      </c>
      <c r="R808" s="41">
        <f>D808-O808</f>
        <v>0</v>
      </c>
      <c r="S808" s="41">
        <f>E808-P808</f>
        <v>-1.0000000000000009E-2</v>
      </c>
      <c r="U808" s="12"/>
      <c r="V808" s="12"/>
      <c r="W808" s="12"/>
    </row>
    <row r="809" spans="1:23" x14ac:dyDescent="0.15">
      <c r="A809" s="1">
        <v>6</v>
      </c>
      <c r="B809" s="1">
        <v>12</v>
      </c>
      <c r="C809" s="10">
        <v>0.47939999999999999</v>
      </c>
      <c r="D809" s="5">
        <v>90</v>
      </c>
      <c r="E809" s="10">
        <v>0.15190000000000001</v>
      </c>
      <c r="F809" s="5">
        <v>1270</v>
      </c>
      <c r="G809" s="5">
        <v>60</v>
      </c>
      <c r="I809" s="40">
        <f t="shared" si="31"/>
        <v>1270</v>
      </c>
      <c r="J809" s="40">
        <f t="shared" si="32"/>
        <v>60</v>
      </c>
      <c r="K809" s="1">
        <v>1360</v>
      </c>
      <c r="L809" s="1">
        <v>60</v>
      </c>
      <c r="M809">
        <f t="shared" si="33"/>
        <v>-90</v>
      </c>
      <c r="N809" s="1">
        <v>0.47939999999999999</v>
      </c>
      <c r="O809" s="1">
        <v>90</v>
      </c>
      <c r="P809" s="24">
        <v>0.16189999999999999</v>
      </c>
      <c r="Q809" s="31">
        <f>C809-N809</f>
        <v>0</v>
      </c>
      <c r="R809" s="41">
        <f>D809-O809</f>
        <v>0</v>
      </c>
      <c r="S809" s="41">
        <f>E809-P809</f>
        <v>-9.9999999999999811E-3</v>
      </c>
    </row>
    <row r="810" spans="1:23" x14ac:dyDescent="0.15">
      <c r="A810" s="1">
        <v>6</v>
      </c>
      <c r="B810" s="1">
        <v>12</v>
      </c>
      <c r="C810" s="10">
        <v>0.47939999999999999</v>
      </c>
      <c r="D810" s="5">
        <v>90</v>
      </c>
      <c r="E810" s="10">
        <v>0.16190000000000002</v>
      </c>
      <c r="F810" s="5">
        <v>1360</v>
      </c>
      <c r="G810" s="5">
        <v>50</v>
      </c>
      <c r="I810" s="40">
        <f t="shared" si="31"/>
        <v>1360</v>
      </c>
      <c r="J810" s="40">
        <f t="shared" si="32"/>
        <v>50</v>
      </c>
      <c r="K810" s="1">
        <v>1460</v>
      </c>
      <c r="L810" s="1">
        <v>60</v>
      </c>
      <c r="M810">
        <f t="shared" si="33"/>
        <v>-110</v>
      </c>
      <c r="N810" s="1">
        <v>0.47939999999999999</v>
      </c>
      <c r="O810" s="1">
        <v>90</v>
      </c>
      <c r="P810" s="24">
        <v>0.1719</v>
      </c>
      <c r="Q810" s="31">
        <f>C810-N810</f>
        <v>0</v>
      </c>
      <c r="R810" s="41">
        <f>D810-O810</f>
        <v>0</v>
      </c>
      <c r="S810" s="41">
        <f>E810-P810</f>
        <v>-9.9999999999999811E-3</v>
      </c>
    </row>
    <row r="811" spans="1:23" x14ac:dyDescent="0.15">
      <c r="A811" s="1">
        <v>6</v>
      </c>
      <c r="B811" s="1">
        <v>12</v>
      </c>
      <c r="C811" s="10">
        <v>0.47939999999999999</v>
      </c>
      <c r="D811" s="5">
        <v>90</v>
      </c>
      <c r="E811" s="10">
        <v>0.1719</v>
      </c>
      <c r="F811" s="5">
        <v>1460</v>
      </c>
      <c r="G811" s="5">
        <v>60</v>
      </c>
      <c r="I811" s="40">
        <f t="shared" si="31"/>
        <v>1460</v>
      </c>
      <c r="J811" s="40">
        <f t="shared" si="32"/>
        <v>60</v>
      </c>
      <c r="K811" s="1">
        <v>1490</v>
      </c>
      <c r="L811" s="1">
        <v>60</v>
      </c>
      <c r="M811">
        <f t="shared" si="33"/>
        <v>-30</v>
      </c>
      <c r="N811" s="1">
        <v>0.47939999999999999</v>
      </c>
      <c r="O811" s="1">
        <v>90</v>
      </c>
      <c r="P811" s="24">
        <v>0.18190000000000001</v>
      </c>
      <c r="Q811" s="31">
        <f>C811-N811</f>
        <v>0</v>
      </c>
      <c r="R811" s="41">
        <f>D811-O811</f>
        <v>0</v>
      </c>
      <c r="S811" s="41">
        <f>E811-P811</f>
        <v>-1.0000000000000009E-2</v>
      </c>
    </row>
    <row r="812" spans="1:23" x14ac:dyDescent="0.15">
      <c r="A812" s="1">
        <v>6</v>
      </c>
      <c r="B812" s="1">
        <v>12</v>
      </c>
      <c r="C812" s="10">
        <v>0.47939999999999999</v>
      </c>
      <c r="D812" s="5">
        <v>90</v>
      </c>
      <c r="E812" s="10">
        <v>0.18190000000000001</v>
      </c>
      <c r="F812" s="5">
        <v>1490</v>
      </c>
      <c r="G812" s="5">
        <v>60</v>
      </c>
      <c r="I812" s="40">
        <f t="shared" si="31"/>
        <v>1490</v>
      </c>
      <c r="J812" s="40">
        <f t="shared" si="32"/>
        <v>60</v>
      </c>
      <c r="K812" s="1">
        <v>1470</v>
      </c>
      <c r="L812" s="1">
        <v>50</v>
      </c>
      <c r="M812">
        <f t="shared" si="33"/>
        <v>30</v>
      </c>
      <c r="N812" s="1">
        <v>0.47939999999999999</v>
      </c>
      <c r="O812" s="1">
        <v>90</v>
      </c>
      <c r="P812" s="24">
        <v>0.19189999999999999</v>
      </c>
      <c r="Q812" s="31">
        <f>C812-N812</f>
        <v>0</v>
      </c>
      <c r="R812" s="41">
        <f>D812-O812</f>
        <v>0</v>
      </c>
      <c r="S812" s="41">
        <f>E812-P812</f>
        <v>-9.9999999999999811E-3</v>
      </c>
    </row>
    <row r="813" spans="1:23" x14ac:dyDescent="0.15">
      <c r="A813" s="1">
        <v>6</v>
      </c>
      <c r="B813" s="1">
        <v>12</v>
      </c>
      <c r="C813" s="10">
        <v>0.47939999999999999</v>
      </c>
      <c r="D813" s="5">
        <v>90</v>
      </c>
      <c r="E813" s="10">
        <v>0.19190000000000002</v>
      </c>
      <c r="F813" s="5">
        <v>1470</v>
      </c>
      <c r="G813" s="5">
        <v>50</v>
      </c>
      <c r="I813" s="40">
        <f t="shared" si="31"/>
        <v>1470</v>
      </c>
      <c r="J813" s="40">
        <f t="shared" si="32"/>
        <v>50</v>
      </c>
      <c r="K813" s="1">
        <v>1420</v>
      </c>
      <c r="L813" s="1">
        <v>50</v>
      </c>
      <c r="M813">
        <f t="shared" si="33"/>
        <v>50</v>
      </c>
      <c r="N813" s="1">
        <v>0.47939999999999999</v>
      </c>
      <c r="O813" s="1">
        <v>90</v>
      </c>
      <c r="P813" s="24">
        <v>0.2019</v>
      </c>
      <c r="Q813" s="31">
        <f>C813-N813</f>
        <v>0</v>
      </c>
      <c r="R813" s="41">
        <f>D813-O813</f>
        <v>0</v>
      </c>
      <c r="S813" s="41">
        <f>E813-P813</f>
        <v>-9.9999999999999811E-3</v>
      </c>
    </row>
    <row r="814" spans="1:23" x14ac:dyDescent="0.15">
      <c r="A814" s="1">
        <v>6</v>
      </c>
      <c r="B814" s="1">
        <v>12</v>
      </c>
      <c r="C814" s="10">
        <v>0.47939999999999999</v>
      </c>
      <c r="D814" s="5">
        <v>90</v>
      </c>
      <c r="E814" s="10">
        <v>0.2019</v>
      </c>
      <c r="F814" s="5">
        <v>1420</v>
      </c>
      <c r="G814" s="5">
        <v>50</v>
      </c>
      <c r="I814" s="40">
        <f t="shared" si="31"/>
        <v>1420</v>
      </c>
      <c r="J814" s="40">
        <f t="shared" si="32"/>
        <v>50</v>
      </c>
      <c r="K814" s="1">
        <v>1420</v>
      </c>
      <c r="L814" s="1">
        <v>50</v>
      </c>
      <c r="M814">
        <f t="shared" si="33"/>
        <v>0</v>
      </c>
      <c r="N814" s="1">
        <v>0.47939999999999999</v>
      </c>
      <c r="O814" s="1">
        <v>90</v>
      </c>
      <c r="P814" s="24">
        <v>0.21190000000000001</v>
      </c>
      <c r="Q814" s="31">
        <f>C814-N814</f>
        <v>0</v>
      </c>
      <c r="R814" s="41">
        <f>D814-O814</f>
        <v>0</v>
      </c>
      <c r="S814" s="41">
        <f>E814-P814</f>
        <v>-1.0000000000000009E-2</v>
      </c>
    </row>
    <row r="815" spans="1:23" x14ac:dyDescent="0.15">
      <c r="A815" s="1">
        <v>6</v>
      </c>
      <c r="B815" s="1">
        <v>12</v>
      </c>
      <c r="C815" s="10">
        <v>0.47939999999999999</v>
      </c>
      <c r="D815" s="5">
        <v>90</v>
      </c>
      <c r="E815" s="10">
        <v>0.21190000000000001</v>
      </c>
      <c r="F815" s="5">
        <v>1420</v>
      </c>
      <c r="G815" s="5">
        <v>50</v>
      </c>
      <c r="I815" s="40">
        <f t="shared" si="31"/>
        <v>1420</v>
      </c>
      <c r="J815" s="40">
        <f t="shared" si="32"/>
        <v>50</v>
      </c>
      <c r="K815" s="1">
        <v>1420</v>
      </c>
      <c r="L815" s="1">
        <v>50</v>
      </c>
      <c r="M815">
        <f t="shared" si="33"/>
        <v>0</v>
      </c>
      <c r="N815" s="1">
        <v>0.47939999999999999</v>
      </c>
      <c r="O815" s="1">
        <v>90</v>
      </c>
      <c r="P815" s="24">
        <v>0.22189999999999999</v>
      </c>
      <c r="Q815" s="31">
        <f>C815-N815</f>
        <v>0</v>
      </c>
      <c r="R815" s="41">
        <f>D815-O815</f>
        <v>0</v>
      </c>
      <c r="S815" s="41">
        <f>E815-P815</f>
        <v>-9.9999999999999811E-3</v>
      </c>
    </row>
    <row r="816" spans="1:23" x14ac:dyDescent="0.15">
      <c r="A816" s="1">
        <v>6</v>
      </c>
      <c r="B816" s="1">
        <v>12</v>
      </c>
      <c r="C816" s="10">
        <v>0.47939999999999999</v>
      </c>
      <c r="D816" s="5">
        <v>90</v>
      </c>
      <c r="E816" s="10">
        <v>0.22190000000000001</v>
      </c>
      <c r="F816" s="5">
        <v>1210</v>
      </c>
      <c r="G816" s="5">
        <v>50</v>
      </c>
      <c r="I816" s="40">
        <f t="shared" si="31"/>
        <v>1210</v>
      </c>
      <c r="J816" s="40">
        <f t="shared" si="32"/>
        <v>50</v>
      </c>
      <c r="K816" s="1">
        <v>1170</v>
      </c>
      <c r="L816" s="1">
        <v>50</v>
      </c>
      <c r="M816">
        <f t="shared" si="33"/>
        <v>40</v>
      </c>
      <c r="N816" s="1">
        <v>0.47939999999999999</v>
      </c>
      <c r="O816" s="1">
        <v>90</v>
      </c>
      <c r="P816" s="24">
        <v>0.2319</v>
      </c>
      <c r="Q816" s="31">
        <f>C816-N816</f>
        <v>0</v>
      </c>
      <c r="R816" s="41">
        <f>D816-O816</f>
        <v>0</v>
      </c>
      <c r="S816" s="41">
        <f>E816-P816</f>
        <v>-9.9999999999999811E-3</v>
      </c>
    </row>
    <row r="817" spans="1:19" x14ac:dyDescent="0.15">
      <c r="A817" s="1">
        <v>6</v>
      </c>
      <c r="B817" s="1">
        <v>12</v>
      </c>
      <c r="C817" s="10">
        <v>0.47939999999999999</v>
      </c>
      <c r="D817" s="5">
        <v>90</v>
      </c>
      <c r="E817" s="10">
        <v>0.2319</v>
      </c>
      <c r="F817" s="5">
        <v>1170</v>
      </c>
      <c r="G817" s="5">
        <v>50</v>
      </c>
      <c r="I817" s="40">
        <f t="shared" si="31"/>
        <v>1170</v>
      </c>
      <c r="J817" s="40">
        <f t="shared" si="32"/>
        <v>50</v>
      </c>
      <c r="K817" s="1">
        <v>1100</v>
      </c>
      <c r="L817" s="1">
        <v>50</v>
      </c>
      <c r="M817">
        <f t="shared" si="33"/>
        <v>70</v>
      </c>
      <c r="N817" s="1">
        <v>0.47939999999999999</v>
      </c>
      <c r="O817" s="1">
        <v>90</v>
      </c>
      <c r="P817" s="24">
        <v>0.2419</v>
      </c>
      <c r="Q817" s="31">
        <f>C817-N817</f>
        <v>0</v>
      </c>
      <c r="R817" s="41">
        <f>D817-O817</f>
        <v>0</v>
      </c>
      <c r="S817" s="41">
        <f>E817-P817</f>
        <v>-1.0000000000000009E-2</v>
      </c>
    </row>
    <row r="818" spans="1:19" x14ac:dyDescent="0.15">
      <c r="A818" s="1">
        <v>6</v>
      </c>
      <c r="B818" s="1">
        <v>12</v>
      </c>
      <c r="C818" s="10">
        <v>0.47939999999999999</v>
      </c>
      <c r="D818" s="5">
        <v>90</v>
      </c>
      <c r="E818" s="10">
        <v>0.2419</v>
      </c>
      <c r="F818" s="5">
        <v>1100</v>
      </c>
      <c r="G818" s="5">
        <v>50</v>
      </c>
      <c r="I818" s="40">
        <f t="shared" si="31"/>
        <v>1100</v>
      </c>
      <c r="J818" s="40">
        <f t="shared" si="32"/>
        <v>50</v>
      </c>
      <c r="K818" s="1">
        <v>920</v>
      </c>
      <c r="L818" s="1">
        <v>40</v>
      </c>
      <c r="M818">
        <f t="shared" si="33"/>
        <v>190</v>
      </c>
      <c r="N818" s="1">
        <v>0.47939999999999999</v>
      </c>
      <c r="O818" s="1">
        <v>90</v>
      </c>
      <c r="P818" s="24">
        <v>0.25190000000000001</v>
      </c>
      <c r="Q818" s="31">
        <f>C818-N818</f>
        <v>0</v>
      </c>
      <c r="R818" s="41">
        <f>D818-O818</f>
        <v>0</v>
      </c>
      <c r="S818" s="41">
        <f>E818-P818</f>
        <v>-1.0000000000000009E-2</v>
      </c>
    </row>
    <row r="819" spans="1:19" x14ac:dyDescent="0.15">
      <c r="A819" s="1">
        <v>6</v>
      </c>
      <c r="B819" s="1">
        <v>12</v>
      </c>
      <c r="C819" s="10">
        <v>0.47939999999999999</v>
      </c>
      <c r="D819" s="5">
        <v>90</v>
      </c>
      <c r="E819" s="10">
        <v>0.25190000000000001</v>
      </c>
      <c r="F819" s="5">
        <v>920</v>
      </c>
      <c r="G819" s="5">
        <v>40</v>
      </c>
      <c r="I819" s="40">
        <f t="shared" si="31"/>
        <v>920</v>
      </c>
      <c r="J819" s="40">
        <f t="shared" si="32"/>
        <v>40</v>
      </c>
      <c r="K819" s="1">
        <v>900</v>
      </c>
      <c r="L819" s="1">
        <v>50</v>
      </c>
      <c r="M819">
        <f t="shared" si="33"/>
        <v>10</v>
      </c>
      <c r="N819" s="1">
        <v>0.47939999999999999</v>
      </c>
      <c r="O819" s="1">
        <v>90</v>
      </c>
      <c r="P819" s="24">
        <v>0.26190000000000002</v>
      </c>
      <c r="Q819" s="31">
        <f>C819-N819</f>
        <v>0</v>
      </c>
      <c r="R819" s="41">
        <f>D819-O819</f>
        <v>0</v>
      </c>
      <c r="S819" s="41">
        <f>E819-P819</f>
        <v>-1.0000000000000009E-2</v>
      </c>
    </row>
    <row r="820" spans="1:19" x14ac:dyDescent="0.15">
      <c r="A820" s="1">
        <v>6</v>
      </c>
      <c r="B820" s="1">
        <v>12</v>
      </c>
      <c r="C820" s="10">
        <v>0.47939999999999999</v>
      </c>
      <c r="D820" s="5">
        <v>90</v>
      </c>
      <c r="E820" s="10">
        <v>0.26189999999999997</v>
      </c>
      <c r="F820" s="5">
        <v>900</v>
      </c>
      <c r="G820" s="5">
        <v>50</v>
      </c>
      <c r="I820" s="40">
        <f t="shared" si="31"/>
        <v>900</v>
      </c>
      <c r="J820" s="40">
        <f t="shared" si="32"/>
        <v>50</v>
      </c>
      <c r="K820" s="1">
        <v>920</v>
      </c>
      <c r="L820" s="1">
        <v>50</v>
      </c>
      <c r="M820">
        <f t="shared" si="33"/>
        <v>-20</v>
      </c>
      <c r="N820" s="1">
        <v>0.47939999999999999</v>
      </c>
      <c r="O820" s="1">
        <v>90</v>
      </c>
      <c r="P820" s="24">
        <v>0.27189999999999998</v>
      </c>
      <c r="Q820" s="31">
        <f>C820-N820</f>
        <v>0</v>
      </c>
      <c r="R820" s="41">
        <f>D820-O820</f>
        <v>0</v>
      </c>
      <c r="S820" s="41">
        <f>E820-P820</f>
        <v>-1.0000000000000009E-2</v>
      </c>
    </row>
    <row r="821" spans="1:19" x14ac:dyDescent="0.15">
      <c r="A821" s="1">
        <v>6</v>
      </c>
      <c r="B821" s="1">
        <v>12</v>
      </c>
      <c r="C821" s="10">
        <v>0.47939999999999999</v>
      </c>
      <c r="D821" s="5">
        <v>90</v>
      </c>
      <c r="E821" s="10">
        <v>0.27189999999999998</v>
      </c>
      <c r="F821" s="5">
        <v>920</v>
      </c>
      <c r="G821" s="5">
        <v>50</v>
      </c>
      <c r="I821" s="40">
        <f t="shared" si="31"/>
        <v>920</v>
      </c>
      <c r="J821" s="40">
        <f t="shared" si="32"/>
        <v>50</v>
      </c>
      <c r="K821" s="1">
        <v>930</v>
      </c>
      <c r="L821" s="1">
        <v>50</v>
      </c>
      <c r="M821">
        <f t="shared" si="33"/>
        <v>-10</v>
      </c>
      <c r="N821" s="1">
        <v>0.47939999999999999</v>
      </c>
      <c r="O821" s="1">
        <v>90</v>
      </c>
      <c r="P821" s="24">
        <v>0.28189999999999998</v>
      </c>
      <c r="Q821" s="31">
        <f>C821-N821</f>
        <v>0</v>
      </c>
      <c r="R821" s="41">
        <f>D821-O821</f>
        <v>0</v>
      </c>
      <c r="S821" s="41">
        <f>E821-P821</f>
        <v>-1.0000000000000009E-2</v>
      </c>
    </row>
    <row r="822" spans="1:19" x14ac:dyDescent="0.15">
      <c r="A822" s="1">
        <v>6</v>
      </c>
      <c r="B822" s="1">
        <v>12</v>
      </c>
      <c r="C822" s="10">
        <v>0.47939999999999999</v>
      </c>
      <c r="D822" s="5">
        <v>90</v>
      </c>
      <c r="E822" s="10">
        <v>0.28189999999999998</v>
      </c>
      <c r="F822" s="5">
        <v>930</v>
      </c>
      <c r="G822" s="5">
        <v>50</v>
      </c>
      <c r="I822" s="40">
        <f t="shared" si="31"/>
        <v>930</v>
      </c>
      <c r="J822" s="40">
        <f t="shared" si="32"/>
        <v>50</v>
      </c>
      <c r="K822" s="1">
        <v>950</v>
      </c>
      <c r="L822" s="1">
        <v>50</v>
      </c>
      <c r="M822">
        <f t="shared" si="33"/>
        <v>-20</v>
      </c>
      <c r="N822" s="1">
        <v>0.47939999999999999</v>
      </c>
      <c r="O822" s="1">
        <v>90</v>
      </c>
      <c r="P822" s="24">
        <v>0.29189999999999999</v>
      </c>
      <c r="Q822" s="31">
        <f>C822-N822</f>
        <v>0</v>
      </c>
      <c r="R822" s="41">
        <f>D822-O822</f>
        <v>0</v>
      </c>
      <c r="S822" s="41">
        <f>E822-P822</f>
        <v>-1.0000000000000009E-2</v>
      </c>
    </row>
    <row r="823" spans="1:19" x14ac:dyDescent="0.15">
      <c r="A823" s="1">
        <v>6</v>
      </c>
      <c r="B823" s="1">
        <v>12</v>
      </c>
      <c r="C823" s="10">
        <v>0.47939999999999999</v>
      </c>
      <c r="D823" s="5">
        <v>90</v>
      </c>
      <c r="E823" s="10">
        <v>0.29189999999999999</v>
      </c>
      <c r="F823" s="5">
        <v>950</v>
      </c>
      <c r="G823" s="5">
        <v>50</v>
      </c>
      <c r="I823" s="40">
        <f t="shared" si="31"/>
        <v>950</v>
      </c>
      <c r="J823" s="40">
        <f t="shared" si="32"/>
        <v>50</v>
      </c>
      <c r="K823" s="1">
        <v>1050</v>
      </c>
      <c r="L823" s="1">
        <v>60</v>
      </c>
      <c r="M823">
        <f t="shared" si="33"/>
        <v>-110</v>
      </c>
      <c r="N823" s="1">
        <v>0.47939999999999999</v>
      </c>
      <c r="O823" s="1">
        <v>90</v>
      </c>
      <c r="P823" s="24">
        <v>0.3019</v>
      </c>
      <c r="Q823" s="31">
        <f>C823-N823</f>
        <v>0</v>
      </c>
      <c r="R823" s="41">
        <f>D823-O823</f>
        <v>0</v>
      </c>
      <c r="S823" s="41">
        <f>E823-P823</f>
        <v>-1.0000000000000009E-2</v>
      </c>
    </row>
    <row r="824" spans="1:19" x14ac:dyDescent="0.15">
      <c r="A824" s="1">
        <v>6</v>
      </c>
      <c r="B824" s="1">
        <v>12</v>
      </c>
      <c r="C824" s="10">
        <v>0.47939999999999999</v>
      </c>
      <c r="D824" s="5">
        <v>90</v>
      </c>
      <c r="E824" s="10">
        <v>0.3019</v>
      </c>
      <c r="F824" s="5">
        <v>1050</v>
      </c>
      <c r="G824" s="5">
        <v>60</v>
      </c>
      <c r="I824" s="40">
        <f t="shared" si="31"/>
        <v>1050</v>
      </c>
      <c r="J824" s="40">
        <f t="shared" si="32"/>
        <v>60</v>
      </c>
      <c r="K824" s="1">
        <v>1180</v>
      </c>
      <c r="L824" s="1">
        <v>60</v>
      </c>
      <c r="M824">
        <f t="shared" si="33"/>
        <v>-130</v>
      </c>
      <c r="N824" s="1">
        <v>0.47939999999999999</v>
      </c>
      <c r="O824" s="1">
        <v>90</v>
      </c>
      <c r="P824" s="24">
        <v>0.31190000000000001</v>
      </c>
      <c r="Q824" s="31">
        <f>C824-N824</f>
        <v>0</v>
      </c>
      <c r="R824" s="41">
        <f>D824-O824</f>
        <v>0</v>
      </c>
      <c r="S824" s="41">
        <f>E824-P824</f>
        <v>-1.0000000000000009E-2</v>
      </c>
    </row>
    <row r="825" spans="1:19" x14ac:dyDescent="0.15">
      <c r="A825" s="1">
        <v>6</v>
      </c>
      <c r="B825" s="1">
        <v>12</v>
      </c>
      <c r="C825" s="10">
        <v>0.47939999999999999</v>
      </c>
      <c r="D825" s="5">
        <v>90</v>
      </c>
      <c r="E825" s="10">
        <v>0.31189999999999996</v>
      </c>
      <c r="F825" s="5">
        <v>1180</v>
      </c>
      <c r="G825" s="5">
        <v>60</v>
      </c>
      <c r="I825" s="40">
        <f t="shared" ref="I825:I888" si="34">F825</f>
        <v>1180</v>
      </c>
      <c r="J825" s="40">
        <f t="shared" ref="J825:J888" si="35">G825</f>
        <v>60</v>
      </c>
      <c r="K825" s="1">
        <v>1310</v>
      </c>
      <c r="L825" s="1">
        <v>70</v>
      </c>
      <c r="M825">
        <f t="shared" si="33"/>
        <v>-140</v>
      </c>
      <c r="N825" s="1">
        <v>0.47939999999999999</v>
      </c>
      <c r="O825" s="1">
        <v>90</v>
      </c>
      <c r="P825" s="24">
        <v>0.32190000000000002</v>
      </c>
      <c r="Q825" s="31">
        <f>C825-N825</f>
        <v>0</v>
      </c>
      <c r="R825" s="41">
        <f>D825-O825</f>
        <v>0</v>
      </c>
      <c r="S825" s="41">
        <f>E825-P825</f>
        <v>-1.0000000000000064E-2</v>
      </c>
    </row>
    <row r="826" spans="1:19" x14ac:dyDescent="0.15">
      <c r="A826" s="1">
        <v>6</v>
      </c>
      <c r="B826" s="1">
        <v>12</v>
      </c>
      <c r="C826" s="10">
        <v>0.47939999999999999</v>
      </c>
      <c r="D826" s="5">
        <v>90</v>
      </c>
      <c r="E826" s="10">
        <v>0.32189999999999996</v>
      </c>
      <c r="F826" s="5">
        <v>1310</v>
      </c>
      <c r="G826" s="5">
        <v>70</v>
      </c>
      <c r="I826" s="40">
        <f t="shared" si="34"/>
        <v>1310</v>
      </c>
      <c r="J826" s="40">
        <f t="shared" si="35"/>
        <v>70</v>
      </c>
      <c r="K826" s="1">
        <v>1340</v>
      </c>
      <c r="L826" s="1">
        <v>80</v>
      </c>
      <c r="M826">
        <f t="shared" si="33"/>
        <v>-40</v>
      </c>
      <c r="N826" s="1">
        <v>0.47939999999999999</v>
      </c>
      <c r="O826" s="1">
        <v>90</v>
      </c>
      <c r="P826" s="24">
        <v>0.33189999999999997</v>
      </c>
      <c r="Q826" s="31">
        <f>C826-N826</f>
        <v>0</v>
      </c>
      <c r="R826" s="41">
        <f>D826-O826</f>
        <v>0</v>
      </c>
      <c r="S826" s="41">
        <f>E826-P826</f>
        <v>-1.0000000000000009E-2</v>
      </c>
    </row>
    <row r="827" spans="1:19" x14ac:dyDescent="0.15">
      <c r="A827" s="1">
        <v>6</v>
      </c>
      <c r="B827" s="1">
        <v>12</v>
      </c>
      <c r="C827" s="10">
        <v>0.47939999999999999</v>
      </c>
      <c r="D827" s="5">
        <v>90</v>
      </c>
      <c r="E827" s="10">
        <v>0.33189999999999997</v>
      </c>
      <c r="F827" s="5">
        <v>1340</v>
      </c>
      <c r="G827" s="5">
        <v>80</v>
      </c>
      <c r="I827" s="40">
        <f t="shared" si="34"/>
        <v>1340</v>
      </c>
      <c r="J827" s="40">
        <f t="shared" si="35"/>
        <v>80</v>
      </c>
      <c r="K827" s="1">
        <v>1420</v>
      </c>
      <c r="L827" s="1">
        <v>100</v>
      </c>
      <c r="M827">
        <f t="shared" si="33"/>
        <v>-100</v>
      </c>
      <c r="N827" s="1">
        <v>0.47939999999999999</v>
      </c>
      <c r="O827" s="1">
        <v>90</v>
      </c>
      <c r="P827" s="24">
        <v>0.34189999999999998</v>
      </c>
      <c r="Q827" s="31">
        <f>C827-N827</f>
        <v>0</v>
      </c>
      <c r="R827" s="41">
        <f>D827-O827</f>
        <v>0</v>
      </c>
      <c r="S827" s="41">
        <f>E827-P827</f>
        <v>-1.0000000000000009E-2</v>
      </c>
    </row>
    <row r="828" spans="1:19" x14ac:dyDescent="0.15">
      <c r="A828" s="1">
        <v>6</v>
      </c>
      <c r="B828" s="1">
        <v>12</v>
      </c>
      <c r="C828" s="10">
        <v>0.47939999999999999</v>
      </c>
      <c r="D828" s="5">
        <v>90</v>
      </c>
      <c r="E828" s="10">
        <v>0.34189999999999998</v>
      </c>
      <c r="F828" s="5">
        <v>1420</v>
      </c>
      <c r="G828" s="5">
        <v>100</v>
      </c>
      <c r="I828" s="40">
        <f t="shared" si="34"/>
        <v>1420</v>
      </c>
      <c r="J828" s="40">
        <f t="shared" si="35"/>
        <v>100</v>
      </c>
      <c r="K828" s="1">
        <v>1570</v>
      </c>
      <c r="L828" s="1">
        <v>110</v>
      </c>
      <c r="M828">
        <f t="shared" si="33"/>
        <v>-160</v>
      </c>
      <c r="N828" s="1">
        <v>0.47939999999999999</v>
      </c>
      <c r="O828" s="1">
        <v>90</v>
      </c>
      <c r="P828" s="24">
        <v>0.35189999999999999</v>
      </c>
      <c r="Q828" s="31">
        <f>C828-N828</f>
        <v>0</v>
      </c>
      <c r="R828" s="41">
        <f>D828-O828</f>
        <v>0</v>
      </c>
      <c r="S828" s="41">
        <f>E828-P828</f>
        <v>-1.0000000000000009E-2</v>
      </c>
    </row>
    <row r="829" spans="1:19" x14ac:dyDescent="0.15">
      <c r="A829" s="1">
        <v>6</v>
      </c>
      <c r="B829" s="1">
        <v>12</v>
      </c>
      <c r="C829" s="10">
        <v>0.47939999999999999</v>
      </c>
      <c r="D829" s="5">
        <v>90</v>
      </c>
      <c r="E829" s="10">
        <v>0.35189999999999999</v>
      </c>
      <c r="F829" s="5">
        <v>1570</v>
      </c>
      <c r="G829" s="5">
        <v>110</v>
      </c>
      <c r="I829" s="40">
        <f t="shared" si="34"/>
        <v>1570</v>
      </c>
      <c r="J829" s="40">
        <f t="shared" si="35"/>
        <v>110</v>
      </c>
      <c r="K829" s="1">
        <v>1600</v>
      </c>
      <c r="L829" s="1">
        <v>130</v>
      </c>
      <c r="M829">
        <f t="shared" si="33"/>
        <v>-50</v>
      </c>
      <c r="N829" s="1">
        <v>0.47939999999999999</v>
      </c>
      <c r="O829" s="1">
        <v>90</v>
      </c>
      <c r="P829" s="24">
        <v>0.3619</v>
      </c>
      <c r="Q829" s="31">
        <f>C829-N829</f>
        <v>0</v>
      </c>
      <c r="R829" s="41">
        <f>D829-O829</f>
        <v>0</v>
      </c>
      <c r="S829" s="41">
        <f>E829-P829</f>
        <v>-1.0000000000000009E-2</v>
      </c>
    </row>
    <row r="830" spans="1:19" ht="14" thickBot="1" x14ac:dyDescent="0.2">
      <c r="A830" s="1">
        <v>6</v>
      </c>
      <c r="B830" s="1">
        <v>12</v>
      </c>
      <c r="C830" s="10">
        <v>0.47939999999999999</v>
      </c>
      <c r="D830" s="5">
        <v>90</v>
      </c>
      <c r="E830" s="10">
        <v>0.3619</v>
      </c>
      <c r="F830" s="5">
        <v>1600</v>
      </c>
      <c r="G830" s="5">
        <v>130</v>
      </c>
      <c r="I830" s="40">
        <f t="shared" si="34"/>
        <v>1600</v>
      </c>
      <c r="J830" s="40">
        <f t="shared" si="35"/>
        <v>130</v>
      </c>
      <c r="K830" s="1">
        <v>1740</v>
      </c>
      <c r="L830" s="1">
        <v>160</v>
      </c>
      <c r="M830">
        <f t="shared" si="33"/>
        <v>-170</v>
      </c>
      <c r="N830" s="1">
        <v>0.47939999999999999</v>
      </c>
      <c r="O830" s="1">
        <v>90</v>
      </c>
      <c r="P830" s="44">
        <v>0.37190000000000001</v>
      </c>
      <c r="Q830" s="31">
        <f>C830-N830</f>
        <v>0</v>
      </c>
      <c r="R830" s="41">
        <f>D830-O830</f>
        <v>0</v>
      </c>
      <c r="S830" s="41">
        <f>E830-P830</f>
        <v>-1.0000000000000009E-2</v>
      </c>
    </row>
    <row r="831" spans="1:19" ht="14" thickTop="1" x14ac:dyDescent="0.15">
      <c r="A831" s="1">
        <v>6</v>
      </c>
      <c r="B831" s="1">
        <v>12</v>
      </c>
      <c r="C831" s="10">
        <v>0.47939999999999999</v>
      </c>
      <c r="D831" s="5">
        <v>90</v>
      </c>
      <c r="E831" s="10">
        <v>0.37189999999999995</v>
      </c>
      <c r="F831" s="5">
        <v>1740</v>
      </c>
      <c r="G831" s="5">
        <v>160</v>
      </c>
      <c r="I831" s="40">
        <f t="shared" si="34"/>
        <v>1740</v>
      </c>
      <c r="J831" s="40">
        <f t="shared" si="35"/>
        <v>160</v>
      </c>
      <c r="K831" s="1">
        <v>14</v>
      </c>
      <c r="L831" s="1">
        <v>2</v>
      </c>
      <c r="M831">
        <f t="shared" si="33"/>
        <v>1884</v>
      </c>
      <c r="N831" s="1">
        <v>0.40050000000000002</v>
      </c>
      <c r="O831" s="1">
        <v>90</v>
      </c>
      <c r="P831" s="24">
        <v>2.3E-2</v>
      </c>
      <c r="Q831" s="31">
        <f>C831-N831</f>
        <v>7.889999999999997E-2</v>
      </c>
      <c r="R831" s="41">
        <f>D831-O831</f>
        <v>0</v>
      </c>
      <c r="S831" s="41">
        <f>E831-P831</f>
        <v>0.34889999999999993</v>
      </c>
    </row>
    <row r="832" spans="1:19" x14ac:dyDescent="0.15">
      <c r="A832" s="12">
        <v>6</v>
      </c>
      <c r="B832" s="12">
        <v>12</v>
      </c>
      <c r="C832" s="13">
        <v>0.40050000000000002</v>
      </c>
      <c r="D832" s="14">
        <v>90</v>
      </c>
      <c r="E832" s="13">
        <v>2.3E-2</v>
      </c>
      <c r="F832" s="14">
        <v>14</v>
      </c>
      <c r="G832" s="14">
        <v>2</v>
      </c>
      <c r="I832" s="40">
        <f t="shared" si="34"/>
        <v>14</v>
      </c>
      <c r="J832" s="40">
        <f t="shared" si="35"/>
        <v>2</v>
      </c>
      <c r="K832" s="12">
        <v>50</v>
      </c>
      <c r="L832" s="12">
        <v>10</v>
      </c>
      <c r="M832">
        <f t="shared" si="33"/>
        <v>-44</v>
      </c>
      <c r="N832" s="12">
        <v>0.40050000000000002</v>
      </c>
      <c r="O832" s="12">
        <v>90</v>
      </c>
      <c r="P832" s="24">
        <v>2.8000000000000001E-2</v>
      </c>
      <c r="Q832" s="31">
        <f>C832-N832</f>
        <v>0</v>
      </c>
      <c r="R832" s="41">
        <f>D832-O832</f>
        <v>0</v>
      </c>
      <c r="S832" s="41">
        <f>E832-P832</f>
        <v>-5.000000000000001E-3</v>
      </c>
    </row>
    <row r="833" spans="1:23" x14ac:dyDescent="0.15">
      <c r="A833" s="1">
        <v>6</v>
      </c>
      <c r="B833" s="1">
        <v>12</v>
      </c>
      <c r="C833" s="10">
        <v>0.40050000000000002</v>
      </c>
      <c r="D833" s="5">
        <v>90</v>
      </c>
      <c r="E833" s="10">
        <v>2.8000000000000001E-2</v>
      </c>
      <c r="F833" s="5">
        <v>50</v>
      </c>
      <c r="G833" s="5">
        <v>10</v>
      </c>
      <c r="I833" s="40">
        <f t="shared" si="34"/>
        <v>50</v>
      </c>
      <c r="J833" s="40">
        <f t="shared" si="35"/>
        <v>10</v>
      </c>
      <c r="K833" s="1">
        <v>170</v>
      </c>
      <c r="L833" s="1">
        <v>10</v>
      </c>
      <c r="M833">
        <f t="shared" si="33"/>
        <v>-120</v>
      </c>
      <c r="N833" s="1">
        <v>0.40050000000000002</v>
      </c>
      <c r="O833" s="1">
        <v>90</v>
      </c>
      <c r="P833" s="24">
        <v>3.3000000000000002E-2</v>
      </c>
      <c r="Q833" s="31">
        <f>C833-N833</f>
        <v>0</v>
      </c>
      <c r="R833" s="41">
        <f>D833-O833</f>
        <v>0</v>
      </c>
      <c r="S833" s="41">
        <f>E833-P833</f>
        <v>-5.000000000000001E-3</v>
      </c>
    </row>
    <row r="834" spans="1:23" x14ac:dyDescent="0.15">
      <c r="A834" s="1">
        <v>6</v>
      </c>
      <c r="B834" s="1">
        <v>12</v>
      </c>
      <c r="C834" s="10">
        <v>0.40050000000000002</v>
      </c>
      <c r="D834" s="5">
        <v>90</v>
      </c>
      <c r="E834" s="10">
        <v>3.3000000000000002E-2</v>
      </c>
      <c r="F834" s="5">
        <v>170</v>
      </c>
      <c r="G834" s="5">
        <v>10</v>
      </c>
      <c r="I834" s="40">
        <f t="shared" si="34"/>
        <v>170</v>
      </c>
      <c r="J834" s="40">
        <f t="shared" si="35"/>
        <v>10</v>
      </c>
      <c r="K834" s="1">
        <v>170</v>
      </c>
      <c r="L834" s="1">
        <v>10</v>
      </c>
      <c r="M834">
        <f t="shared" si="33"/>
        <v>0</v>
      </c>
      <c r="N834" s="1">
        <v>0.40050000000000002</v>
      </c>
      <c r="O834" s="1">
        <v>90</v>
      </c>
      <c r="P834" s="24">
        <v>3.7999999999999999E-2</v>
      </c>
      <c r="Q834" s="31">
        <f>C834-N834</f>
        <v>0</v>
      </c>
      <c r="R834" s="41">
        <f>D834-O834</f>
        <v>0</v>
      </c>
      <c r="S834" s="41">
        <f>E834-P834</f>
        <v>-4.9999999999999975E-3</v>
      </c>
    </row>
    <row r="835" spans="1:23" x14ac:dyDescent="0.15">
      <c r="A835" s="1">
        <v>6</v>
      </c>
      <c r="B835" s="1">
        <v>12</v>
      </c>
      <c r="C835" s="10">
        <v>0.40050000000000002</v>
      </c>
      <c r="D835" s="5">
        <v>90</v>
      </c>
      <c r="E835" s="10">
        <v>3.7999999999999999E-2</v>
      </c>
      <c r="F835" s="5">
        <v>170</v>
      </c>
      <c r="G835" s="5">
        <v>10</v>
      </c>
      <c r="I835" s="40">
        <f t="shared" si="34"/>
        <v>170</v>
      </c>
      <c r="J835" s="40">
        <f t="shared" si="35"/>
        <v>10</v>
      </c>
      <c r="K835" s="1">
        <v>260</v>
      </c>
      <c r="L835" s="1">
        <v>20</v>
      </c>
      <c r="M835">
        <f t="shared" ref="M835:M898" si="36">I835+J835-K835-L835</f>
        <v>-100</v>
      </c>
      <c r="N835" s="1">
        <v>0.40050000000000002</v>
      </c>
      <c r="O835" s="1">
        <v>90</v>
      </c>
      <c r="P835" s="24">
        <v>4.2999999999999997E-2</v>
      </c>
      <c r="Q835" s="31">
        <f>C835-N835</f>
        <v>0</v>
      </c>
      <c r="R835" s="41">
        <f>D835-O835</f>
        <v>0</v>
      </c>
      <c r="S835" s="41">
        <f>E835-P835</f>
        <v>-4.9999999999999975E-3</v>
      </c>
    </row>
    <row r="836" spans="1:23" x14ac:dyDescent="0.15">
      <c r="A836" s="1">
        <v>6</v>
      </c>
      <c r="B836" s="1">
        <v>12</v>
      </c>
      <c r="C836" s="10">
        <v>0.40050000000000002</v>
      </c>
      <c r="D836" s="5">
        <v>90</v>
      </c>
      <c r="E836" s="10">
        <v>4.2999999999999997E-2</v>
      </c>
      <c r="F836" s="5">
        <v>260</v>
      </c>
      <c r="G836" s="5">
        <v>20</v>
      </c>
      <c r="I836" s="40">
        <f t="shared" si="34"/>
        <v>260</v>
      </c>
      <c r="J836" s="40">
        <f t="shared" si="35"/>
        <v>20</v>
      </c>
      <c r="K836" s="1">
        <v>310</v>
      </c>
      <c r="L836" s="1">
        <v>20</v>
      </c>
      <c r="M836">
        <f t="shared" si="36"/>
        <v>-50</v>
      </c>
      <c r="N836" s="1">
        <v>0.40050000000000002</v>
      </c>
      <c r="O836" s="1">
        <v>90</v>
      </c>
      <c r="P836" s="24">
        <v>4.8000000000000001E-2</v>
      </c>
      <c r="Q836" s="31">
        <f>C836-N836</f>
        <v>0</v>
      </c>
      <c r="R836" s="41">
        <f>D836-O836</f>
        <v>0</v>
      </c>
      <c r="S836" s="41">
        <f>E836-P836</f>
        <v>-5.0000000000000044E-3</v>
      </c>
    </row>
    <row r="837" spans="1:23" x14ac:dyDescent="0.15">
      <c r="A837" s="1">
        <v>6</v>
      </c>
      <c r="B837" s="1">
        <v>12</v>
      </c>
      <c r="C837" s="10">
        <v>0.40050000000000002</v>
      </c>
      <c r="D837" s="5">
        <v>90</v>
      </c>
      <c r="E837" s="10">
        <v>4.8000000000000001E-2</v>
      </c>
      <c r="F837" s="5">
        <v>310</v>
      </c>
      <c r="G837" s="5">
        <v>20</v>
      </c>
      <c r="I837" s="40">
        <f t="shared" si="34"/>
        <v>310</v>
      </c>
      <c r="J837" s="40">
        <f t="shared" si="35"/>
        <v>20</v>
      </c>
      <c r="K837" s="1">
        <v>390</v>
      </c>
      <c r="L837" s="1">
        <v>20</v>
      </c>
      <c r="M837">
        <f t="shared" si="36"/>
        <v>-80</v>
      </c>
      <c r="N837" s="1">
        <v>0.40050000000000002</v>
      </c>
      <c r="O837" s="1">
        <v>90</v>
      </c>
      <c r="P837" s="24">
        <v>5.2999999999999999E-2</v>
      </c>
      <c r="Q837" s="31">
        <f>C837-N837</f>
        <v>0</v>
      </c>
      <c r="R837" s="41">
        <f>D837-O837</f>
        <v>0</v>
      </c>
      <c r="S837" s="41">
        <f>E837-P837</f>
        <v>-4.9999999999999975E-3</v>
      </c>
    </row>
    <row r="838" spans="1:23" x14ac:dyDescent="0.15">
      <c r="A838" s="1">
        <v>6</v>
      </c>
      <c r="B838" s="1">
        <v>12</v>
      </c>
      <c r="C838" s="10">
        <v>0.40050000000000002</v>
      </c>
      <c r="D838" s="5">
        <v>90</v>
      </c>
      <c r="E838" s="10">
        <v>5.2999999999999999E-2</v>
      </c>
      <c r="F838" s="5">
        <v>390</v>
      </c>
      <c r="G838" s="5">
        <v>20</v>
      </c>
      <c r="I838" s="40">
        <f t="shared" si="34"/>
        <v>390</v>
      </c>
      <c r="J838" s="40">
        <f t="shared" si="35"/>
        <v>20</v>
      </c>
      <c r="K838" s="1">
        <v>520</v>
      </c>
      <c r="L838" s="1">
        <v>20</v>
      </c>
      <c r="M838">
        <f t="shared" si="36"/>
        <v>-130</v>
      </c>
      <c r="N838" s="1">
        <v>0.40050000000000002</v>
      </c>
      <c r="O838" s="1">
        <v>90</v>
      </c>
      <c r="P838" s="24">
        <v>5.8000000000000003E-2</v>
      </c>
      <c r="Q838" s="31">
        <f>C838-N838</f>
        <v>0</v>
      </c>
      <c r="R838" s="41">
        <f>D838-O838</f>
        <v>0</v>
      </c>
      <c r="S838" s="41">
        <f>E838-P838</f>
        <v>-5.0000000000000044E-3</v>
      </c>
    </row>
    <row r="839" spans="1:23" x14ac:dyDescent="0.15">
      <c r="A839" s="1">
        <v>6</v>
      </c>
      <c r="B839" s="1">
        <v>12</v>
      </c>
      <c r="C839" s="10">
        <v>0.40050000000000002</v>
      </c>
      <c r="D839" s="5">
        <v>90</v>
      </c>
      <c r="E839" s="10">
        <v>5.8000000000000003E-2</v>
      </c>
      <c r="F839" s="5">
        <v>520</v>
      </c>
      <c r="G839" s="5">
        <v>20</v>
      </c>
      <c r="I839" s="40">
        <f t="shared" si="34"/>
        <v>520</v>
      </c>
      <c r="J839" s="40">
        <f t="shared" si="35"/>
        <v>20</v>
      </c>
      <c r="K839" s="1">
        <v>640</v>
      </c>
      <c r="L839" s="1">
        <v>30</v>
      </c>
      <c r="M839">
        <f t="shared" si="36"/>
        <v>-130</v>
      </c>
      <c r="N839" s="1">
        <v>0.40050000000000002</v>
      </c>
      <c r="O839" s="1">
        <v>90</v>
      </c>
      <c r="P839" s="24">
        <v>6.3E-2</v>
      </c>
      <c r="Q839" s="31">
        <f>C839-N839</f>
        <v>0</v>
      </c>
      <c r="R839" s="41">
        <f>D839-O839</f>
        <v>0</v>
      </c>
      <c r="S839" s="41">
        <f>E839-P839</f>
        <v>-4.9999999999999975E-3</v>
      </c>
    </row>
    <row r="840" spans="1:23" x14ac:dyDescent="0.15">
      <c r="A840" s="1">
        <v>6</v>
      </c>
      <c r="B840" s="1">
        <v>12</v>
      </c>
      <c r="C840" s="10">
        <v>0.40050000000000002</v>
      </c>
      <c r="D840" s="5">
        <v>90</v>
      </c>
      <c r="E840" s="10">
        <v>6.3E-2</v>
      </c>
      <c r="F840" s="5">
        <v>640</v>
      </c>
      <c r="G840" s="5">
        <v>30</v>
      </c>
      <c r="I840" s="40">
        <f t="shared" si="34"/>
        <v>640</v>
      </c>
      <c r="J840" s="40">
        <f t="shared" si="35"/>
        <v>30</v>
      </c>
      <c r="K840" s="1">
        <v>750</v>
      </c>
      <c r="L840" s="1">
        <v>30</v>
      </c>
      <c r="M840">
        <f t="shared" si="36"/>
        <v>-110</v>
      </c>
      <c r="N840" s="1">
        <v>0.40050000000000002</v>
      </c>
      <c r="O840" s="1">
        <v>90</v>
      </c>
      <c r="P840" s="24">
        <v>6.8000000000000005E-2</v>
      </c>
      <c r="Q840" s="31">
        <f>C840-N840</f>
        <v>0</v>
      </c>
      <c r="R840" s="41">
        <f>D840-O840</f>
        <v>0</v>
      </c>
      <c r="S840" s="41">
        <f>E840-P840</f>
        <v>-5.0000000000000044E-3</v>
      </c>
    </row>
    <row r="841" spans="1:23" x14ac:dyDescent="0.15">
      <c r="A841" s="1">
        <v>6</v>
      </c>
      <c r="B841" s="1">
        <v>12</v>
      </c>
      <c r="C841" s="10">
        <v>0.40050000000000002</v>
      </c>
      <c r="D841" s="5">
        <v>90</v>
      </c>
      <c r="E841" s="10">
        <v>6.8000000000000005E-2</v>
      </c>
      <c r="F841" s="5">
        <v>750</v>
      </c>
      <c r="G841" s="5">
        <v>30</v>
      </c>
      <c r="I841" s="40">
        <f t="shared" si="34"/>
        <v>750</v>
      </c>
      <c r="J841" s="40">
        <f t="shared" si="35"/>
        <v>30</v>
      </c>
      <c r="K841" s="1">
        <v>910</v>
      </c>
      <c r="L841" s="1">
        <v>40</v>
      </c>
      <c r="M841">
        <f t="shared" si="36"/>
        <v>-170</v>
      </c>
      <c r="N841" s="1">
        <v>0.40050000000000002</v>
      </c>
      <c r="O841" s="1">
        <v>90</v>
      </c>
      <c r="P841" s="24">
        <v>7.2999999999999995E-2</v>
      </c>
      <c r="Q841" s="31">
        <f>C841-N841</f>
        <v>0</v>
      </c>
      <c r="R841" s="41">
        <f>D841-O841</f>
        <v>0</v>
      </c>
      <c r="S841" s="41">
        <f>E841-P841</f>
        <v>-4.9999999999999906E-3</v>
      </c>
    </row>
    <row r="842" spans="1:23" s="15" customFormat="1" x14ac:dyDescent="0.15">
      <c r="A842" s="1">
        <v>6</v>
      </c>
      <c r="B842" s="1">
        <v>12</v>
      </c>
      <c r="C842" s="10">
        <v>0.40050000000000002</v>
      </c>
      <c r="D842" s="5">
        <v>90</v>
      </c>
      <c r="E842" s="10">
        <v>7.2999999999999995E-2</v>
      </c>
      <c r="F842" s="5">
        <v>910</v>
      </c>
      <c r="G842" s="5">
        <v>40</v>
      </c>
      <c r="H842" s="12"/>
      <c r="I842" s="40">
        <f t="shared" si="34"/>
        <v>910</v>
      </c>
      <c r="J842" s="40">
        <f t="shared" si="35"/>
        <v>40</v>
      </c>
      <c r="K842" s="1">
        <v>1060</v>
      </c>
      <c r="L842" s="1">
        <v>40</v>
      </c>
      <c r="M842">
        <f t="shared" si="36"/>
        <v>-150</v>
      </c>
      <c r="N842" s="1">
        <v>0.40050000000000002</v>
      </c>
      <c r="O842" s="1">
        <v>90</v>
      </c>
      <c r="P842" s="24">
        <v>7.8E-2</v>
      </c>
      <c r="Q842" s="31">
        <f>C842-N842</f>
        <v>0</v>
      </c>
      <c r="R842" s="41">
        <f>D842-O842</f>
        <v>0</v>
      </c>
      <c r="S842" s="41">
        <f>E842-P842</f>
        <v>-5.0000000000000044E-3</v>
      </c>
      <c r="U842" s="12"/>
      <c r="V842" s="12"/>
      <c r="W842" s="12"/>
    </row>
    <row r="843" spans="1:23" x14ac:dyDescent="0.15">
      <c r="A843" s="1">
        <v>6</v>
      </c>
      <c r="B843" s="1">
        <v>12</v>
      </c>
      <c r="C843" s="10">
        <v>0.40050000000000002</v>
      </c>
      <c r="D843" s="5">
        <v>90</v>
      </c>
      <c r="E843" s="10">
        <v>7.8E-2</v>
      </c>
      <c r="F843" s="5">
        <v>1060</v>
      </c>
      <c r="G843" s="5">
        <v>40</v>
      </c>
      <c r="I843" s="40">
        <f t="shared" si="34"/>
        <v>1060</v>
      </c>
      <c r="J843" s="40">
        <f t="shared" si="35"/>
        <v>40</v>
      </c>
      <c r="K843" s="1">
        <v>1230</v>
      </c>
      <c r="L843" s="1">
        <v>50</v>
      </c>
      <c r="M843">
        <f t="shared" si="36"/>
        <v>-180</v>
      </c>
      <c r="N843" s="1">
        <v>0.40050000000000002</v>
      </c>
      <c r="O843" s="1">
        <v>90</v>
      </c>
      <c r="P843" s="24">
        <v>8.3000000000000004E-2</v>
      </c>
      <c r="Q843" s="31">
        <f>C843-N843</f>
        <v>0</v>
      </c>
      <c r="R843" s="41">
        <f>D843-O843</f>
        <v>0</v>
      </c>
      <c r="S843" s="41">
        <f>E843-P843</f>
        <v>-5.0000000000000044E-3</v>
      </c>
    </row>
    <row r="844" spans="1:23" x14ac:dyDescent="0.15">
      <c r="A844" s="1">
        <v>6</v>
      </c>
      <c r="B844" s="1">
        <v>12</v>
      </c>
      <c r="C844" s="10">
        <v>0.40050000000000002</v>
      </c>
      <c r="D844" s="5">
        <v>90</v>
      </c>
      <c r="E844" s="10">
        <v>8.3000000000000004E-2</v>
      </c>
      <c r="F844" s="5">
        <v>1230</v>
      </c>
      <c r="G844" s="5">
        <v>50</v>
      </c>
      <c r="I844" s="40">
        <f t="shared" si="34"/>
        <v>1230</v>
      </c>
      <c r="J844" s="40">
        <f t="shared" si="35"/>
        <v>50</v>
      </c>
      <c r="K844" s="1">
        <v>1560</v>
      </c>
      <c r="L844" s="1">
        <v>60</v>
      </c>
      <c r="M844">
        <f t="shared" si="36"/>
        <v>-340</v>
      </c>
      <c r="N844" s="1">
        <v>0.40050000000000002</v>
      </c>
      <c r="O844" s="1">
        <v>90</v>
      </c>
      <c r="P844" s="24">
        <v>9.2999999999999999E-2</v>
      </c>
      <c r="Q844" s="31">
        <f>C844-N844</f>
        <v>0</v>
      </c>
      <c r="R844" s="41">
        <f>D844-O844</f>
        <v>0</v>
      </c>
      <c r="S844" s="41">
        <f>E844-P844</f>
        <v>-9.999999999999995E-3</v>
      </c>
    </row>
    <row r="845" spans="1:23" x14ac:dyDescent="0.15">
      <c r="A845" s="1">
        <v>6</v>
      </c>
      <c r="B845" s="1">
        <v>12</v>
      </c>
      <c r="C845" s="10">
        <v>0.40050000000000002</v>
      </c>
      <c r="D845" s="5">
        <v>90</v>
      </c>
      <c r="E845" s="10">
        <v>8.7999999999999995E-2</v>
      </c>
      <c r="F845" s="5">
        <v>1420</v>
      </c>
      <c r="G845" s="5">
        <v>50</v>
      </c>
      <c r="I845" s="40">
        <f t="shared" si="34"/>
        <v>1420</v>
      </c>
      <c r="J845" s="40">
        <f t="shared" si="35"/>
        <v>50</v>
      </c>
      <c r="K845" s="1">
        <v>1910</v>
      </c>
      <c r="L845" s="1">
        <v>70</v>
      </c>
      <c r="M845">
        <f t="shared" si="36"/>
        <v>-510</v>
      </c>
      <c r="N845" s="1">
        <v>0.40050000000000002</v>
      </c>
      <c r="O845" s="1">
        <v>90</v>
      </c>
      <c r="P845" s="24">
        <v>0.10299999999999999</v>
      </c>
      <c r="Q845" s="31">
        <f>C845-N845</f>
        <v>0</v>
      </c>
      <c r="R845" s="41">
        <f>D845-O845</f>
        <v>0</v>
      </c>
      <c r="S845" s="41">
        <f>E845-P845</f>
        <v>-1.4999999999999999E-2</v>
      </c>
    </row>
    <row r="846" spans="1:23" x14ac:dyDescent="0.15">
      <c r="A846" s="1">
        <v>6</v>
      </c>
      <c r="B846" s="1">
        <v>12</v>
      </c>
      <c r="C846" s="10">
        <v>0.40050000000000002</v>
      </c>
      <c r="D846" s="5">
        <v>90</v>
      </c>
      <c r="E846" s="10">
        <v>9.2999999999999999E-2</v>
      </c>
      <c r="F846" s="5">
        <v>1560</v>
      </c>
      <c r="G846" s="5">
        <v>60</v>
      </c>
      <c r="I846" s="40">
        <f t="shared" si="34"/>
        <v>1560</v>
      </c>
      <c r="J846" s="40">
        <f t="shared" si="35"/>
        <v>60</v>
      </c>
      <c r="K846" s="1">
        <v>2010</v>
      </c>
      <c r="L846" s="1">
        <v>80</v>
      </c>
      <c r="M846">
        <f t="shared" si="36"/>
        <v>-470</v>
      </c>
      <c r="N846" s="1">
        <v>0.40050000000000002</v>
      </c>
      <c r="O846" s="1">
        <v>90</v>
      </c>
      <c r="P846" s="24">
        <v>0.108</v>
      </c>
      <c r="Q846" s="31">
        <f>C846-N846</f>
        <v>0</v>
      </c>
      <c r="R846" s="41">
        <f>D846-O846</f>
        <v>0</v>
      </c>
      <c r="S846" s="41">
        <f>E846-P846</f>
        <v>-1.4999999999999999E-2</v>
      </c>
    </row>
    <row r="847" spans="1:23" x14ac:dyDescent="0.15">
      <c r="A847" s="1">
        <v>6</v>
      </c>
      <c r="B847" s="1">
        <v>12</v>
      </c>
      <c r="C847" s="10">
        <v>0.40050000000000002</v>
      </c>
      <c r="D847" s="5">
        <v>90</v>
      </c>
      <c r="E847" s="10">
        <v>9.8000000000000004E-2</v>
      </c>
      <c r="F847" s="5">
        <v>1750</v>
      </c>
      <c r="G847" s="5">
        <v>70</v>
      </c>
      <c r="I847" s="40">
        <f t="shared" si="34"/>
        <v>1750</v>
      </c>
      <c r="J847" s="40">
        <f t="shared" si="35"/>
        <v>70</v>
      </c>
      <c r="K847" s="1">
        <v>2170</v>
      </c>
      <c r="L847" s="1">
        <v>90</v>
      </c>
      <c r="M847">
        <f t="shared" si="36"/>
        <v>-440</v>
      </c>
      <c r="N847" s="1">
        <v>0.40050000000000002</v>
      </c>
      <c r="O847" s="1">
        <v>90</v>
      </c>
      <c r="P847" s="24">
        <v>0.113</v>
      </c>
      <c r="Q847" s="31">
        <f>C847-N847</f>
        <v>0</v>
      </c>
      <c r="R847" s="41">
        <f>D847-O847</f>
        <v>0</v>
      </c>
      <c r="S847" s="41">
        <f>E847-P847</f>
        <v>-1.4999999999999999E-2</v>
      </c>
    </row>
    <row r="848" spans="1:23" x14ac:dyDescent="0.15">
      <c r="A848" s="1">
        <v>6</v>
      </c>
      <c r="B848" s="1">
        <v>12</v>
      </c>
      <c r="C848" s="10">
        <v>0.40050000000000002</v>
      </c>
      <c r="D848" s="5">
        <v>90</v>
      </c>
      <c r="E848" s="10">
        <v>0.10299999999999999</v>
      </c>
      <c r="F848" s="5">
        <v>1910</v>
      </c>
      <c r="G848" s="5">
        <v>70</v>
      </c>
      <c r="I848" s="40">
        <f t="shared" si="34"/>
        <v>1910</v>
      </c>
      <c r="J848" s="40">
        <f t="shared" si="35"/>
        <v>70</v>
      </c>
      <c r="K848" s="1">
        <v>2310</v>
      </c>
      <c r="L848" s="1">
        <v>90</v>
      </c>
      <c r="M848">
        <f t="shared" si="36"/>
        <v>-420</v>
      </c>
      <c r="N848" s="1">
        <v>0.40050000000000002</v>
      </c>
      <c r="O848" s="1">
        <v>90</v>
      </c>
      <c r="P848" s="24">
        <v>0.11799999999999999</v>
      </c>
      <c r="Q848" s="31">
        <f>C848-N848</f>
        <v>0</v>
      </c>
      <c r="R848" s="41">
        <f>D848-O848</f>
        <v>0</v>
      </c>
      <c r="S848" s="41">
        <f>E848-P848</f>
        <v>-1.4999999999999999E-2</v>
      </c>
    </row>
    <row r="849" spans="1:19" x14ac:dyDescent="0.15">
      <c r="A849" s="1">
        <v>6</v>
      </c>
      <c r="B849" s="1">
        <v>12</v>
      </c>
      <c r="C849" s="10">
        <v>0.40050000000000002</v>
      </c>
      <c r="D849" s="5">
        <v>90</v>
      </c>
      <c r="E849" s="10">
        <v>0.108</v>
      </c>
      <c r="F849" s="5">
        <v>2009.9999999999998</v>
      </c>
      <c r="G849" s="5">
        <v>80</v>
      </c>
      <c r="I849" s="40">
        <f t="shared" si="34"/>
        <v>2009.9999999999998</v>
      </c>
      <c r="J849" s="40">
        <f t="shared" si="35"/>
        <v>80</v>
      </c>
      <c r="K849" s="1">
        <v>2460</v>
      </c>
      <c r="L849" s="1">
        <v>100</v>
      </c>
      <c r="M849">
        <f t="shared" si="36"/>
        <v>-470</v>
      </c>
      <c r="N849" s="1">
        <v>0.40050000000000002</v>
      </c>
      <c r="O849" s="1">
        <v>90</v>
      </c>
      <c r="P849" s="24">
        <v>0.123</v>
      </c>
      <c r="Q849" s="31">
        <f>C849-N849</f>
        <v>0</v>
      </c>
      <c r="R849" s="41">
        <f>D849-O849</f>
        <v>0</v>
      </c>
      <c r="S849" s="41">
        <f>E849-P849</f>
        <v>-1.4999999999999999E-2</v>
      </c>
    </row>
    <row r="850" spans="1:19" x14ac:dyDescent="0.15">
      <c r="A850" s="1">
        <v>6</v>
      </c>
      <c r="B850" s="1">
        <v>12</v>
      </c>
      <c r="C850" s="10">
        <v>0.40050000000000002</v>
      </c>
      <c r="D850" s="5">
        <v>90</v>
      </c>
      <c r="E850" s="10">
        <v>0.113</v>
      </c>
      <c r="F850" s="5">
        <v>2170</v>
      </c>
      <c r="G850" s="5">
        <v>90</v>
      </c>
      <c r="I850" s="40">
        <f t="shared" si="34"/>
        <v>2170</v>
      </c>
      <c r="J850" s="40">
        <f t="shared" si="35"/>
        <v>90</v>
      </c>
      <c r="K850" s="1">
        <v>2540</v>
      </c>
      <c r="L850" s="1">
        <v>100</v>
      </c>
      <c r="M850">
        <f t="shared" si="36"/>
        <v>-380</v>
      </c>
      <c r="N850" s="1">
        <v>0.40050000000000002</v>
      </c>
      <c r="O850" s="1">
        <v>90</v>
      </c>
      <c r="P850" s="24">
        <v>0.128</v>
      </c>
      <c r="Q850" s="31">
        <f>C850-N850</f>
        <v>0</v>
      </c>
      <c r="R850" s="41">
        <f>D850-O850</f>
        <v>0</v>
      </c>
      <c r="S850" s="41">
        <f>E850-P850</f>
        <v>-1.4999999999999999E-2</v>
      </c>
    </row>
    <row r="851" spans="1:19" x14ac:dyDescent="0.15">
      <c r="A851" s="1">
        <v>6</v>
      </c>
      <c r="B851" s="1">
        <v>12</v>
      </c>
      <c r="C851" s="10">
        <v>0.40050000000000002</v>
      </c>
      <c r="D851" s="5">
        <v>90</v>
      </c>
      <c r="E851" s="10">
        <v>0.11799999999999999</v>
      </c>
      <c r="F851" s="5">
        <v>2310</v>
      </c>
      <c r="G851" s="5">
        <v>90</v>
      </c>
      <c r="I851" s="40">
        <f t="shared" si="34"/>
        <v>2310</v>
      </c>
      <c r="J851" s="40">
        <f t="shared" si="35"/>
        <v>90</v>
      </c>
      <c r="K851" s="1">
        <v>2610</v>
      </c>
      <c r="L851" s="1">
        <v>100</v>
      </c>
      <c r="M851">
        <f t="shared" si="36"/>
        <v>-310</v>
      </c>
      <c r="N851" s="1">
        <v>0.40050000000000002</v>
      </c>
      <c r="O851" s="1">
        <v>90</v>
      </c>
      <c r="P851" s="24">
        <v>0.13300000000000001</v>
      </c>
      <c r="Q851" s="31">
        <f>C851-N851</f>
        <v>0</v>
      </c>
      <c r="R851" s="41">
        <f>D851-O851</f>
        <v>0</v>
      </c>
      <c r="S851" s="41">
        <f>E851-P851</f>
        <v>-1.5000000000000013E-2</v>
      </c>
    </row>
    <row r="852" spans="1:19" x14ac:dyDescent="0.15">
      <c r="A852" s="1">
        <v>6</v>
      </c>
      <c r="B852" s="1">
        <v>12</v>
      </c>
      <c r="C852" s="10">
        <v>0.40050000000000002</v>
      </c>
      <c r="D852" s="5">
        <v>90</v>
      </c>
      <c r="E852" s="10">
        <v>0.123</v>
      </c>
      <c r="F852" s="5">
        <v>2460</v>
      </c>
      <c r="G852" s="5">
        <v>100</v>
      </c>
      <c r="I852" s="40">
        <f t="shared" si="34"/>
        <v>2460</v>
      </c>
      <c r="J852" s="40">
        <f t="shared" si="35"/>
        <v>100</v>
      </c>
      <c r="K852" s="1">
        <v>2640</v>
      </c>
      <c r="L852" s="1">
        <v>110</v>
      </c>
      <c r="M852">
        <f t="shared" si="36"/>
        <v>-190</v>
      </c>
      <c r="N852" s="1">
        <v>0.40050000000000002</v>
      </c>
      <c r="O852" s="1">
        <v>90</v>
      </c>
      <c r="P852" s="24">
        <v>0.13800000000000001</v>
      </c>
      <c r="Q852" s="31">
        <f>C852-N852</f>
        <v>0</v>
      </c>
      <c r="R852" s="41">
        <f>D852-O852</f>
        <v>0</v>
      </c>
      <c r="S852" s="41">
        <f>E852-P852</f>
        <v>-1.5000000000000013E-2</v>
      </c>
    </row>
    <row r="853" spans="1:19" x14ac:dyDescent="0.15">
      <c r="A853" s="1">
        <v>6</v>
      </c>
      <c r="B853" s="1">
        <v>12</v>
      </c>
      <c r="C853" s="10">
        <v>0.40050000000000002</v>
      </c>
      <c r="D853" s="5">
        <v>90</v>
      </c>
      <c r="E853" s="10">
        <v>0.128</v>
      </c>
      <c r="F853" s="5">
        <v>2540</v>
      </c>
      <c r="G853" s="5">
        <v>100</v>
      </c>
      <c r="I853" s="40">
        <f t="shared" si="34"/>
        <v>2540</v>
      </c>
      <c r="J853" s="40">
        <f t="shared" si="35"/>
        <v>100</v>
      </c>
      <c r="K853" s="1">
        <v>2710</v>
      </c>
      <c r="L853" s="1">
        <v>110</v>
      </c>
      <c r="M853">
        <f t="shared" si="36"/>
        <v>-180</v>
      </c>
      <c r="N853" s="1">
        <v>0.40050000000000002</v>
      </c>
      <c r="O853" s="1">
        <v>90</v>
      </c>
      <c r="P853" s="24">
        <v>0.14299999999999999</v>
      </c>
      <c r="Q853" s="31">
        <f>C853-N853</f>
        <v>0</v>
      </c>
      <c r="R853" s="41">
        <f>D853-O853</f>
        <v>0</v>
      </c>
      <c r="S853" s="41">
        <f>E853-P853</f>
        <v>-1.4999999999999986E-2</v>
      </c>
    </row>
    <row r="854" spans="1:19" x14ac:dyDescent="0.15">
      <c r="A854" s="1">
        <v>6</v>
      </c>
      <c r="B854" s="1">
        <v>12</v>
      </c>
      <c r="C854" s="10">
        <v>0.40050000000000002</v>
      </c>
      <c r="D854" s="5">
        <v>90</v>
      </c>
      <c r="E854" s="10">
        <v>0.13300000000000001</v>
      </c>
      <c r="F854" s="5">
        <v>2610</v>
      </c>
      <c r="G854" s="5">
        <v>100</v>
      </c>
      <c r="I854" s="40">
        <f t="shared" si="34"/>
        <v>2610</v>
      </c>
      <c r="J854" s="40">
        <f t="shared" si="35"/>
        <v>100</v>
      </c>
      <c r="K854" s="1">
        <v>2620</v>
      </c>
      <c r="L854" s="1">
        <v>110</v>
      </c>
      <c r="M854">
        <f t="shared" si="36"/>
        <v>-20</v>
      </c>
      <c r="N854" s="1">
        <v>0.40050000000000002</v>
      </c>
      <c r="O854" s="1">
        <v>90</v>
      </c>
      <c r="P854" s="24">
        <v>0.14799999999999999</v>
      </c>
      <c r="Q854" s="31">
        <f>C854-N854</f>
        <v>0</v>
      </c>
      <c r="R854" s="41">
        <f>D854-O854</f>
        <v>0</v>
      </c>
      <c r="S854" s="41">
        <f>E854-P854</f>
        <v>-1.4999999999999986E-2</v>
      </c>
    </row>
    <row r="855" spans="1:19" x14ac:dyDescent="0.15">
      <c r="A855" s="1">
        <v>6</v>
      </c>
      <c r="B855" s="1">
        <v>12</v>
      </c>
      <c r="C855" s="10">
        <v>0.40050000000000002</v>
      </c>
      <c r="D855" s="5">
        <v>90</v>
      </c>
      <c r="E855" s="10">
        <v>0.13800000000000001</v>
      </c>
      <c r="F855" s="5">
        <v>2640</v>
      </c>
      <c r="G855" s="5">
        <v>110</v>
      </c>
      <c r="I855" s="40">
        <f t="shared" si="34"/>
        <v>2640</v>
      </c>
      <c r="J855" s="40">
        <f t="shared" si="35"/>
        <v>110</v>
      </c>
      <c r="K855" s="1">
        <v>2660</v>
      </c>
      <c r="L855" s="1">
        <v>110</v>
      </c>
      <c r="M855">
        <f t="shared" si="36"/>
        <v>-20</v>
      </c>
      <c r="N855" s="1">
        <v>0.40050000000000002</v>
      </c>
      <c r="O855" s="1">
        <v>90</v>
      </c>
      <c r="P855" s="24">
        <v>0.153</v>
      </c>
      <c r="Q855" s="31">
        <f>C855-N855</f>
        <v>0</v>
      </c>
      <c r="R855" s="41">
        <f>D855-O855</f>
        <v>0</v>
      </c>
      <c r="S855" s="41">
        <f>E855-P855</f>
        <v>-1.4999999999999986E-2</v>
      </c>
    </row>
    <row r="856" spans="1:19" x14ac:dyDescent="0.15">
      <c r="A856" s="1">
        <v>6</v>
      </c>
      <c r="B856" s="1">
        <v>12</v>
      </c>
      <c r="C856" s="10">
        <v>0.40050000000000002</v>
      </c>
      <c r="D856" s="5">
        <v>90</v>
      </c>
      <c r="E856" s="10">
        <v>0.14299999999999999</v>
      </c>
      <c r="F856" s="5">
        <v>2710</v>
      </c>
      <c r="G856" s="5">
        <v>110</v>
      </c>
      <c r="I856" s="40">
        <f t="shared" si="34"/>
        <v>2710</v>
      </c>
      <c r="J856" s="40">
        <f t="shared" si="35"/>
        <v>110</v>
      </c>
      <c r="K856" s="1">
        <v>2490</v>
      </c>
      <c r="L856" s="1">
        <v>110</v>
      </c>
      <c r="M856">
        <f t="shared" si="36"/>
        <v>220</v>
      </c>
      <c r="N856" s="1">
        <v>0.40050000000000002</v>
      </c>
      <c r="O856" s="1">
        <v>90</v>
      </c>
      <c r="P856" s="24">
        <v>0.158</v>
      </c>
      <c r="Q856" s="31">
        <f>C856-N856</f>
        <v>0</v>
      </c>
      <c r="R856" s="41">
        <f>D856-O856</f>
        <v>0</v>
      </c>
      <c r="S856" s="41">
        <f>E856-P856</f>
        <v>-1.5000000000000013E-2</v>
      </c>
    </row>
    <row r="857" spans="1:19" x14ac:dyDescent="0.15">
      <c r="A857" s="1">
        <v>6</v>
      </c>
      <c r="B857" s="1">
        <v>12</v>
      </c>
      <c r="C857" s="10">
        <v>0.40050000000000002</v>
      </c>
      <c r="D857" s="5">
        <v>90</v>
      </c>
      <c r="E857" s="10">
        <v>0.14799999999999999</v>
      </c>
      <c r="F857" s="5">
        <v>2620</v>
      </c>
      <c r="G857" s="5">
        <v>110</v>
      </c>
      <c r="I857" s="40">
        <f t="shared" si="34"/>
        <v>2620</v>
      </c>
      <c r="J857" s="40">
        <f t="shared" si="35"/>
        <v>110</v>
      </c>
      <c r="K857" s="1">
        <v>2440</v>
      </c>
      <c r="L857" s="1">
        <v>110</v>
      </c>
      <c r="M857">
        <f t="shared" si="36"/>
        <v>180</v>
      </c>
      <c r="N857" s="1">
        <v>0.40050000000000002</v>
      </c>
      <c r="O857" s="1">
        <v>90</v>
      </c>
      <c r="P857" s="24">
        <v>0.16300000000000001</v>
      </c>
      <c r="Q857" s="31">
        <f>C857-N857</f>
        <v>0</v>
      </c>
      <c r="R857" s="41">
        <f>D857-O857</f>
        <v>0</v>
      </c>
      <c r="S857" s="41">
        <f>E857-P857</f>
        <v>-1.5000000000000013E-2</v>
      </c>
    </row>
    <row r="858" spans="1:19" x14ac:dyDescent="0.15">
      <c r="A858" s="1">
        <v>6</v>
      </c>
      <c r="B858" s="1">
        <v>12</v>
      </c>
      <c r="C858" s="10">
        <v>0.40050000000000002</v>
      </c>
      <c r="D858" s="5">
        <v>90</v>
      </c>
      <c r="E858" s="10">
        <v>0.153</v>
      </c>
      <c r="F858" s="5">
        <v>2660</v>
      </c>
      <c r="G858" s="5">
        <v>110</v>
      </c>
      <c r="I858" s="40">
        <f t="shared" si="34"/>
        <v>2660</v>
      </c>
      <c r="J858" s="40">
        <f t="shared" si="35"/>
        <v>110</v>
      </c>
      <c r="K858" s="1">
        <v>2290</v>
      </c>
      <c r="L858" s="1">
        <v>110</v>
      </c>
      <c r="M858">
        <f t="shared" si="36"/>
        <v>370</v>
      </c>
      <c r="N858" s="1">
        <v>0.40050000000000002</v>
      </c>
      <c r="O858" s="1">
        <v>90</v>
      </c>
      <c r="P858" s="24">
        <v>0.16800000000000001</v>
      </c>
      <c r="Q858" s="31">
        <f>C858-N858</f>
        <v>0</v>
      </c>
      <c r="R858" s="41">
        <f>D858-O858</f>
        <v>0</v>
      </c>
      <c r="S858" s="41">
        <f>E858-P858</f>
        <v>-1.5000000000000013E-2</v>
      </c>
    </row>
    <row r="859" spans="1:19" x14ac:dyDescent="0.15">
      <c r="A859" s="1">
        <v>6</v>
      </c>
      <c r="B859" s="1">
        <v>12</v>
      </c>
      <c r="C859" s="10">
        <v>0.40050000000000002</v>
      </c>
      <c r="D859" s="5">
        <v>90</v>
      </c>
      <c r="E859" s="10">
        <v>0.158</v>
      </c>
      <c r="F859" s="5">
        <v>2490</v>
      </c>
      <c r="G859" s="5">
        <v>110</v>
      </c>
      <c r="I859" s="40">
        <f t="shared" si="34"/>
        <v>2490</v>
      </c>
      <c r="J859" s="40">
        <f t="shared" si="35"/>
        <v>110</v>
      </c>
      <c r="K859" s="1">
        <v>2100</v>
      </c>
      <c r="L859" s="1">
        <v>100</v>
      </c>
      <c r="M859">
        <f t="shared" si="36"/>
        <v>400</v>
      </c>
      <c r="N859" s="1">
        <v>0.40050000000000002</v>
      </c>
      <c r="O859" s="1">
        <v>90</v>
      </c>
      <c r="P859" s="24">
        <v>0.17299999999999999</v>
      </c>
      <c r="Q859" s="31">
        <f>C859-N859</f>
        <v>0</v>
      </c>
      <c r="R859" s="41">
        <f>D859-O859</f>
        <v>0</v>
      </c>
      <c r="S859" s="41">
        <f>E859-P859</f>
        <v>-1.4999999999999986E-2</v>
      </c>
    </row>
    <row r="860" spans="1:19" x14ac:dyDescent="0.15">
      <c r="A860" s="1">
        <v>6</v>
      </c>
      <c r="B860" s="1">
        <v>12</v>
      </c>
      <c r="C860" s="10">
        <v>0.40050000000000002</v>
      </c>
      <c r="D860" s="5">
        <v>90</v>
      </c>
      <c r="E860" s="10">
        <v>0.16300000000000001</v>
      </c>
      <c r="F860" s="5">
        <v>2440</v>
      </c>
      <c r="G860" s="5">
        <v>110</v>
      </c>
      <c r="I860" s="40">
        <f t="shared" si="34"/>
        <v>2440</v>
      </c>
      <c r="J860" s="40">
        <f t="shared" si="35"/>
        <v>110</v>
      </c>
      <c r="K860" s="1">
        <v>2060</v>
      </c>
      <c r="L860" s="1">
        <v>100</v>
      </c>
      <c r="M860">
        <f t="shared" si="36"/>
        <v>390</v>
      </c>
      <c r="N860" s="1">
        <v>0.40050000000000002</v>
      </c>
      <c r="O860" s="1">
        <v>90</v>
      </c>
      <c r="P860" s="24">
        <v>0.17799999999999999</v>
      </c>
      <c r="Q860" s="31">
        <f>C860-N860</f>
        <v>0</v>
      </c>
      <c r="R860" s="41">
        <f>D860-O860</f>
        <v>0</v>
      </c>
      <c r="S860" s="41">
        <f>E860-P860</f>
        <v>-1.4999999999999986E-2</v>
      </c>
    </row>
    <row r="861" spans="1:19" x14ac:dyDescent="0.15">
      <c r="A861" s="1">
        <v>6</v>
      </c>
      <c r="B861" s="1">
        <v>12</v>
      </c>
      <c r="C861" s="10">
        <v>0.40050000000000002</v>
      </c>
      <c r="D861" s="5">
        <v>90</v>
      </c>
      <c r="E861" s="10">
        <v>0.16800000000000001</v>
      </c>
      <c r="F861" s="5">
        <v>2290</v>
      </c>
      <c r="G861" s="5">
        <v>110</v>
      </c>
      <c r="I861" s="40">
        <f t="shared" si="34"/>
        <v>2290</v>
      </c>
      <c r="J861" s="40">
        <f t="shared" si="35"/>
        <v>110</v>
      </c>
      <c r="K861" s="1">
        <v>1880</v>
      </c>
      <c r="L861" s="1">
        <v>90</v>
      </c>
      <c r="M861">
        <f t="shared" si="36"/>
        <v>430</v>
      </c>
      <c r="N861" s="1">
        <v>0.40050000000000002</v>
      </c>
      <c r="O861" s="1">
        <v>90</v>
      </c>
      <c r="P861" s="24">
        <v>0.183</v>
      </c>
      <c r="Q861" s="31">
        <f>C861-N861</f>
        <v>0</v>
      </c>
      <c r="R861" s="41">
        <f>D861-O861</f>
        <v>0</v>
      </c>
      <c r="S861" s="41">
        <f>E861-P861</f>
        <v>-1.4999999999999986E-2</v>
      </c>
    </row>
    <row r="862" spans="1:19" x14ac:dyDescent="0.15">
      <c r="A862" s="1">
        <v>6</v>
      </c>
      <c r="B862" s="1">
        <v>12</v>
      </c>
      <c r="C862" s="10">
        <v>0.40050000000000002</v>
      </c>
      <c r="D862" s="5">
        <v>90</v>
      </c>
      <c r="E862" s="10">
        <v>0.17299999999999999</v>
      </c>
      <c r="F862" s="5">
        <v>2100</v>
      </c>
      <c r="G862" s="5">
        <v>100</v>
      </c>
      <c r="I862" s="40">
        <f t="shared" si="34"/>
        <v>2100</v>
      </c>
      <c r="J862" s="40">
        <f t="shared" si="35"/>
        <v>100</v>
      </c>
      <c r="K862" s="1">
        <v>1760</v>
      </c>
      <c r="L862" s="1">
        <v>90</v>
      </c>
      <c r="M862">
        <f t="shared" si="36"/>
        <v>350</v>
      </c>
      <c r="N862" s="1">
        <v>0.40050000000000002</v>
      </c>
      <c r="O862" s="1">
        <v>90</v>
      </c>
      <c r="P862" s="24">
        <v>0.188</v>
      </c>
      <c r="Q862" s="31">
        <f>C862-N862</f>
        <v>0</v>
      </c>
      <c r="R862" s="41">
        <f>D862-O862</f>
        <v>0</v>
      </c>
      <c r="S862" s="41">
        <f>E862-P862</f>
        <v>-1.5000000000000013E-2</v>
      </c>
    </row>
    <row r="863" spans="1:19" x14ac:dyDescent="0.15">
      <c r="A863" s="1">
        <v>6</v>
      </c>
      <c r="B863" s="1">
        <v>12</v>
      </c>
      <c r="C863" s="10">
        <v>0.40050000000000002</v>
      </c>
      <c r="D863" s="5">
        <v>90</v>
      </c>
      <c r="E863" s="10">
        <v>0.17799999999999999</v>
      </c>
      <c r="F863" s="5">
        <v>2060</v>
      </c>
      <c r="G863" s="5">
        <v>100</v>
      </c>
      <c r="I863" s="40">
        <f t="shared" si="34"/>
        <v>2060</v>
      </c>
      <c r="J863" s="40">
        <f t="shared" si="35"/>
        <v>100</v>
      </c>
      <c r="K863" s="1">
        <v>1620</v>
      </c>
      <c r="L863" s="1">
        <v>90</v>
      </c>
      <c r="M863">
        <f t="shared" si="36"/>
        <v>450</v>
      </c>
      <c r="N863" s="1">
        <v>0.40050000000000002</v>
      </c>
      <c r="O863" s="1">
        <v>90</v>
      </c>
      <c r="P863" s="24">
        <v>0.193</v>
      </c>
      <c r="Q863" s="31">
        <f>C863-N863</f>
        <v>0</v>
      </c>
      <c r="R863" s="41">
        <f>D863-O863</f>
        <v>0</v>
      </c>
      <c r="S863" s="41">
        <f>E863-P863</f>
        <v>-1.5000000000000013E-2</v>
      </c>
    </row>
    <row r="864" spans="1:19" x14ac:dyDescent="0.15">
      <c r="A864" s="1">
        <v>6</v>
      </c>
      <c r="B864" s="1">
        <v>12</v>
      </c>
      <c r="C864" s="10">
        <v>0.40050000000000002</v>
      </c>
      <c r="D864" s="5">
        <v>90</v>
      </c>
      <c r="E864" s="10">
        <v>0.183</v>
      </c>
      <c r="F864" s="5">
        <v>1880</v>
      </c>
      <c r="G864" s="5">
        <v>90</v>
      </c>
      <c r="I864" s="40">
        <f t="shared" si="34"/>
        <v>1880</v>
      </c>
      <c r="J864" s="40">
        <f t="shared" si="35"/>
        <v>90</v>
      </c>
      <c r="K864" s="1">
        <v>1450</v>
      </c>
      <c r="L864" s="1">
        <v>90</v>
      </c>
      <c r="M864">
        <f t="shared" si="36"/>
        <v>430</v>
      </c>
      <c r="N864" s="1">
        <v>0.40050000000000002</v>
      </c>
      <c r="O864" s="1">
        <v>90</v>
      </c>
      <c r="P864" s="24">
        <v>0.19800000000000001</v>
      </c>
      <c r="Q864" s="31">
        <f>C864-N864</f>
        <v>0</v>
      </c>
      <c r="R864" s="41">
        <f>D864-O864</f>
        <v>0</v>
      </c>
      <c r="S864" s="41">
        <f>E864-P864</f>
        <v>-1.5000000000000013E-2</v>
      </c>
    </row>
    <row r="865" spans="1:19" x14ac:dyDescent="0.15">
      <c r="A865" s="1">
        <v>6</v>
      </c>
      <c r="B865" s="1">
        <v>12</v>
      </c>
      <c r="C865" s="10">
        <v>0.40050000000000002</v>
      </c>
      <c r="D865" s="5">
        <v>90</v>
      </c>
      <c r="E865" s="10">
        <v>0.188</v>
      </c>
      <c r="F865" s="5">
        <v>1760</v>
      </c>
      <c r="G865" s="5">
        <v>90</v>
      </c>
      <c r="I865" s="40">
        <f t="shared" si="34"/>
        <v>1760</v>
      </c>
      <c r="J865" s="40">
        <f t="shared" si="35"/>
        <v>90</v>
      </c>
      <c r="K865" s="1">
        <v>1390</v>
      </c>
      <c r="L865" s="1">
        <v>90</v>
      </c>
      <c r="M865">
        <f t="shared" si="36"/>
        <v>370</v>
      </c>
      <c r="N865" s="1">
        <v>0.40050000000000002</v>
      </c>
      <c r="O865" s="1">
        <v>90</v>
      </c>
      <c r="P865" s="24">
        <v>0.20300000000000001</v>
      </c>
      <c r="Q865" s="31">
        <f>C865-N865</f>
        <v>0</v>
      </c>
      <c r="R865" s="41">
        <f>D865-O865</f>
        <v>0</v>
      </c>
      <c r="S865" s="41">
        <f>E865-P865</f>
        <v>-1.5000000000000013E-2</v>
      </c>
    </row>
    <row r="866" spans="1:19" x14ac:dyDescent="0.15">
      <c r="A866" s="1">
        <v>6</v>
      </c>
      <c r="B866" s="1">
        <v>12</v>
      </c>
      <c r="C866" s="10">
        <v>0.40050000000000002</v>
      </c>
      <c r="D866" s="5">
        <v>90</v>
      </c>
      <c r="E866" s="10">
        <v>0.193</v>
      </c>
      <c r="F866" s="5">
        <v>1620</v>
      </c>
      <c r="G866" s="5">
        <v>90</v>
      </c>
      <c r="I866" s="40">
        <f t="shared" si="34"/>
        <v>1620</v>
      </c>
      <c r="J866" s="40">
        <f t="shared" si="35"/>
        <v>90</v>
      </c>
      <c r="K866" s="1">
        <v>1350</v>
      </c>
      <c r="L866" s="1">
        <v>90</v>
      </c>
      <c r="M866">
        <f t="shared" si="36"/>
        <v>270</v>
      </c>
      <c r="N866" s="1">
        <v>0.40050000000000002</v>
      </c>
      <c r="O866" s="1">
        <v>90</v>
      </c>
      <c r="P866" s="24">
        <v>0.20799999999999999</v>
      </c>
      <c r="Q866" s="31">
        <f>C866-N866</f>
        <v>0</v>
      </c>
      <c r="R866" s="41">
        <f>D866-O866</f>
        <v>0</v>
      </c>
      <c r="S866" s="41">
        <f>E866-P866</f>
        <v>-1.4999999999999986E-2</v>
      </c>
    </row>
    <row r="867" spans="1:19" x14ac:dyDescent="0.15">
      <c r="A867" s="1">
        <v>6</v>
      </c>
      <c r="B867" s="1">
        <v>12</v>
      </c>
      <c r="C867" s="10">
        <v>0.40050000000000002</v>
      </c>
      <c r="D867" s="5">
        <v>90</v>
      </c>
      <c r="E867" s="10">
        <v>0.19800000000000001</v>
      </c>
      <c r="F867" s="5">
        <v>1450</v>
      </c>
      <c r="G867" s="5">
        <v>90</v>
      </c>
      <c r="I867" s="40">
        <f t="shared" si="34"/>
        <v>1450</v>
      </c>
      <c r="J867" s="40">
        <f t="shared" si="35"/>
        <v>90</v>
      </c>
      <c r="K867" s="1">
        <v>1250</v>
      </c>
      <c r="L867" s="1">
        <v>80</v>
      </c>
      <c r="M867">
        <f t="shared" si="36"/>
        <v>210</v>
      </c>
      <c r="N867" s="1">
        <v>0.40050000000000002</v>
      </c>
      <c r="O867" s="1">
        <v>90</v>
      </c>
      <c r="P867" s="24">
        <v>0.21299999999999999</v>
      </c>
      <c r="Q867" s="31">
        <f>C867-N867</f>
        <v>0</v>
      </c>
      <c r="R867" s="41">
        <f>D867-O867</f>
        <v>0</v>
      </c>
      <c r="S867" s="41">
        <f>E867-P867</f>
        <v>-1.4999999999999986E-2</v>
      </c>
    </row>
    <row r="868" spans="1:19" x14ac:dyDescent="0.15">
      <c r="A868" s="1">
        <v>6</v>
      </c>
      <c r="B868" s="1">
        <v>12</v>
      </c>
      <c r="C868" s="10">
        <v>0.40050000000000002</v>
      </c>
      <c r="D868" s="5">
        <v>90</v>
      </c>
      <c r="E868" s="10">
        <v>0.20300000000000001</v>
      </c>
      <c r="F868" s="5">
        <v>1390</v>
      </c>
      <c r="G868" s="5">
        <v>90</v>
      </c>
      <c r="I868" s="40">
        <f t="shared" si="34"/>
        <v>1390</v>
      </c>
      <c r="J868" s="40">
        <f t="shared" si="35"/>
        <v>90</v>
      </c>
      <c r="K868" s="1">
        <v>1190</v>
      </c>
      <c r="L868" s="1">
        <v>80</v>
      </c>
      <c r="M868">
        <f t="shared" si="36"/>
        <v>210</v>
      </c>
      <c r="N868" s="1">
        <v>0.40050000000000002</v>
      </c>
      <c r="O868" s="1">
        <v>90</v>
      </c>
      <c r="P868" s="24">
        <v>0.218</v>
      </c>
      <c r="Q868" s="31">
        <f>C868-N868</f>
        <v>0</v>
      </c>
      <c r="R868" s="41">
        <f>D868-O868</f>
        <v>0</v>
      </c>
      <c r="S868" s="41">
        <f>E868-P868</f>
        <v>-1.4999999999999986E-2</v>
      </c>
    </row>
    <row r="869" spans="1:19" x14ac:dyDescent="0.15">
      <c r="A869" s="1">
        <v>6</v>
      </c>
      <c r="B869" s="1">
        <v>12</v>
      </c>
      <c r="C869" s="10">
        <v>0.40050000000000002</v>
      </c>
      <c r="D869" s="5">
        <v>90</v>
      </c>
      <c r="E869" s="10">
        <v>0.20799999999999999</v>
      </c>
      <c r="F869" s="5">
        <v>1350</v>
      </c>
      <c r="G869" s="5">
        <v>90</v>
      </c>
      <c r="I869" s="40">
        <f t="shared" si="34"/>
        <v>1350</v>
      </c>
      <c r="J869" s="40">
        <f t="shared" si="35"/>
        <v>90</v>
      </c>
      <c r="K869" s="1">
        <v>1200</v>
      </c>
      <c r="L869" s="1">
        <v>80</v>
      </c>
      <c r="M869">
        <f t="shared" si="36"/>
        <v>160</v>
      </c>
      <c r="N869" s="1">
        <v>0.40050000000000002</v>
      </c>
      <c r="O869" s="1">
        <v>90</v>
      </c>
      <c r="P869" s="24">
        <v>0.223</v>
      </c>
      <c r="Q869" s="31">
        <f>C869-N869</f>
        <v>0</v>
      </c>
      <c r="R869" s="41">
        <f>D869-O869</f>
        <v>0</v>
      </c>
      <c r="S869" s="41">
        <f>E869-P869</f>
        <v>-1.5000000000000013E-2</v>
      </c>
    </row>
    <row r="870" spans="1:19" x14ac:dyDescent="0.15">
      <c r="A870" s="1">
        <v>6</v>
      </c>
      <c r="B870" s="1">
        <v>12</v>
      </c>
      <c r="C870" s="10">
        <v>0.40050000000000002</v>
      </c>
      <c r="D870" s="5">
        <v>90</v>
      </c>
      <c r="E870" s="10">
        <v>0.21299999999999999</v>
      </c>
      <c r="F870" s="5">
        <v>1250</v>
      </c>
      <c r="G870" s="5">
        <v>80</v>
      </c>
      <c r="I870" s="40">
        <f t="shared" si="34"/>
        <v>1250</v>
      </c>
      <c r="J870" s="40">
        <f t="shared" si="35"/>
        <v>80</v>
      </c>
      <c r="K870" s="1">
        <v>1130</v>
      </c>
      <c r="L870" s="1">
        <v>80</v>
      </c>
      <c r="M870">
        <f t="shared" si="36"/>
        <v>120</v>
      </c>
      <c r="N870" s="1">
        <v>0.40050000000000002</v>
      </c>
      <c r="O870" s="1">
        <v>90</v>
      </c>
      <c r="P870" s="24">
        <v>0.22800000000000001</v>
      </c>
      <c r="Q870" s="31">
        <f>C870-N870</f>
        <v>0</v>
      </c>
      <c r="R870" s="41">
        <f>D870-O870</f>
        <v>0</v>
      </c>
      <c r="S870" s="41">
        <f>E870-P870</f>
        <v>-1.5000000000000013E-2</v>
      </c>
    </row>
    <row r="871" spans="1:19" x14ac:dyDescent="0.15">
      <c r="A871" s="1">
        <v>6</v>
      </c>
      <c r="B871" s="1">
        <v>12</v>
      </c>
      <c r="C871" s="10">
        <v>0.40050000000000002</v>
      </c>
      <c r="D871" s="5">
        <v>90</v>
      </c>
      <c r="E871" s="10">
        <v>0.218</v>
      </c>
      <c r="F871" s="5">
        <v>1190</v>
      </c>
      <c r="G871" s="5">
        <v>80</v>
      </c>
      <c r="I871" s="40">
        <f t="shared" si="34"/>
        <v>1190</v>
      </c>
      <c r="J871" s="40">
        <f t="shared" si="35"/>
        <v>80</v>
      </c>
      <c r="K871" s="1">
        <v>1160</v>
      </c>
      <c r="L871" s="1">
        <v>80</v>
      </c>
      <c r="M871">
        <f t="shared" si="36"/>
        <v>30</v>
      </c>
      <c r="N871" s="1">
        <v>0.40050000000000002</v>
      </c>
      <c r="O871" s="1">
        <v>90</v>
      </c>
      <c r="P871" s="24">
        <v>0.23300000000000001</v>
      </c>
      <c r="Q871" s="31">
        <f>C871-N871</f>
        <v>0</v>
      </c>
      <c r="R871" s="41">
        <f>D871-O871</f>
        <v>0</v>
      </c>
      <c r="S871" s="41">
        <f>E871-P871</f>
        <v>-1.5000000000000013E-2</v>
      </c>
    </row>
    <row r="872" spans="1:19" x14ac:dyDescent="0.15">
      <c r="A872" s="1">
        <v>6</v>
      </c>
      <c r="B872" s="1">
        <v>12</v>
      </c>
      <c r="C872" s="10">
        <v>0.40050000000000002</v>
      </c>
      <c r="D872" s="5">
        <v>90</v>
      </c>
      <c r="E872" s="10">
        <v>0.223</v>
      </c>
      <c r="F872" s="5">
        <v>1200</v>
      </c>
      <c r="G872" s="5">
        <v>80</v>
      </c>
      <c r="I872" s="40">
        <f t="shared" si="34"/>
        <v>1200</v>
      </c>
      <c r="J872" s="40">
        <f t="shared" si="35"/>
        <v>80</v>
      </c>
      <c r="K872" s="1">
        <v>1190</v>
      </c>
      <c r="L872" s="1">
        <v>90</v>
      </c>
      <c r="M872">
        <f t="shared" si="36"/>
        <v>0</v>
      </c>
      <c r="N872" s="1">
        <v>0.40050000000000002</v>
      </c>
      <c r="O872" s="1">
        <v>90</v>
      </c>
      <c r="P872" s="24">
        <v>0.23799999999999999</v>
      </c>
      <c r="Q872" s="31">
        <f>C872-N872</f>
        <v>0</v>
      </c>
      <c r="R872" s="41">
        <f>D872-O872</f>
        <v>0</v>
      </c>
      <c r="S872" s="41">
        <f>E872-P872</f>
        <v>-1.4999999999999986E-2</v>
      </c>
    </row>
    <row r="873" spans="1:19" x14ac:dyDescent="0.15">
      <c r="A873" s="1">
        <v>6</v>
      </c>
      <c r="B873" s="1">
        <v>12</v>
      </c>
      <c r="C873" s="10">
        <v>0.40050000000000002</v>
      </c>
      <c r="D873" s="5">
        <v>90</v>
      </c>
      <c r="E873" s="10">
        <v>0.22800000000000001</v>
      </c>
      <c r="F873" s="5">
        <v>1130</v>
      </c>
      <c r="G873" s="5">
        <v>80</v>
      </c>
      <c r="I873" s="40">
        <f t="shared" si="34"/>
        <v>1130</v>
      </c>
      <c r="J873" s="40">
        <f t="shared" si="35"/>
        <v>80</v>
      </c>
      <c r="K873" s="1">
        <v>1180</v>
      </c>
      <c r="L873" s="1">
        <v>80</v>
      </c>
      <c r="M873">
        <f t="shared" si="36"/>
        <v>-50</v>
      </c>
      <c r="N873" s="1">
        <v>0.40050000000000002</v>
      </c>
      <c r="O873" s="1">
        <v>90</v>
      </c>
      <c r="P873" s="24">
        <v>0.24299999999999999</v>
      </c>
      <c r="Q873" s="31">
        <f>C873-N873</f>
        <v>0</v>
      </c>
      <c r="R873" s="41">
        <f>D873-O873</f>
        <v>0</v>
      </c>
      <c r="S873" s="41">
        <f>E873-P873</f>
        <v>-1.4999999999999986E-2</v>
      </c>
    </row>
    <row r="874" spans="1:19" x14ac:dyDescent="0.15">
      <c r="A874" s="1">
        <v>6</v>
      </c>
      <c r="B874" s="1">
        <v>12</v>
      </c>
      <c r="C874" s="10">
        <v>0.40050000000000002</v>
      </c>
      <c r="D874" s="5">
        <v>90</v>
      </c>
      <c r="E874" s="10">
        <v>0.23300000000000001</v>
      </c>
      <c r="F874" s="5">
        <v>1160</v>
      </c>
      <c r="G874" s="5">
        <v>80</v>
      </c>
      <c r="I874" s="40">
        <f t="shared" si="34"/>
        <v>1160</v>
      </c>
      <c r="J874" s="40">
        <f t="shared" si="35"/>
        <v>80</v>
      </c>
      <c r="K874" s="1">
        <v>1270</v>
      </c>
      <c r="L874" s="1">
        <v>90</v>
      </c>
      <c r="M874">
        <f t="shared" si="36"/>
        <v>-120</v>
      </c>
      <c r="N874" s="1">
        <v>0.40050000000000002</v>
      </c>
      <c r="O874" s="1">
        <v>90</v>
      </c>
      <c r="P874" s="24">
        <v>0.248</v>
      </c>
      <c r="Q874" s="31">
        <f>C874-N874</f>
        <v>0</v>
      </c>
      <c r="R874" s="41">
        <f>D874-O874</f>
        <v>0</v>
      </c>
      <c r="S874" s="41">
        <f>E874-P874</f>
        <v>-1.4999999999999986E-2</v>
      </c>
    </row>
    <row r="875" spans="1:19" x14ac:dyDescent="0.15">
      <c r="A875" s="1">
        <v>6</v>
      </c>
      <c r="B875" s="1">
        <v>12</v>
      </c>
      <c r="C875" s="10">
        <v>0.40050000000000002</v>
      </c>
      <c r="D875" s="5">
        <v>90</v>
      </c>
      <c r="E875" s="10">
        <v>0.23799999999999999</v>
      </c>
      <c r="F875" s="5">
        <v>1190</v>
      </c>
      <c r="G875" s="5">
        <v>80</v>
      </c>
      <c r="I875" s="40">
        <f t="shared" si="34"/>
        <v>1190</v>
      </c>
      <c r="J875" s="40">
        <f t="shared" si="35"/>
        <v>80</v>
      </c>
      <c r="K875" s="1">
        <v>1360</v>
      </c>
      <c r="L875" s="1">
        <v>100</v>
      </c>
      <c r="M875">
        <f t="shared" si="36"/>
        <v>-190</v>
      </c>
      <c r="N875" s="1">
        <v>0.40050000000000002</v>
      </c>
      <c r="O875" s="1">
        <v>90</v>
      </c>
      <c r="P875" s="24">
        <v>0.253</v>
      </c>
      <c r="Q875" s="31">
        <f>C875-N875</f>
        <v>0</v>
      </c>
      <c r="R875" s="41">
        <f>D875-O875</f>
        <v>0</v>
      </c>
      <c r="S875" s="41">
        <f>E875-P875</f>
        <v>-1.5000000000000013E-2</v>
      </c>
    </row>
    <row r="876" spans="1:19" x14ac:dyDescent="0.15">
      <c r="A876" s="1">
        <v>6</v>
      </c>
      <c r="B876" s="1">
        <v>12</v>
      </c>
      <c r="C876" s="10">
        <v>0.40050000000000002</v>
      </c>
      <c r="D876" s="5">
        <v>90</v>
      </c>
      <c r="E876" s="10">
        <v>0.24299999999999999</v>
      </c>
      <c r="F876" s="5">
        <v>1180</v>
      </c>
      <c r="G876" s="5">
        <v>80</v>
      </c>
      <c r="I876" s="40">
        <f t="shared" si="34"/>
        <v>1180</v>
      </c>
      <c r="J876" s="40">
        <f t="shared" si="35"/>
        <v>80</v>
      </c>
      <c r="K876" s="1">
        <v>1340</v>
      </c>
      <c r="L876" s="1">
        <v>110</v>
      </c>
      <c r="M876">
        <f t="shared" si="36"/>
        <v>-190</v>
      </c>
      <c r="N876" s="1">
        <v>0.40050000000000002</v>
      </c>
      <c r="O876" s="1">
        <v>90</v>
      </c>
      <c r="P876" s="24">
        <v>0.25800000000000001</v>
      </c>
      <c r="Q876" s="31">
        <f>C876-N876</f>
        <v>0</v>
      </c>
      <c r="R876" s="41">
        <f>D876-O876</f>
        <v>0</v>
      </c>
      <c r="S876" s="41">
        <f>E876-P876</f>
        <v>-1.5000000000000013E-2</v>
      </c>
    </row>
    <row r="877" spans="1:19" x14ac:dyDescent="0.15">
      <c r="A877" s="1">
        <v>6</v>
      </c>
      <c r="B877" s="1">
        <v>12</v>
      </c>
      <c r="C877" s="10">
        <v>0.40050000000000002</v>
      </c>
      <c r="D877" s="5">
        <v>90</v>
      </c>
      <c r="E877" s="10">
        <v>0.248</v>
      </c>
      <c r="F877" s="5">
        <v>1270</v>
      </c>
      <c r="G877" s="5">
        <v>90</v>
      </c>
      <c r="I877" s="40">
        <f t="shared" si="34"/>
        <v>1270</v>
      </c>
      <c r="J877" s="40">
        <f t="shared" si="35"/>
        <v>90</v>
      </c>
      <c r="K877" s="1">
        <v>1360</v>
      </c>
      <c r="L877" s="1">
        <v>120</v>
      </c>
      <c r="M877">
        <f t="shared" si="36"/>
        <v>-120</v>
      </c>
      <c r="N877" s="1">
        <v>0.40050000000000002</v>
      </c>
      <c r="O877" s="1">
        <v>90</v>
      </c>
      <c r="P877" s="24">
        <v>0.26300000000000001</v>
      </c>
      <c r="Q877" s="31">
        <f>C877-N877</f>
        <v>0</v>
      </c>
      <c r="R877" s="41">
        <f>D877-O877</f>
        <v>0</v>
      </c>
      <c r="S877" s="41">
        <f>E877-P877</f>
        <v>-1.5000000000000013E-2</v>
      </c>
    </row>
    <row r="878" spans="1:19" x14ac:dyDescent="0.15">
      <c r="A878" s="1">
        <v>6</v>
      </c>
      <c r="B878" s="1">
        <v>12</v>
      </c>
      <c r="C878" s="10">
        <v>0.40050000000000002</v>
      </c>
      <c r="D878" s="5">
        <v>90</v>
      </c>
      <c r="E878" s="10">
        <v>0.253</v>
      </c>
      <c r="F878" s="5">
        <v>1360</v>
      </c>
      <c r="G878" s="5">
        <v>100</v>
      </c>
      <c r="I878" s="40">
        <f t="shared" si="34"/>
        <v>1360</v>
      </c>
      <c r="J878" s="40">
        <f t="shared" si="35"/>
        <v>100</v>
      </c>
      <c r="K878" s="1">
        <v>1470</v>
      </c>
      <c r="L878" s="1">
        <v>120</v>
      </c>
      <c r="M878">
        <f t="shared" si="36"/>
        <v>-130</v>
      </c>
      <c r="N878" s="1">
        <v>0.40050000000000002</v>
      </c>
      <c r="O878" s="1">
        <v>90</v>
      </c>
      <c r="P878" s="24">
        <v>0.26800000000000002</v>
      </c>
      <c r="Q878" s="31">
        <f>C878-N878</f>
        <v>0</v>
      </c>
      <c r="R878" s="41">
        <f>D878-O878</f>
        <v>0</v>
      </c>
      <c r="S878" s="41">
        <f>E878-P878</f>
        <v>-1.5000000000000013E-2</v>
      </c>
    </row>
    <row r="879" spans="1:19" x14ac:dyDescent="0.15">
      <c r="A879" s="1">
        <v>6</v>
      </c>
      <c r="B879" s="1">
        <v>12</v>
      </c>
      <c r="C879" s="10">
        <v>0.40050000000000002</v>
      </c>
      <c r="D879" s="5">
        <v>90</v>
      </c>
      <c r="E879" s="10">
        <v>0.25800000000000001</v>
      </c>
      <c r="F879" s="5">
        <v>1340</v>
      </c>
      <c r="G879" s="5">
        <v>110</v>
      </c>
      <c r="I879" s="40">
        <f t="shared" si="34"/>
        <v>1340</v>
      </c>
      <c r="J879" s="40">
        <f t="shared" si="35"/>
        <v>110</v>
      </c>
      <c r="K879" s="1">
        <v>1530</v>
      </c>
      <c r="L879" s="1">
        <v>140</v>
      </c>
      <c r="M879">
        <f t="shared" si="36"/>
        <v>-220</v>
      </c>
      <c r="N879" s="1">
        <v>0.40050000000000002</v>
      </c>
      <c r="O879" s="1">
        <v>90</v>
      </c>
      <c r="P879" s="24">
        <v>0.27300000000000002</v>
      </c>
      <c r="Q879" s="31">
        <f>C879-N879</f>
        <v>0</v>
      </c>
      <c r="R879" s="41">
        <f>D879-O879</f>
        <v>0</v>
      </c>
      <c r="S879" s="41">
        <f>E879-P879</f>
        <v>-1.5000000000000013E-2</v>
      </c>
    </row>
    <row r="880" spans="1:19" x14ac:dyDescent="0.15">
      <c r="A880" s="1">
        <v>6</v>
      </c>
      <c r="B880" s="1">
        <v>12</v>
      </c>
      <c r="C880" s="10">
        <v>0.40050000000000002</v>
      </c>
      <c r="D880" s="5">
        <v>90</v>
      </c>
      <c r="E880" s="10">
        <v>0.26300000000000001</v>
      </c>
      <c r="F880" s="5">
        <v>1360</v>
      </c>
      <c r="G880" s="5">
        <v>120</v>
      </c>
      <c r="I880" s="40">
        <f t="shared" si="34"/>
        <v>1360</v>
      </c>
      <c r="J880" s="40">
        <f t="shared" si="35"/>
        <v>120</v>
      </c>
      <c r="K880" s="1">
        <v>1600</v>
      </c>
      <c r="L880" s="1">
        <v>150</v>
      </c>
      <c r="M880">
        <f t="shared" si="36"/>
        <v>-270</v>
      </c>
      <c r="N880" s="1">
        <v>0.40050000000000002</v>
      </c>
      <c r="O880" s="1">
        <v>90</v>
      </c>
      <c r="P880" s="24">
        <v>0.27800000000000002</v>
      </c>
      <c r="Q880" s="31">
        <f>C880-N880</f>
        <v>0</v>
      </c>
      <c r="R880" s="41">
        <f>D880-O880</f>
        <v>0</v>
      </c>
      <c r="S880" s="41">
        <f>E880-P880</f>
        <v>-1.5000000000000013E-2</v>
      </c>
    </row>
    <row r="881" spans="1:19" x14ac:dyDescent="0.15">
      <c r="A881" s="1">
        <v>6</v>
      </c>
      <c r="B881" s="1">
        <v>12</v>
      </c>
      <c r="C881" s="10">
        <v>0.40050000000000002</v>
      </c>
      <c r="D881" s="5">
        <v>90</v>
      </c>
      <c r="E881" s="10">
        <v>0.26800000000000002</v>
      </c>
      <c r="F881" s="5">
        <v>1470</v>
      </c>
      <c r="G881" s="5">
        <v>120</v>
      </c>
      <c r="I881" s="40">
        <f t="shared" si="34"/>
        <v>1470</v>
      </c>
      <c r="J881" s="40">
        <f t="shared" si="35"/>
        <v>120</v>
      </c>
      <c r="K881" s="1">
        <v>1600</v>
      </c>
      <c r="L881" s="1">
        <v>170</v>
      </c>
      <c r="M881">
        <f t="shared" si="36"/>
        <v>-180</v>
      </c>
      <c r="N881" s="1">
        <v>0.40050000000000002</v>
      </c>
      <c r="O881" s="1">
        <v>90</v>
      </c>
      <c r="P881" s="24">
        <v>0.28299999999999997</v>
      </c>
      <c r="Q881" s="31">
        <f>C881-N881</f>
        <v>0</v>
      </c>
      <c r="R881" s="41">
        <f>D881-O881</f>
        <v>0</v>
      </c>
      <c r="S881" s="41">
        <f>E881-P881</f>
        <v>-1.4999999999999958E-2</v>
      </c>
    </row>
    <row r="882" spans="1:19" x14ac:dyDescent="0.15">
      <c r="A882" s="1">
        <v>6</v>
      </c>
      <c r="B882" s="1">
        <v>12</v>
      </c>
      <c r="C882" s="10">
        <v>0.40050000000000002</v>
      </c>
      <c r="D882" s="5">
        <v>90</v>
      </c>
      <c r="E882" s="10">
        <v>0.27300000000000002</v>
      </c>
      <c r="F882" s="5">
        <v>1530</v>
      </c>
      <c r="G882" s="5">
        <v>140</v>
      </c>
      <c r="I882" s="40">
        <f t="shared" si="34"/>
        <v>1530</v>
      </c>
      <c r="J882" s="40">
        <f t="shared" si="35"/>
        <v>140</v>
      </c>
      <c r="K882" s="1">
        <v>1770</v>
      </c>
      <c r="L882" s="1">
        <v>190</v>
      </c>
      <c r="M882">
        <f t="shared" si="36"/>
        <v>-290</v>
      </c>
      <c r="N882" s="1">
        <v>0.40050000000000002</v>
      </c>
      <c r="O882" s="1">
        <v>90</v>
      </c>
      <c r="P882" s="24">
        <v>0.28799999999999998</v>
      </c>
      <c r="Q882" s="31">
        <f>C882-N882</f>
        <v>0</v>
      </c>
      <c r="R882" s="41">
        <f>D882-O882</f>
        <v>0</v>
      </c>
      <c r="S882" s="41">
        <f>E882-P882</f>
        <v>-1.4999999999999958E-2</v>
      </c>
    </row>
    <row r="883" spans="1:19" x14ac:dyDescent="0.15">
      <c r="A883" s="1">
        <v>6</v>
      </c>
      <c r="B883" s="1">
        <v>12</v>
      </c>
      <c r="C883" s="10">
        <v>0.40050000000000002</v>
      </c>
      <c r="D883" s="5">
        <v>90</v>
      </c>
      <c r="E883" s="10">
        <v>0.27800000000000002</v>
      </c>
      <c r="F883" s="5">
        <v>1600</v>
      </c>
      <c r="G883" s="5">
        <v>150</v>
      </c>
      <c r="I883" s="40">
        <f t="shared" si="34"/>
        <v>1600</v>
      </c>
      <c r="J883" s="40">
        <f t="shared" si="35"/>
        <v>150</v>
      </c>
      <c r="K883" s="1">
        <v>1860</v>
      </c>
      <c r="L883" s="1">
        <v>210</v>
      </c>
      <c r="M883">
        <f t="shared" si="36"/>
        <v>-320</v>
      </c>
      <c r="N883" s="1">
        <v>0.40050000000000002</v>
      </c>
      <c r="O883" s="1">
        <v>90</v>
      </c>
      <c r="P883" s="24">
        <v>0.29299999999999998</v>
      </c>
      <c r="Q883" s="31">
        <f>C883-N883</f>
        <v>0</v>
      </c>
      <c r="R883" s="41">
        <f>D883-O883</f>
        <v>0</v>
      </c>
      <c r="S883" s="41">
        <f>E883-P883</f>
        <v>-1.4999999999999958E-2</v>
      </c>
    </row>
    <row r="884" spans="1:19" ht="14" thickBot="1" x14ac:dyDescent="0.2">
      <c r="A884" s="1">
        <v>6</v>
      </c>
      <c r="B884" s="1">
        <v>12</v>
      </c>
      <c r="C884" s="10">
        <v>0.40050000000000002</v>
      </c>
      <c r="D884" s="5">
        <v>90</v>
      </c>
      <c r="E884" s="10">
        <v>0.28299999999999997</v>
      </c>
      <c r="F884" s="5">
        <v>1600</v>
      </c>
      <c r="G884" s="5">
        <v>170</v>
      </c>
      <c r="I884" s="40">
        <f t="shared" si="34"/>
        <v>1600</v>
      </c>
      <c r="J884" s="40">
        <f t="shared" si="35"/>
        <v>170</v>
      </c>
      <c r="K884" s="1">
        <v>1840</v>
      </c>
      <c r="L884" s="1">
        <v>230</v>
      </c>
      <c r="M884">
        <f t="shared" si="36"/>
        <v>-300</v>
      </c>
      <c r="N884" s="1">
        <v>0.40050000000000002</v>
      </c>
      <c r="O884" s="1">
        <v>90</v>
      </c>
      <c r="P884" s="44">
        <v>0.29799999999999999</v>
      </c>
      <c r="Q884" s="31">
        <f>C884-N884</f>
        <v>0</v>
      </c>
      <c r="R884" s="41">
        <f>D884-O884</f>
        <v>0</v>
      </c>
      <c r="S884" s="41">
        <f>E884-P884</f>
        <v>-1.5000000000000013E-2</v>
      </c>
    </row>
    <row r="885" spans="1:19" ht="14" thickTop="1" x14ac:dyDescent="0.15">
      <c r="A885" s="1">
        <v>6</v>
      </c>
      <c r="B885" s="1">
        <v>12</v>
      </c>
      <c r="C885" s="10">
        <v>0.40050000000000002</v>
      </c>
      <c r="D885" s="5">
        <v>90</v>
      </c>
      <c r="E885" s="10">
        <v>0.28799999999999998</v>
      </c>
      <c r="F885" s="5">
        <v>1770</v>
      </c>
      <c r="G885" s="5">
        <v>190</v>
      </c>
      <c r="I885" s="40">
        <f t="shared" si="34"/>
        <v>1770</v>
      </c>
      <c r="J885" s="40">
        <f t="shared" si="35"/>
        <v>190</v>
      </c>
      <c r="K885" s="1">
        <v>160</v>
      </c>
      <c r="L885" s="1">
        <v>20</v>
      </c>
      <c r="M885">
        <f t="shared" si="36"/>
        <v>1780</v>
      </c>
      <c r="N885" s="1">
        <v>0.36009999999999998</v>
      </c>
      <c r="O885" s="1">
        <v>90</v>
      </c>
      <c r="P885" s="24">
        <v>1.01E-2</v>
      </c>
      <c r="Q885" s="31">
        <f>C885-N885</f>
        <v>4.0400000000000047E-2</v>
      </c>
      <c r="R885" s="41">
        <f>D885-O885</f>
        <v>0</v>
      </c>
      <c r="S885" s="41">
        <f>E885-P885</f>
        <v>0.27789999999999998</v>
      </c>
    </row>
    <row r="886" spans="1:19" x14ac:dyDescent="0.15">
      <c r="A886" s="1">
        <v>6</v>
      </c>
      <c r="B886" s="1">
        <v>12</v>
      </c>
      <c r="C886" s="10">
        <v>0.40050000000000002</v>
      </c>
      <c r="D886" s="5">
        <v>90</v>
      </c>
      <c r="E886" s="10">
        <v>0.29299999999999998</v>
      </c>
      <c r="F886" s="5">
        <v>1860</v>
      </c>
      <c r="G886" s="5">
        <v>210</v>
      </c>
      <c r="I886" s="40">
        <f t="shared" si="34"/>
        <v>1860</v>
      </c>
      <c r="J886" s="40">
        <f t="shared" si="35"/>
        <v>210</v>
      </c>
      <c r="K886" s="1">
        <v>50</v>
      </c>
      <c r="L886" s="1">
        <v>10</v>
      </c>
      <c r="M886">
        <f t="shared" si="36"/>
        <v>2010</v>
      </c>
      <c r="N886" s="1">
        <v>0.36009999999999998</v>
      </c>
      <c r="O886" s="1">
        <v>90</v>
      </c>
      <c r="P886" s="24">
        <v>1.5100000000000001E-2</v>
      </c>
      <c r="Q886" s="31">
        <f>C886-N886</f>
        <v>4.0400000000000047E-2</v>
      </c>
      <c r="R886" s="41">
        <f>D886-O886</f>
        <v>0</v>
      </c>
      <c r="S886" s="41">
        <f>E886-P886</f>
        <v>0.27789999999999998</v>
      </c>
    </row>
    <row r="887" spans="1:19" x14ac:dyDescent="0.15">
      <c r="A887" s="1">
        <v>6</v>
      </c>
      <c r="B887" s="1">
        <v>12</v>
      </c>
      <c r="C887" s="10">
        <v>0.40050000000000002</v>
      </c>
      <c r="D887" s="5">
        <v>90</v>
      </c>
      <c r="E887" s="10">
        <v>0.29799999999999999</v>
      </c>
      <c r="F887" s="5">
        <v>1840</v>
      </c>
      <c r="G887" s="5">
        <v>230</v>
      </c>
      <c r="I887" s="40">
        <f t="shared" si="34"/>
        <v>1840</v>
      </c>
      <c r="J887" s="40">
        <f t="shared" si="35"/>
        <v>230</v>
      </c>
      <c r="K887" s="1">
        <v>60</v>
      </c>
      <c r="L887" s="1">
        <v>10</v>
      </c>
      <c r="M887">
        <f t="shared" si="36"/>
        <v>2000</v>
      </c>
      <c r="N887" s="1">
        <v>0.36009999999999998</v>
      </c>
      <c r="O887" s="1">
        <v>90</v>
      </c>
      <c r="P887" s="24">
        <v>2.01E-2</v>
      </c>
      <c r="Q887" s="31">
        <f>C887-N887</f>
        <v>4.0400000000000047E-2</v>
      </c>
      <c r="R887" s="41">
        <f>D887-O887</f>
        <v>0</v>
      </c>
      <c r="S887" s="41">
        <f>E887-P887</f>
        <v>0.27789999999999998</v>
      </c>
    </row>
    <row r="888" spans="1:19" x14ac:dyDescent="0.15">
      <c r="A888" s="6">
        <v>6</v>
      </c>
      <c r="B888" s="6">
        <v>12</v>
      </c>
      <c r="C888" s="11">
        <v>0.36010000000000003</v>
      </c>
      <c r="D888" s="7">
        <v>90</v>
      </c>
      <c r="E888" s="11">
        <v>1.01E-2</v>
      </c>
      <c r="F888" s="7">
        <v>160</v>
      </c>
      <c r="G888" s="7">
        <v>20</v>
      </c>
      <c r="I888" s="40">
        <f t="shared" si="34"/>
        <v>160</v>
      </c>
      <c r="J888" s="40">
        <f t="shared" si="35"/>
        <v>20</v>
      </c>
      <c r="K888" s="6">
        <v>100</v>
      </c>
      <c r="L888" s="6">
        <v>10</v>
      </c>
      <c r="M888">
        <f t="shared" si="36"/>
        <v>70</v>
      </c>
      <c r="N888" s="6">
        <v>0.36009999999999998</v>
      </c>
      <c r="O888" s="6">
        <v>90</v>
      </c>
      <c r="P888" s="24">
        <v>2.5100000000000001E-2</v>
      </c>
      <c r="Q888" s="31">
        <f>C888-N888</f>
        <v>0</v>
      </c>
      <c r="R888" s="41">
        <f>D888-O888</f>
        <v>0</v>
      </c>
      <c r="S888" s="41">
        <f>E888-P888</f>
        <v>-1.5000000000000001E-2</v>
      </c>
    </row>
    <row r="889" spans="1:19" x14ac:dyDescent="0.15">
      <c r="A889" s="1">
        <v>6</v>
      </c>
      <c r="B889" s="1">
        <v>12</v>
      </c>
      <c r="C889" s="10">
        <v>0.36010000000000003</v>
      </c>
      <c r="D889" s="5">
        <v>90</v>
      </c>
      <c r="E889" s="10">
        <v>1.5099999999999999E-2</v>
      </c>
      <c r="F889" s="5">
        <v>50</v>
      </c>
      <c r="G889" s="5">
        <v>10</v>
      </c>
      <c r="I889" s="40">
        <f t="shared" ref="I889:I952" si="37">F889</f>
        <v>50</v>
      </c>
      <c r="J889" s="40">
        <f t="shared" ref="J889:J952" si="38">G889</f>
        <v>10</v>
      </c>
      <c r="K889" s="1">
        <v>590</v>
      </c>
      <c r="L889" s="1">
        <v>20</v>
      </c>
      <c r="M889">
        <f t="shared" si="36"/>
        <v>-550</v>
      </c>
      <c r="N889" s="1">
        <v>0.36009999999999998</v>
      </c>
      <c r="O889" s="1">
        <v>90</v>
      </c>
      <c r="P889" s="24">
        <v>3.0099999999999998E-2</v>
      </c>
      <c r="Q889" s="31">
        <f>C889-N889</f>
        <v>0</v>
      </c>
      <c r="R889" s="41">
        <f>D889-O889</f>
        <v>0</v>
      </c>
      <c r="S889" s="41">
        <f>E889-P889</f>
        <v>-1.4999999999999999E-2</v>
      </c>
    </row>
    <row r="890" spans="1:19" x14ac:dyDescent="0.15">
      <c r="A890" s="1">
        <v>6</v>
      </c>
      <c r="B890" s="1">
        <v>12</v>
      </c>
      <c r="C890" s="10">
        <v>0.36010000000000003</v>
      </c>
      <c r="D890" s="5">
        <v>90</v>
      </c>
      <c r="E890" s="10">
        <v>2.01E-2</v>
      </c>
      <c r="F890" s="5">
        <v>60</v>
      </c>
      <c r="G890" s="5">
        <v>10</v>
      </c>
      <c r="I890" s="40">
        <f t="shared" si="37"/>
        <v>60</v>
      </c>
      <c r="J890" s="40">
        <f t="shared" si="38"/>
        <v>10</v>
      </c>
      <c r="K890" s="1">
        <v>490</v>
      </c>
      <c r="L890" s="1">
        <v>30</v>
      </c>
      <c r="M890">
        <f t="shared" si="36"/>
        <v>-450</v>
      </c>
      <c r="N890" s="1">
        <v>0.36009999999999998</v>
      </c>
      <c r="O890" s="1">
        <v>90</v>
      </c>
      <c r="P890" s="24">
        <v>3.5099999999999999E-2</v>
      </c>
      <c r="Q890" s="31">
        <f>C890-N890</f>
        <v>0</v>
      </c>
      <c r="R890" s="41">
        <f>D890-O890</f>
        <v>0</v>
      </c>
      <c r="S890" s="41">
        <f>E890-P890</f>
        <v>-1.4999999999999999E-2</v>
      </c>
    </row>
    <row r="891" spans="1:19" x14ac:dyDescent="0.15">
      <c r="A891" s="1">
        <v>6</v>
      </c>
      <c r="B891" s="1">
        <v>12</v>
      </c>
      <c r="C891" s="10">
        <v>0.36010000000000003</v>
      </c>
      <c r="D891" s="5">
        <v>90</v>
      </c>
      <c r="E891" s="10">
        <v>2.5100000000000001E-2</v>
      </c>
      <c r="F891" s="5">
        <v>100</v>
      </c>
      <c r="G891" s="5">
        <v>10</v>
      </c>
      <c r="I891" s="40">
        <f t="shared" si="37"/>
        <v>100</v>
      </c>
      <c r="J891" s="40">
        <f t="shared" si="38"/>
        <v>10</v>
      </c>
      <c r="K891" s="1">
        <v>640</v>
      </c>
      <c r="L891" s="1">
        <v>20</v>
      </c>
      <c r="M891">
        <f t="shared" si="36"/>
        <v>-550</v>
      </c>
      <c r="N891" s="1">
        <v>0.36009999999999998</v>
      </c>
      <c r="O891" s="1">
        <v>90</v>
      </c>
      <c r="P891" s="24">
        <v>4.0099999999999997E-2</v>
      </c>
      <c r="Q891" s="31">
        <f>C891-N891</f>
        <v>0</v>
      </c>
      <c r="R891" s="41">
        <f>D891-O891</f>
        <v>0</v>
      </c>
      <c r="S891" s="41">
        <f>E891-P891</f>
        <v>-1.4999999999999996E-2</v>
      </c>
    </row>
    <row r="892" spans="1:19" x14ac:dyDescent="0.15">
      <c r="A892" s="1">
        <v>6</v>
      </c>
      <c r="B892" s="1">
        <v>12</v>
      </c>
      <c r="C892" s="10">
        <v>0.36010000000000003</v>
      </c>
      <c r="D892" s="5">
        <v>90</v>
      </c>
      <c r="E892" s="10">
        <v>3.0100000000000002E-2</v>
      </c>
      <c r="F892" s="5">
        <v>590</v>
      </c>
      <c r="G892" s="5">
        <v>20</v>
      </c>
      <c r="I892" s="40">
        <f t="shared" si="37"/>
        <v>590</v>
      </c>
      <c r="J892" s="40">
        <f t="shared" si="38"/>
        <v>20</v>
      </c>
      <c r="K892" s="1">
        <v>850</v>
      </c>
      <c r="L892" s="1">
        <v>30</v>
      </c>
      <c r="M892">
        <f t="shared" si="36"/>
        <v>-270</v>
      </c>
      <c r="N892" s="1">
        <v>0.36009999999999998</v>
      </c>
      <c r="O892" s="1">
        <v>90</v>
      </c>
      <c r="P892" s="24">
        <v>4.5100000000000001E-2</v>
      </c>
      <c r="Q892" s="31">
        <f>C892-N892</f>
        <v>0</v>
      </c>
      <c r="R892" s="41">
        <f>D892-O892</f>
        <v>0</v>
      </c>
      <c r="S892" s="41">
        <f>E892-P892</f>
        <v>-1.4999999999999999E-2</v>
      </c>
    </row>
    <row r="893" spans="1:19" x14ac:dyDescent="0.15">
      <c r="A893" s="1">
        <v>6</v>
      </c>
      <c r="B893" s="1">
        <v>12</v>
      </c>
      <c r="C893" s="10">
        <v>0.36010000000000003</v>
      </c>
      <c r="D893" s="5">
        <v>90</v>
      </c>
      <c r="E893" s="10">
        <v>3.5099999999999999E-2</v>
      </c>
      <c r="F893" s="5">
        <v>490</v>
      </c>
      <c r="G893" s="5">
        <v>30</v>
      </c>
      <c r="I893" s="40">
        <f t="shared" si="37"/>
        <v>490</v>
      </c>
      <c r="J893" s="40">
        <f t="shared" si="38"/>
        <v>30</v>
      </c>
      <c r="K893" s="1">
        <v>1010</v>
      </c>
      <c r="L893" s="1">
        <v>30</v>
      </c>
      <c r="M893">
        <f t="shared" si="36"/>
        <v>-520</v>
      </c>
      <c r="N893" s="1">
        <v>0.36009999999999998</v>
      </c>
      <c r="O893" s="1">
        <v>90</v>
      </c>
      <c r="P893" s="24">
        <v>5.0099999999999999E-2</v>
      </c>
      <c r="Q893" s="31">
        <f>C893-N893</f>
        <v>0</v>
      </c>
      <c r="R893" s="41">
        <f>D893-O893</f>
        <v>0</v>
      </c>
      <c r="S893" s="41">
        <f>E893-P893</f>
        <v>-1.4999999999999999E-2</v>
      </c>
    </row>
    <row r="894" spans="1:19" x14ac:dyDescent="0.15">
      <c r="A894" s="1">
        <v>6</v>
      </c>
      <c r="B894" s="1">
        <v>12</v>
      </c>
      <c r="C894" s="10">
        <v>0.36010000000000003</v>
      </c>
      <c r="D894" s="5">
        <v>90</v>
      </c>
      <c r="E894" s="10">
        <v>4.0100000000000004E-2</v>
      </c>
      <c r="F894" s="5">
        <v>640</v>
      </c>
      <c r="G894" s="5">
        <v>20</v>
      </c>
      <c r="I894" s="40">
        <f t="shared" si="37"/>
        <v>640</v>
      </c>
      <c r="J894" s="40">
        <f t="shared" si="38"/>
        <v>20</v>
      </c>
      <c r="K894" s="1">
        <v>1210</v>
      </c>
      <c r="L894" s="1">
        <v>40</v>
      </c>
      <c r="M894">
        <f t="shared" si="36"/>
        <v>-590</v>
      </c>
      <c r="N894" s="1">
        <v>0.36009999999999998</v>
      </c>
      <c r="O894" s="1">
        <v>90</v>
      </c>
      <c r="P894" s="24">
        <v>5.5100000000000003E-2</v>
      </c>
      <c r="Q894" s="31">
        <f>C894-N894</f>
        <v>0</v>
      </c>
      <c r="R894" s="41">
        <f>D894-O894</f>
        <v>0</v>
      </c>
      <c r="S894" s="41">
        <f>E894-P894</f>
        <v>-1.4999999999999999E-2</v>
      </c>
    </row>
    <row r="895" spans="1:19" x14ac:dyDescent="0.15">
      <c r="A895" s="1">
        <v>6</v>
      </c>
      <c r="B895" s="1">
        <v>12</v>
      </c>
      <c r="C895" s="10">
        <v>0.36010000000000003</v>
      </c>
      <c r="D895" s="5">
        <v>90</v>
      </c>
      <c r="E895" s="10">
        <v>4.5100000000000001E-2</v>
      </c>
      <c r="F895" s="5">
        <v>850</v>
      </c>
      <c r="G895" s="5">
        <v>30</v>
      </c>
      <c r="I895" s="40">
        <f t="shared" si="37"/>
        <v>850</v>
      </c>
      <c r="J895" s="40">
        <f t="shared" si="38"/>
        <v>30</v>
      </c>
      <c r="K895" s="1">
        <v>1480</v>
      </c>
      <c r="L895" s="1">
        <v>50</v>
      </c>
      <c r="M895">
        <f t="shared" si="36"/>
        <v>-650</v>
      </c>
      <c r="N895" s="1">
        <v>0.36009999999999998</v>
      </c>
      <c r="O895" s="1">
        <v>90</v>
      </c>
      <c r="P895" s="24">
        <v>6.0100000000000001E-2</v>
      </c>
      <c r="Q895" s="31">
        <f>C895-N895</f>
        <v>0</v>
      </c>
      <c r="R895" s="41">
        <f>D895-O895</f>
        <v>0</v>
      </c>
      <c r="S895" s="41">
        <f>E895-P895</f>
        <v>-1.4999999999999999E-2</v>
      </c>
    </row>
    <row r="896" spans="1:19" x14ac:dyDescent="0.15">
      <c r="A896" s="1">
        <v>6</v>
      </c>
      <c r="B896" s="1">
        <v>12</v>
      </c>
      <c r="C896" s="10">
        <v>0.36010000000000003</v>
      </c>
      <c r="D896" s="5">
        <v>90</v>
      </c>
      <c r="E896" s="10">
        <v>5.0099999999999999E-2</v>
      </c>
      <c r="F896" s="5">
        <v>1010</v>
      </c>
      <c r="G896" s="5">
        <v>30</v>
      </c>
      <c r="I896" s="40">
        <f t="shared" si="37"/>
        <v>1010</v>
      </c>
      <c r="J896" s="40">
        <f t="shared" si="38"/>
        <v>30</v>
      </c>
      <c r="K896" s="1">
        <v>1680</v>
      </c>
      <c r="L896" s="1">
        <v>50</v>
      </c>
      <c r="M896">
        <f t="shared" si="36"/>
        <v>-690</v>
      </c>
      <c r="N896" s="1">
        <v>0.36009999999999998</v>
      </c>
      <c r="O896" s="1">
        <v>90</v>
      </c>
      <c r="P896" s="24">
        <v>6.5100000000000005E-2</v>
      </c>
      <c r="Q896" s="31">
        <f>C896-N896</f>
        <v>0</v>
      </c>
      <c r="R896" s="41">
        <f>D896-O896</f>
        <v>0</v>
      </c>
      <c r="S896" s="41">
        <f>E896-P896</f>
        <v>-1.5000000000000006E-2</v>
      </c>
    </row>
    <row r="897" spans="1:23" x14ac:dyDescent="0.15">
      <c r="A897" s="1">
        <v>6</v>
      </c>
      <c r="B897" s="1">
        <v>12</v>
      </c>
      <c r="C897" s="10">
        <v>0.36010000000000003</v>
      </c>
      <c r="D897" s="5">
        <v>90</v>
      </c>
      <c r="E897" s="10">
        <v>5.5100000000000003E-2</v>
      </c>
      <c r="F897" s="5">
        <v>1210</v>
      </c>
      <c r="G897" s="5">
        <v>40</v>
      </c>
      <c r="I897" s="40">
        <f t="shared" si="37"/>
        <v>1210</v>
      </c>
      <c r="J897" s="40">
        <f t="shared" si="38"/>
        <v>40</v>
      </c>
      <c r="K897" s="1">
        <v>1920</v>
      </c>
      <c r="L897" s="1">
        <v>60</v>
      </c>
      <c r="M897">
        <f t="shared" si="36"/>
        <v>-730</v>
      </c>
      <c r="N897" s="1">
        <v>0.36009999999999998</v>
      </c>
      <c r="O897" s="1">
        <v>90</v>
      </c>
      <c r="P897" s="24">
        <v>7.0099999999999996E-2</v>
      </c>
      <c r="Q897" s="31">
        <f>C897-N897</f>
        <v>0</v>
      </c>
      <c r="R897" s="41">
        <f>D897-O897</f>
        <v>0</v>
      </c>
      <c r="S897" s="41">
        <f>E897-P897</f>
        <v>-1.4999999999999993E-2</v>
      </c>
    </row>
    <row r="898" spans="1:23" s="8" customFormat="1" x14ac:dyDescent="0.15">
      <c r="A898" s="1">
        <v>6</v>
      </c>
      <c r="B898" s="1">
        <v>12</v>
      </c>
      <c r="C898" s="10">
        <v>0.36010000000000003</v>
      </c>
      <c r="D898" s="5">
        <v>90</v>
      </c>
      <c r="E898" s="10">
        <v>6.0100000000000001E-2</v>
      </c>
      <c r="F898" s="5">
        <v>1480</v>
      </c>
      <c r="G898" s="5">
        <v>50</v>
      </c>
      <c r="H898" s="6"/>
      <c r="I898" s="40">
        <f t="shared" si="37"/>
        <v>1480</v>
      </c>
      <c r="J898" s="40">
        <f t="shared" si="38"/>
        <v>50</v>
      </c>
      <c r="K898" s="1">
        <v>2200</v>
      </c>
      <c r="L898" s="1">
        <v>60</v>
      </c>
      <c r="M898">
        <f t="shared" si="36"/>
        <v>-730</v>
      </c>
      <c r="N898" s="1">
        <v>0.36009999999999998</v>
      </c>
      <c r="O898" s="1">
        <v>90</v>
      </c>
      <c r="P898" s="24">
        <v>7.51E-2</v>
      </c>
      <c r="Q898" s="31">
        <f>C898-N898</f>
        <v>0</v>
      </c>
      <c r="R898" s="41">
        <f>D898-O898</f>
        <v>0</v>
      </c>
      <c r="S898" s="41">
        <f>E898-P898</f>
        <v>-1.4999999999999999E-2</v>
      </c>
      <c r="U898" s="6"/>
      <c r="V898" s="6"/>
      <c r="W898" s="6"/>
    </row>
    <row r="899" spans="1:23" x14ac:dyDescent="0.15">
      <c r="A899" s="1">
        <v>6</v>
      </c>
      <c r="B899" s="1">
        <v>12</v>
      </c>
      <c r="C899" s="10">
        <v>0.36010000000000003</v>
      </c>
      <c r="D899" s="5">
        <v>90</v>
      </c>
      <c r="E899" s="10">
        <v>6.5099999999999991E-2</v>
      </c>
      <c r="F899" s="5">
        <v>1680</v>
      </c>
      <c r="G899" s="5">
        <v>50</v>
      </c>
      <c r="I899" s="40">
        <f t="shared" si="37"/>
        <v>1680</v>
      </c>
      <c r="J899" s="40">
        <f t="shared" si="38"/>
        <v>50</v>
      </c>
      <c r="K899" s="1">
        <v>2450</v>
      </c>
      <c r="L899" s="1">
        <v>70</v>
      </c>
      <c r="M899">
        <f t="shared" ref="M899:M962" si="39">I899+J899-K899-L899</f>
        <v>-790</v>
      </c>
      <c r="N899" s="1">
        <v>0.36009999999999998</v>
      </c>
      <c r="O899" s="1">
        <v>90</v>
      </c>
      <c r="P899" s="24">
        <v>8.0100000000000005E-2</v>
      </c>
      <c r="Q899" s="31">
        <f>C899-N899</f>
        <v>0</v>
      </c>
      <c r="R899" s="41">
        <f>D899-O899</f>
        <v>0</v>
      </c>
      <c r="S899" s="41">
        <f>E899-P899</f>
        <v>-1.5000000000000013E-2</v>
      </c>
    </row>
    <row r="900" spans="1:23" x14ac:dyDescent="0.15">
      <c r="A900" s="1">
        <v>6</v>
      </c>
      <c r="B900" s="1">
        <v>12</v>
      </c>
      <c r="C900" s="10">
        <v>0.36010000000000003</v>
      </c>
      <c r="D900" s="5">
        <v>90</v>
      </c>
      <c r="E900" s="10">
        <v>7.0099999999999996E-2</v>
      </c>
      <c r="F900" s="5">
        <v>1920</v>
      </c>
      <c r="G900" s="5">
        <v>60</v>
      </c>
      <c r="I900" s="40">
        <f t="shared" si="37"/>
        <v>1920</v>
      </c>
      <c r="J900" s="40">
        <f t="shared" si="38"/>
        <v>60</v>
      </c>
      <c r="K900" s="1">
        <v>2770</v>
      </c>
      <c r="L900" s="1">
        <v>120</v>
      </c>
      <c r="M900">
        <f t="shared" si="39"/>
        <v>-910</v>
      </c>
      <c r="N900" s="1">
        <v>0.36009999999999998</v>
      </c>
      <c r="O900" s="1">
        <v>90</v>
      </c>
      <c r="P900" s="24">
        <v>8.5099999999999995E-2</v>
      </c>
      <c r="Q900" s="31">
        <f>C900-N900</f>
        <v>0</v>
      </c>
      <c r="R900" s="41">
        <f>D900-O900</f>
        <v>0</v>
      </c>
      <c r="S900" s="41">
        <f>E900-P900</f>
        <v>-1.4999999999999999E-2</v>
      </c>
    </row>
    <row r="901" spans="1:23" x14ac:dyDescent="0.15">
      <c r="A901" s="1">
        <v>6</v>
      </c>
      <c r="B901" s="1">
        <v>12</v>
      </c>
      <c r="C901" s="10">
        <v>0.36010000000000003</v>
      </c>
      <c r="D901" s="5">
        <v>90</v>
      </c>
      <c r="E901" s="10">
        <v>7.51E-2</v>
      </c>
      <c r="F901" s="5">
        <v>2200</v>
      </c>
      <c r="G901" s="5">
        <v>60</v>
      </c>
      <c r="I901" s="40">
        <f t="shared" si="37"/>
        <v>2200</v>
      </c>
      <c r="J901" s="40">
        <f t="shared" si="38"/>
        <v>60</v>
      </c>
      <c r="K901" s="1">
        <v>2990</v>
      </c>
      <c r="L901" s="1">
        <v>110</v>
      </c>
      <c r="M901">
        <f t="shared" si="39"/>
        <v>-840</v>
      </c>
      <c r="N901" s="1">
        <v>0.36009999999999998</v>
      </c>
      <c r="O901" s="1">
        <v>90</v>
      </c>
      <c r="P901" s="24">
        <v>9.01E-2</v>
      </c>
      <c r="Q901" s="31">
        <f>C901-N901</f>
        <v>0</v>
      </c>
      <c r="R901" s="41">
        <f>D901-O901</f>
        <v>0</v>
      </c>
      <c r="S901" s="41">
        <f>E901-P901</f>
        <v>-1.4999999999999999E-2</v>
      </c>
    </row>
    <row r="902" spans="1:23" x14ac:dyDescent="0.15">
      <c r="A902" s="1">
        <v>6</v>
      </c>
      <c r="B902" s="1">
        <v>12</v>
      </c>
      <c r="C902" s="10">
        <v>0.36010000000000003</v>
      </c>
      <c r="D902" s="5">
        <v>90</v>
      </c>
      <c r="E902" s="10">
        <v>8.0099999999999991E-2</v>
      </c>
      <c r="F902" s="5">
        <v>2450</v>
      </c>
      <c r="G902" s="5">
        <v>70</v>
      </c>
      <c r="I902" s="40">
        <f t="shared" si="37"/>
        <v>2450</v>
      </c>
      <c r="J902" s="40">
        <f t="shared" si="38"/>
        <v>70</v>
      </c>
      <c r="K902" s="1">
        <v>3120</v>
      </c>
      <c r="L902" s="1">
        <v>130</v>
      </c>
      <c r="M902">
        <f t="shared" si="39"/>
        <v>-730</v>
      </c>
      <c r="N902" s="1">
        <v>0.36009999999999998</v>
      </c>
      <c r="O902" s="1">
        <v>90</v>
      </c>
      <c r="P902" s="24">
        <v>9.5100000000000004E-2</v>
      </c>
      <c r="Q902" s="31">
        <f>C902-N902</f>
        <v>0</v>
      </c>
      <c r="R902" s="41">
        <f>D902-O902</f>
        <v>0</v>
      </c>
      <c r="S902" s="41">
        <f>E902-P902</f>
        <v>-1.5000000000000013E-2</v>
      </c>
    </row>
    <row r="903" spans="1:23" x14ac:dyDescent="0.15">
      <c r="A903" s="1">
        <v>6</v>
      </c>
      <c r="B903" s="1">
        <v>12</v>
      </c>
      <c r="C903" s="10">
        <v>0.36010000000000003</v>
      </c>
      <c r="D903" s="5">
        <v>90</v>
      </c>
      <c r="E903" s="10">
        <v>8.5099999999999995E-2</v>
      </c>
      <c r="F903" s="5">
        <v>2770</v>
      </c>
      <c r="G903" s="5">
        <v>120</v>
      </c>
      <c r="I903" s="40">
        <f t="shared" si="37"/>
        <v>2770</v>
      </c>
      <c r="J903" s="40">
        <f t="shared" si="38"/>
        <v>120</v>
      </c>
      <c r="K903" s="1">
        <v>3450</v>
      </c>
      <c r="L903" s="1">
        <v>140</v>
      </c>
      <c r="M903">
        <f t="shared" si="39"/>
        <v>-700</v>
      </c>
      <c r="N903" s="1">
        <v>0.36009999999999998</v>
      </c>
      <c r="O903" s="1">
        <v>90</v>
      </c>
      <c r="P903" s="24">
        <v>0.10009999999999999</v>
      </c>
      <c r="Q903" s="31">
        <f>C903-N903</f>
        <v>0</v>
      </c>
      <c r="R903" s="41">
        <f>D903-O903</f>
        <v>0</v>
      </c>
      <c r="S903" s="41">
        <f>E903-P903</f>
        <v>-1.4999999999999999E-2</v>
      </c>
    </row>
    <row r="904" spans="1:23" x14ac:dyDescent="0.15">
      <c r="A904" s="1">
        <v>6</v>
      </c>
      <c r="B904" s="1">
        <v>12</v>
      </c>
      <c r="C904" s="10">
        <v>0.36010000000000003</v>
      </c>
      <c r="D904" s="5">
        <v>90</v>
      </c>
      <c r="E904" s="10">
        <v>9.01E-2</v>
      </c>
      <c r="F904" s="5">
        <v>2990</v>
      </c>
      <c r="G904" s="5">
        <v>110</v>
      </c>
      <c r="I904" s="40">
        <f t="shared" si="37"/>
        <v>2990</v>
      </c>
      <c r="J904" s="40">
        <f t="shared" si="38"/>
        <v>110</v>
      </c>
      <c r="K904" s="1">
        <v>3450</v>
      </c>
      <c r="L904" s="1">
        <v>130</v>
      </c>
      <c r="M904">
        <f t="shared" si="39"/>
        <v>-480</v>
      </c>
      <c r="N904" s="1">
        <v>0.36009999999999998</v>
      </c>
      <c r="O904" s="1">
        <v>90</v>
      </c>
      <c r="P904" s="24">
        <v>0.1051</v>
      </c>
      <c r="Q904" s="31">
        <f>C904-N904</f>
        <v>0</v>
      </c>
      <c r="R904" s="41">
        <f>D904-O904</f>
        <v>0</v>
      </c>
      <c r="S904" s="41">
        <f>E904-P904</f>
        <v>-1.4999999999999999E-2</v>
      </c>
    </row>
    <row r="905" spans="1:23" x14ac:dyDescent="0.15">
      <c r="A905" s="1">
        <v>6</v>
      </c>
      <c r="B905" s="1">
        <v>12</v>
      </c>
      <c r="C905" s="10">
        <v>0.36010000000000003</v>
      </c>
      <c r="D905" s="5">
        <v>90</v>
      </c>
      <c r="E905" s="10">
        <v>9.509999999999999E-2</v>
      </c>
      <c r="F905" s="5">
        <v>3120</v>
      </c>
      <c r="G905" s="5">
        <v>130</v>
      </c>
      <c r="I905" s="40">
        <f t="shared" si="37"/>
        <v>3120</v>
      </c>
      <c r="J905" s="40">
        <f t="shared" si="38"/>
        <v>130</v>
      </c>
      <c r="K905" s="1">
        <v>3470</v>
      </c>
      <c r="L905" s="1">
        <v>130</v>
      </c>
      <c r="M905">
        <f t="shared" si="39"/>
        <v>-350</v>
      </c>
      <c r="N905" s="1">
        <v>0.36009999999999998</v>
      </c>
      <c r="O905" s="1">
        <v>90</v>
      </c>
      <c r="P905" s="24">
        <v>0.1101</v>
      </c>
      <c r="Q905" s="31">
        <f>C905-N905</f>
        <v>0</v>
      </c>
      <c r="R905" s="41">
        <f>D905-O905</f>
        <v>0</v>
      </c>
      <c r="S905" s="41">
        <f>E905-P905</f>
        <v>-1.5000000000000013E-2</v>
      </c>
    </row>
    <row r="906" spans="1:23" x14ac:dyDescent="0.15">
      <c r="A906" s="1">
        <v>6</v>
      </c>
      <c r="B906" s="1">
        <v>12</v>
      </c>
      <c r="C906" s="10">
        <v>0.36010000000000003</v>
      </c>
      <c r="D906" s="5">
        <v>90</v>
      </c>
      <c r="E906" s="10">
        <v>0.10009999999999999</v>
      </c>
      <c r="F906" s="5">
        <v>3450</v>
      </c>
      <c r="G906" s="5">
        <v>140</v>
      </c>
      <c r="I906" s="40">
        <f t="shared" si="37"/>
        <v>3450</v>
      </c>
      <c r="J906" s="40">
        <f t="shared" si="38"/>
        <v>140</v>
      </c>
      <c r="K906" s="1">
        <v>3640</v>
      </c>
      <c r="L906" s="1">
        <v>140</v>
      </c>
      <c r="M906">
        <f t="shared" si="39"/>
        <v>-190</v>
      </c>
      <c r="N906" s="1">
        <v>0.36009999999999998</v>
      </c>
      <c r="O906" s="1">
        <v>90</v>
      </c>
      <c r="P906" s="24">
        <v>0.11509999999999999</v>
      </c>
      <c r="Q906" s="31">
        <f>C906-N906</f>
        <v>0</v>
      </c>
      <c r="R906" s="41">
        <f>D906-O906</f>
        <v>0</v>
      </c>
      <c r="S906" s="41">
        <f>E906-P906</f>
        <v>-1.4999999999999999E-2</v>
      </c>
    </row>
    <row r="907" spans="1:23" x14ac:dyDescent="0.15">
      <c r="A907" s="1">
        <v>6</v>
      </c>
      <c r="B907" s="1">
        <v>12</v>
      </c>
      <c r="C907" s="10">
        <v>0.36010000000000003</v>
      </c>
      <c r="D907" s="5">
        <v>90</v>
      </c>
      <c r="E907" s="10">
        <v>0.1051</v>
      </c>
      <c r="F907" s="5">
        <v>3450</v>
      </c>
      <c r="G907" s="5">
        <v>130</v>
      </c>
      <c r="I907" s="40">
        <f t="shared" si="37"/>
        <v>3450</v>
      </c>
      <c r="J907" s="40">
        <f t="shared" si="38"/>
        <v>130</v>
      </c>
      <c r="K907" s="1">
        <v>3850</v>
      </c>
      <c r="L907" s="1">
        <v>150</v>
      </c>
      <c r="M907">
        <f t="shared" si="39"/>
        <v>-420</v>
      </c>
      <c r="N907" s="1">
        <v>0.36009999999999998</v>
      </c>
      <c r="O907" s="1">
        <v>90</v>
      </c>
      <c r="P907" s="24">
        <v>0.1201</v>
      </c>
      <c r="Q907" s="31">
        <f>C907-N907</f>
        <v>0</v>
      </c>
      <c r="R907" s="41">
        <f>D907-O907</f>
        <v>0</v>
      </c>
      <c r="S907" s="41">
        <f>E907-P907</f>
        <v>-1.4999999999999999E-2</v>
      </c>
    </row>
    <row r="908" spans="1:23" x14ac:dyDescent="0.15">
      <c r="A908" s="1">
        <v>6</v>
      </c>
      <c r="B908" s="1">
        <v>12</v>
      </c>
      <c r="C908" s="10">
        <v>0.36010000000000003</v>
      </c>
      <c r="D908" s="5">
        <v>90</v>
      </c>
      <c r="E908" s="10">
        <v>0.11009999999999999</v>
      </c>
      <c r="F908" s="5">
        <v>3470</v>
      </c>
      <c r="G908" s="5">
        <v>130</v>
      </c>
      <c r="I908" s="40">
        <f t="shared" si="37"/>
        <v>3470</v>
      </c>
      <c r="J908" s="40">
        <f t="shared" si="38"/>
        <v>130</v>
      </c>
      <c r="K908" s="1">
        <v>3720</v>
      </c>
      <c r="L908" s="1">
        <v>150</v>
      </c>
      <c r="M908">
        <f t="shared" si="39"/>
        <v>-270</v>
      </c>
      <c r="N908" s="1">
        <v>0.36009999999999998</v>
      </c>
      <c r="O908" s="1">
        <v>90</v>
      </c>
      <c r="P908" s="24">
        <v>0.12509999999999999</v>
      </c>
      <c r="Q908" s="31">
        <f>C908-N908</f>
        <v>0</v>
      </c>
      <c r="R908" s="41">
        <f>D908-O908</f>
        <v>0</v>
      </c>
      <c r="S908" s="41">
        <f>E908-P908</f>
        <v>-1.4999999999999999E-2</v>
      </c>
    </row>
    <row r="909" spans="1:23" x14ac:dyDescent="0.15">
      <c r="A909" s="1">
        <v>6</v>
      </c>
      <c r="B909" s="1">
        <v>12</v>
      </c>
      <c r="C909" s="10">
        <v>0.36010000000000003</v>
      </c>
      <c r="D909" s="5">
        <v>90</v>
      </c>
      <c r="E909" s="10">
        <v>0.11509999999999999</v>
      </c>
      <c r="F909" s="5">
        <v>3640</v>
      </c>
      <c r="G909" s="5">
        <v>140</v>
      </c>
      <c r="I909" s="40">
        <f t="shared" si="37"/>
        <v>3640</v>
      </c>
      <c r="J909" s="40">
        <f t="shared" si="38"/>
        <v>140</v>
      </c>
      <c r="K909" s="1">
        <v>3400</v>
      </c>
      <c r="L909" s="1">
        <v>120</v>
      </c>
      <c r="M909">
        <f t="shared" si="39"/>
        <v>260</v>
      </c>
      <c r="N909" s="1">
        <v>0.36009999999999998</v>
      </c>
      <c r="O909" s="1">
        <v>90</v>
      </c>
      <c r="P909" s="24">
        <v>0.13009999999999999</v>
      </c>
      <c r="Q909" s="31">
        <f>C909-N909</f>
        <v>0</v>
      </c>
      <c r="R909" s="41">
        <f>D909-O909</f>
        <v>0</v>
      </c>
      <c r="S909" s="41">
        <f>E909-P909</f>
        <v>-1.4999999999999999E-2</v>
      </c>
    </row>
    <row r="910" spans="1:23" x14ac:dyDescent="0.15">
      <c r="A910" s="1">
        <v>6</v>
      </c>
      <c r="B910" s="1">
        <v>12</v>
      </c>
      <c r="C910" s="10">
        <v>0.36010000000000003</v>
      </c>
      <c r="D910" s="5">
        <v>90</v>
      </c>
      <c r="E910" s="10">
        <v>0.1201</v>
      </c>
      <c r="F910" s="5">
        <v>3850</v>
      </c>
      <c r="G910" s="5">
        <v>150</v>
      </c>
      <c r="I910" s="40">
        <f t="shared" si="37"/>
        <v>3850</v>
      </c>
      <c r="J910" s="40">
        <f t="shared" si="38"/>
        <v>150</v>
      </c>
      <c r="K910" s="1">
        <v>3460</v>
      </c>
      <c r="L910" s="1">
        <v>130</v>
      </c>
      <c r="M910">
        <f t="shared" si="39"/>
        <v>410</v>
      </c>
      <c r="N910" s="1">
        <v>0.36009999999999998</v>
      </c>
      <c r="O910" s="1">
        <v>90</v>
      </c>
      <c r="P910" s="24">
        <v>0.1351</v>
      </c>
      <c r="Q910" s="31">
        <f>C910-N910</f>
        <v>0</v>
      </c>
      <c r="R910" s="41">
        <f>D910-O910</f>
        <v>0</v>
      </c>
      <c r="S910" s="41">
        <f>E910-P910</f>
        <v>-1.4999999999999999E-2</v>
      </c>
    </row>
    <row r="911" spans="1:23" x14ac:dyDescent="0.15">
      <c r="A911" s="1">
        <v>6</v>
      </c>
      <c r="B911" s="1">
        <v>12</v>
      </c>
      <c r="C911" s="10">
        <v>0.36010000000000003</v>
      </c>
      <c r="D911" s="5">
        <v>90</v>
      </c>
      <c r="E911" s="10">
        <v>0.12509999999999999</v>
      </c>
      <c r="F911" s="5">
        <v>3720</v>
      </c>
      <c r="G911" s="5">
        <v>150</v>
      </c>
      <c r="I911" s="40">
        <f t="shared" si="37"/>
        <v>3720</v>
      </c>
      <c r="J911" s="40">
        <f t="shared" si="38"/>
        <v>150</v>
      </c>
      <c r="K911" s="1">
        <v>3240</v>
      </c>
      <c r="L911" s="1">
        <v>140</v>
      </c>
      <c r="M911">
        <f t="shared" si="39"/>
        <v>490</v>
      </c>
      <c r="N911" s="1">
        <v>0.36009999999999998</v>
      </c>
      <c r="O911" s="1">
        <v>90</v>
      </c>
      <c r="P911" s="24">
        <v>0.1401</v>
      </c>
      <c r="Q911" s="31">
        <f>C911-N911</f>
        <v>0</v>
      </c>
      <c r="R911" s="41">
        <f>D911-O911</f>
        <v>0</v>
      </c>
      <c r="S911" s="41">
        <f>E911-P911</f>
        <v>-1.5000000000000013E-2</v>
      </c>
    </row>
    <row r="912" spans="1:23" x14ac:dyDescent="0.15">
      <c r="A912" s="1">
        <v>6</v>
      </c>
      <c r="B912" s="1">
        <v>12</v>
      </c>
      <c r="C912" s="10">
        <v>0.36010000000000003</v>
      </c>
      <c r="D912" s="5">
        <v>90</v>
      </c>
      <c r="E912" s="10">
        <v>0.13009999999999999</v>
      </c>
      <c r="F912" s="5">
        <v>3400</v>
      </c>
      <c r="G912" s="5">
        <v>120</v>
      </c>
      <c r="I912" s="40">
        <f t="shared" si="37"/>
        <v>3400</v>
      </c>
      <c r="J912" s="40">
        <f t="shared" si="38"/>
        <v>120</v>
      </c>
      <c r="K912" s="1">
        <v>3110</v>
      </c>
      <c r="L912" s="1">
        <v>140</v>
      </c>
      <c r="M912">
        <f t="shared" si="39"/>
        <v>270</v>
      </c>
      <c r="N912" s="1">
        <v>0.36009999999999998</v>
      </c>
      <c r="O912" s="1">
        <v>90</v>
      </c>
      <c r="P912" s="24">
        <v>0.14510000000000001</v>
      </c>
      <c r="Q912" s="31">
        <f>C912-N912</f>
        <v>0</v>
      </c>
      <c r="R912" s="41">
        <f>D912-O912</f>
        <v>0</v>
      </c>
      <c r="S912" s="41">
        <f>E912-P912</f>
        <v>-1.5000000000000013E-2</v>
      </c>
    </row>
    <row r="913" spans="1:19" x14ac:dyDescent="0.15">
      <c r="A913" s="1">
        <v>6</v>
      </c>
      <c r="B913" s="1">
        <v>12</v>
      </c>
      <c r="C913" s="10">
        <v>0.36010000000000003</v>
      </c>
      <c r="D913" s="5">
        <v>90</v>
      </c>
      <c r="E913" s="10">
        <v>0.1351</v>
      </c>
      <c r="F913" s="5">
        <v>3460</v>
      </c>
      <c r="G913" s="5">
        <v>130</v>
      </c>
      <c r="I913" s="40">
        <f t="shared" si="37"/>
        <v>3460</v>
      </c>
      <c r="J913" s="40">
        <f t="shared" si="38"/>
        <v>130</v>
      </c>
      <c r="K913" s="1">
        <v>2930</v>
      </c>
      <c r="L913" s="1">
        <v>150</v>
      </c>
      <c r="M913">
        <f t="shared" si="39"/>
        <v>510</v>
      </c>
      <c r="N913" s="1">
        <v>0.36009999999999998</v>
      </c>
      <c r="O913" s="1">
        <v>90</v>
      </c>
      <c r="P913" s="24">
        <v>0.15010000000000001</v>
      </c>
      <c r="Q913" s="31">
        <f>C913-N913</f>
        <v>0</v>
      </c>
      <c r="R913" s="41">
        <f>D913-O913</f>
        <v>0</v>
      </c>
      <c r="S913" s="41">
        <f>E913-P913</f>
        <v>-1.5000000000000013E-2</v>
      </c>
    </row>
    <row r="914" spans="1:19" x14ac:dyDescent="0.15">
      <c r="A914" s="1">
        <v>6</v>
      </c>
      <c r="B914" s="1">
        <v>12</v>
      </c>
      <c r="C914" s="10">
        <v>0.36010000000000003</v>
      </c>
      <c r="D914" s="5">
        <v>90</v>
      </c>
      <c r="E914" s="10">
        <v>0.1401</v>
      </c>
      <c r="F914" s="5">
        <v>3240</v>
      </c>
      <c r="G914" s="5">
        <v>140</v>
      </c>
      <c r="I914" s="40">
        <f t="shared" si="37"/>
        <v>3240</v>
      </c>
      <c r="J914" s="40">
        <f t="shared" si="38"/>
        <v>140</v>
      </c>
      <c r="K914" s="1">
        <v>2700</v>
      </c>
      <c r="L914" s="1">
        <v>130</v>
      </c>
      <c r="M914">
        <f t="shared" si="39"/>
        <v>550</v>
      </c>
      <c r="N914" s="1">
        <v>0.36009999999999998</v>
      </c>
      <c r="O914" s="1">
        <v>90</v>
      </c>
      <c r="P914" s="24">
        <v>0.15509999999999999</v>
      </c>
      <c r="Q914" s="31">
        <f>C914-N914</f>
        <v>0</v>
      </c>
      <c r="R914" s="41">
        <f>D914-O914</f>
        <v>0</v>
      </c>
      <c r="S914" s="41">
        <f>E914-P914</f>
        <v>-1.4999999999999986E-2</v>
      </c>
    </row>
    <row r="915" spans="1:19" x14ac:dyDescent="0.15">
      <c r="A915" s="1">
        <v>6</v>
      </c>
      <c r="B915" s="1">
        <v>12</v>
      </c>
      <c r="C915" s="10">
        <v>0.36010000000000003</v>
      </c>
      <c r="D915" s="5">
        <v>90</v>
      </c>
      <c r="E915" s="10">
        <v>0.14510000000000001</v>
      </c>
      <c r="F915" s="5">
        <v>3110</v>
      </c>
      <c r="G915" s="5">
        <v>140</v>
      </c>
      <c r="I915" s="40">
        <f t="shared" si="37"/>
        <v>3110</v>
      </c>
      <c r="J915" s="40">
        <f t="shared" si="38"/>
        <v>140</v>
      </c>
      <c r="K915" s="1">
        <v>2400</v>
      </c>
      <c r="L915" s="1">
        <v>120</v>
      </c>
      <c r="M915">
        <f t="shared" si="39"/>
        <v>730</v>
      </c>
      <c r="N915" s="1">
        <v>0.36009999999999998</v>
      </c>
      <c r="O915" s="1">
        <v>90</v>
      </c>
      <c r="P915" s="24">
        <v>0.16009999999999999</v>
      </c>
      <c r="Q915" s="31">
        <f>C915-N915</f>
        <v>0</v>
      </c>
      <c r="R915" s="41">
        <f>D915-O915</f>
        <v>0</v>
      </c>
      <c r="S915" s="41">
        <f>E915-P915</f>
        <v>-1.4999999999999986E-2</v>
      </c>
    </row>
    <row r="916" spans="1:19" x14ac:dyDescent="0.15">
      <c r="A916" s="1">
        <v>6</v>
      </c>
      <c r="B916" s="1">
        <v>12</v>
      </c>
      <c r="C916" s="10">
        <v>0.36010000000000003</v>
      </c>
      <c r="D916" s="5">
        <v>90</v>
      </c>
      <c r="E916" s="10">
        <v>0.15009999999999998</v>
      </c>
      <c r="F916" s="5">
        <v>2930</v>
      </c>
      <c r="G916" s="5">
        <v>150</v>
      </c>
      <c r="I916" s="40">
        <f t="shared" si="37"/>
        <v>2930</v>
      </c>
      <c r="J916" s="40">
        <f t="shared" si="38"/>
        <v>150</v>
      </c>
      <c r="K916" s="1">
        <v>2270</v>
      </c>
      <c r="L916" s="1">
        <v>120</v>
      </c>
      <c r="M916">
        <f t="shared" si="39"/>
        <v>690</v>
      </c>
      <c r="N916" s="1">
        <v>0.36009999999999998</v>
      </c>
      <c r="O916" s="1">
        <v>90</v>
      </c>
      <c r="P916" s="24">
        <v>0.1651</v>
      </c>
      <c r="Q916" s="31">
        <f>C916-N916</f>
        <v>0</v>
      </c>
      <c r="R916" s="41">
        <f>D916-O916</f>
        <v>0</v>
      </c>
      <c r="S916" s="41">
        <f>E916-P916</f>
        <v>-1.5000000000000013E-2</v>
      </c>
    </row>
    <row r="917" spans="1:19" x14ac:dyDescent="0.15">
      <c r="A917" s="1">
        <v>6</v>
      </c>
      <c r="B917" s="1">
        <v>12</v>
      </c>
      <c r="C917" s="10">
        <v>0.36010000000000003</v>
      </c>
      <c r="D917" s="5">
        <v>90</v>
      </c>
      <c r="E917" s="10">
        <v>0.15509999999999999</v>
      </c>
      <c r="F917" s="5">
        <v>2700</v>
      </c>
      <c r="G917" s="5">
        <v>130</v>
      </c>
      <c r="I917" s="40">
        <f t="shared" si="37"/>
        <v>2700</v>
      </c>
      <c r="J917" s="40">
        <f t="shared" si="38"/>
        <v>130</v>
      </c>
      <c r="K917" s="1">
        <v>2040</v>
      </c>
      <c r="L917" s="1">
        <v>110</v>
      </c>
      <c r="M917">
        <f t="shared" si="39"/>
        <v>680</v>
      </c>
      <c r="N917" s="1">
        <v>0.36009999999999998</v>
      </c>
      <c r="O917" s="1">
        <v>90</v>
      </c>
      <c r="P917" s="24">
        <v>0.1701</v>
      </c>
      <c r="Q917" s="31">
        <f>C917-N917</f>
        <v>0</v>
      </c>
      <c r="R917" s="41">
        <f>D917-O917</f>
        <v>0</v>
      </c>
      <c r="S917" s="41">
        <f>E917-P917</f>
        <v>-1.5000000000000013E-2</v>
      </c>
    </row>
    <row r="918" spans="1:19" x14ac:dyDescent="0.15">
      <c r="A918" s="1">
        <v>6</v>
      </c>
      <c r="B918" s="1">
        <v>12</v>
      </c>
      <c r="C918" s="10">
        <v>0.36010000000000003</v>
      </c>
      <c r="D918" s="5">
        <v>90</v>
      </c>
      <c r="E918" s="10">
        <v>0.16009999999999999</v>
      </c>
      <c r="F918" s="5">
        <v>2400</v>
      </c>
      <c r="G918" s="5">
        <v>120</v>
      </c>
      <c r="I918" s="40">
        <f t="shared" si="37"/>
        <v>2400</v>
      </c>
      <c r="J918" s="40">
        <f t="shared" si="38"/>
        <v>120</v>
      </c>
      <c r="K918" s="1">
        <v>1770</v>
      </c>
      <c r="L918" s="1">
        <v>90</v>
      </c>
      <c r="M918">
        <f t="shared" si="39"/>
        <v>660</v>
      </c>
      <c r="N918" s="1">
        <v>0.36009999999999998</v>
      </c>
      <c r="O918" s="1">
        <v>90</v>
      </c>
      <c r="P918" s="24">
        <v>0.17510000000000001</v>
      </c>
      <c r="Q918" s="31">
        <f>C918-N918</f>
        <v>0</v>
      </c>
      <c r="R918" s="41">
        <f>D918-O918</f>
        <v>0</v>
      </c>
      <c r="S918" s="41">
        <f>E918-P918</f>
        <v>-1.5000000000000013E-2</v>
      </c>
    </row>
    <row r="919" spans="1:19" x14ac:dyDescent="0.15">
      <c r="A919" s="1">
        <v>6</v>
      </c>
      <c r="B919" s="1">
        <v>12</v>
      </c>
      <c r="C919" s="10">
        <v>0.36010000000000003</v>
      </c>
      <c r="D919" s="5">
        <v>90</v>
      </c>
      <c r="E919" s="10">
        <v>0.1651</v>
      </c>
      <c r="F919" s="5">
        <v>2270</v>
      </c>
      <c r="G919" s="5">
        <v>120</v>
      </c>
      <c r="I919" s="40">
        <f t="shared" si="37"/>
        <v>2270</v>
      </c>
      <c r="J919" s="40">
        <f t="shared" si="38"/>
        <v>120</v>
      </c>
      <c r="K919" s="1">
        <v>1680</v>
      </c>
      <c r="L919" s="1">
        <v>90</v>
      </c>
      <c r="M919">
        <f t="shared" si="39"/>
        <v>620</v>
      </c>
      <c r="N919" s="1">
        <v>0.36009999999999998</v>
      </c>
      <c r="O919" s="1">
        <v>90</v>
      </c>
      <c r="P919" s="24">
        <v>0.18010000000000001</v>
      </c>
      <c r="Q919" s="31">
        <f>C919-N919</f>
        <v>0</v>
      </c>
      <c r="R919" s="41">
        <f>D919-O919</f>
        <v>0</v>
      </c>
      <c r="S919" s="41">
        <f>E919-P919</f>
        <v>-1.5000000000000013E-2</v>
      </c>
    </row>
    <row r="920" spans="1:19" x14ac:dyDescent="0.15">
      <c r="A920" s="1">
        <v>6</v>
      </c>
      <c r="B920" s="1">
        <v>12</v>
      </c>
      <c r="C920" s="10">
        <v>0.36010000000000003</v>
      </c>
      <c r="D920" s="5">
        <v>90</v>
      </c>
      <c r="E920" s="10">
        <v>0.1701</v>
      </c>
      <c r="F920" s="5">
        <v>2040</v>
      </c>
      <c r="G920" s="5">
        <v>110</v>
      </c>
      <c r="I920" s="40">
        <f t="shared" si="37"/>
        <v>2040</v>
      </c>
      <c r="J920" s="40">
        <f t="shared" si="38"/>
        <v>110</v>
      </c>
      <c r="K920" s="1">
        <v>1590</v>
      </c>
      <c r="L920" s="1">
        <v>90</v>
      </c>
      <c r="M920">
        <f t="shared" si="39"/>
        <v>470</v>
      </c>
      <c r="N920" s="1">
        <v>0.36009999999999998</v>
      </c>
      <c r="O920" s="1">
        <v>90</v>
      </c>
      <c r="P920" s="24">
        <v>0.18509999999999999</v>
      </c>
      <c r="Q920" s="31">
        <f>C920-N920</f>
        <v>0</v>
      </c>
      <c r="R920" s="41">
        <f>D920-O920</f>
        <v>0</v>
      </c>
      <c r="S920" s="41">
        <f>E920-P920</f>
        <v>-1.4999999999999986E-2</v>
      </c>
    </row>
    <row r="921" spans="1:19" x14ac:dyDescent="0.15">
      <c r="A921" s="1">
        <v>6</v>
      </c>
      <c r="B921" s="1">
        <v>12</v>
      </c>
      <c r="C921" s="10">
        <v>0.36010000000000003</v>
      </c>
      <c r="D921" s="5">
        <v>90</v>
      </c>
      <c r="E921" s="10">
        <v>0.17510000000000001</v>
      </c>
      <c r="F921" s="5">
        <v>1770</v>
      </c>
      <c r="G921" s="5">
        <v>90</v>
      </c>
      <c r="I921" s="40">
        <f t="shared" si="37"/>
        <v>1770</v>
      </c>
      <c r="J921" s="40">
        <f t="shared" si="38"/>
        <v>90</v>
      </c>
      <c r="K921" s="1">
        <v>1460</v>
      </c>
      <c r="L921" s="1">
        <v>100</v>
      </c>
      <c r="M921">
        <f t="shared" si="39"/>
        <v>300</v>
      </c>
      <c r="N921" s="1">
        <v>0.36009999999999998</v>
      </c>
      <c r="O921" s="1">
        <v>90</v>
      </c>
      <c r="P921" s="24">
        <v>0.19009999999999999</v>
      </c>
      <c r="Q921" s="31">
        <f>C921-N921</f>
        <v>0</v>
      </c>
      <c r="R921" s="41">
        <f>D921-O921</f>
        <v>0</v>
      </c>
      <c r="S921" s="41">
        <f>E921-P921</f>
        <v>-1.4999999999999986E-2</v>
      </c>
    </row>
    <row r="922" spans="1:19" x14ac:dyDescent="0.15">
      <c r="A922" s="1">
        <v>6</v>
      </c>
      <c r="B922" s="1">
        <v>12</v>
      </c>
      <c r="C922" s="10">
        <v>0.36010000000000003</v>
      </c>
      <c r="D922" s="5">
        <v>90</v>
      </c>
      <c r="E922" s="10">
        <v>0.18009999999999998</v>
      </c>
      <c r="F922" s="5">
        <v>1680</v>
      </c>
      <c r="G922" s="5">
        <v>90</v>
      </c>
      <c r="I922" s="40">
        <f t="shared" si="37"/>
        <v>1680</v>
      </c>
      <c r="J922" s="40">
        <f t="shared" si="38"/>
        <v>90</v>
      </c>
      <c r="K922" s="1">
        <v>1320</v>
      </c>
      <c r="L922" s="1">
        <v>90</v>
      </c>
      <c r="M922">
        <f t="shared" si="39"/>
        <v>360</v>
      </c>
      <c r="N922" s="1">
        <v>0.36009999999999998</v>
      </c>
      <c r="O922" s="1">
        <v>90</v>
      </c>
      <c r="P922" s="24">
        <v>0.1951</v>
      </c>
      <c r="Q922" s="31">
        <f>C922-N922</f>
        <v>0</v>
      </c>
      <c r="R922" s="41">
        <f>D922-O922</f>
        <v>0</v>
      </c>
      <c r="S922" s="41">
        <f>E922-P922</f>
        <v>-1.5000000000000013E-2</v>
      </c>
    </row>
    <row r="923" spans="1:19" x14ac:dyDescent="0.15">
      <c r="A923" s="1">
        <v>6</v>
      </c>
      <c r="B923" s="1">
        <v>12</v>
      </c>
      <c r="C923" s="10">
        <v>0.36010000000000003</v>
      </c>
      <c r="D923" s="5">
        <v>90</v>
      </c>
      <c r="E923" s="10">
        <v>0.18509999999999999</v>
      </c>
      <c r="F923" s="5">
        <v>1590</v>
      </c>
      <c r="G923" s="5">
        <v>90</v>
      </c>
      <c r="I923" s="40">
        <f t="shared" si="37"/>
        <v>1590</v>
      </c>
      <c r="J923" s="40">
        <f t="shared" si="38"/>
        <v>90</v>
      </c>
      <c r="K923" s="1">
        <v>1340</v>
      </c>
      <c r="L923" s="1">
        <v>90</v>
      </c>
      <c r="M923">
        <f t="shared" si="39"/>
        <v>250</v>
      </c>
      <c r="N923" s="1">
        <v>0.36009999999999998</v>
      </c>
      <c r="O923" s="1">
        <v>90</v>
      </c>
      <c r="P923" s="24">
        <v>0.2001</v>
      </c>
      <c r="Q923" s="31">
        <f>C923-N923</f>
        <v>0</v>
      </c>
      <c r="R923" s="41">
        <f>D923-O923</f>
        <v>0</v>
      </c>
      <c r="S923" s="41">
        <f>E923-P923</f>
        <v>-1.5000000000000013E-2</v>
      </c>
    </row>
    <row r="924" spans="1:19" x14ac:dyDescent="0.15">
      <c r="A924" s="1">
        <v>6</v>
      </c>
      <c r="B924" s="1">
        <v>12</v>
      </c>
      <c r="C924" s="10">
        <v>0.36010000000000003</v>
      </c>
      <c r="D924" s="5">
        <v>90</v>
      </c>
      <c r="E924" s="10">
        <v>0.19009999999999999</v>
      </c>
      <c r="F924" s="5">
        <v>1460</v>
      </c>
      <c r="G924" s="5">
        <v>100</v>
      </c>
      <c r="I924" s="40">
        <f t="shared" si="37"/>
        <v>1460</v>
      </c>
      <c r="J924" s="40">
        <f t="shared" si="38"/>
        <v>100</v>
      </c>
      <c r="K924" s="1">
        <v>1270</v>
      </c>
      <c r="L924" s="1">
        <v>90</v>
      </c>
      <c r="M924">
        <f t="shared" si="39"/>
        <v>200</v>
      </c>
      <c r="N924" s="1">
        <v>0.36009999999999998</v>
      </c>
      <c r="O924" s="1">
        <v>90</v>
      </c>
      <c r="P924" s="24">
        <v>0.2051</v>
      </c>
      <c r="Q924" s="31">
        <f>C924-N924</f>
        <v>0</v>
      </c>
      <c r="R924" s="41">
        <f>D924-O924</f>
        <v>0</v>
      </c>
      <c r="S924" s="41">
        <f>E924-P924</f>
        <v>-1.5000000000000013E-2</v>
      </c>
    </row>
    <row r="925" spans="1:19" x14ac:dyDescent="0.15">
      <c r="A925" s="1">
        <v>6</v>
      </c>
      <c r="B925" s="1">
        <v>12</v>
      </c>
      <c r="C925" s="10">
        <v>0.36010000000000003</v>
      </c>
      <c r="D925" s="5">
        <v>90</v>
      </c>
      <c r="E925" s="10">
        <v>0.1951</v>
      </c>
      <c r="F925" s="5">
        <v>1320</v>
      </c>
      <c r="G925" s="5">
        <v>90</v>
      </c>
      <c r="I925" s="40">
        <f t="shared" si="37"/>
        <v>1320</v>
      </c>
      <c r="J925" s="40">
        <f t="shared" si="38"/>
        <v>90</v>
      </c>
      <c r="K925" s="1">
        <v>1330</v>
      </c>
      <c r="L925" s="1">
        <v>90</v>
      </c>
      <c r="M925">
        <f t="shared" si="39"/>
        <v>-10</v>
      </c>
      <c r="N925" s="1">
        <v>0.36009999999999998</v>
      </c>
      <c r="O925" s="1">
        <v>90</v>
      </c>
      <c r="P925" s="24">
        <v>0.21010000000000001</v>
      </c>
      <c r="Q925" s="31">
        <f>C925-N925</f>
        <v>0</v>
      </c>
      <c r="R925" s="41">
        <f>D925-O925</f>
        <v>0</v>
      </c>
      <c r="S925" s="41">
        <f>E925-P925</f>
        <v>-1.5000000000000013E-2</v>
      </c>
    </row>
    <row r="926" spans="1:19" x14ac:dyDescent="0.15">
      <c r="A926" s="1">
        <v>6</v>
      </c>
      <c r="B926" s="1">
        <v>12</v>
      </c>
      <c r="C926" s="10">
        <v>0.36010000000000003</v>
      </c>
      <c r="D926" s="5">
        <v>90</v>
      </c>
      <c r="E926" s="10">
        <v>0.2001</v>
      </c>
      <c r="F926" s="5">
        <v>1340</v>
      </c>
      <c r="G926" s="5">
        <v>90</v>
      </c>
      <c r="I926" s="40">
        <f t="shared" si="37"/>
        <v>1340</v>
      </c>
      <c r="J926" s="40">
        <f t="shared" si="38"/>
        <v>90</v>
      </c>
      <c r="K926" s="1">
        <v>1320</v>
      </c>
      <c r="L926" s="1">
        <v>100</v>
      </c>
      <c r="M926">
        <f t="shared" si="39"/>
        <v>10</v>
      </c>
      <c r="N926" s="1">
        <v>0.36009999999999998</v>
      </c>
      <c r="O926" s="1">
        <v>90</v>
      </c>
      <c r="P926" s="24">
        <v>0.21510000000000001</v>
      </c>
      <c r="Q926" s="31">
        <f>C926-N926</f>
        <v>0</v>
      </c>
      <c r="R926" s="41">
        <f>D926-O926</f>
        <v>0</v>
      </c>
      <c r="S926" s="41">
        <f>E926-P926</f>
        <v>-1.5000000000000013E-2</v>
      </c>
    </row>
    <row r="927" spans="1:19" x14ac:dyDescent="0.15">
      <c r="A927" s="1">
        <v>6</v>
      </c>
      <c r="B927" s="1">
        <v>12</v>
      </c>
      <c r="C927" s="10">
        <v>0.36010000000000003</v>
      </c>
      <c r="D927" s="5">
        <v>90</v>
      </c>
      <c r="E927" s="10">
        <v>0.2051</v>
      </c>
      <c r="F927" s="5">
        <v>1270</v>
      </c>
      <c r="G927" s="5">
        <v>90</v>
      </c>
      <c r="I927" s="40">
        <f t="shared" si="37"/>
        <v>1270</v>
      </c>
      <c r="J927" s="40">
        <f t="shared" si="38"/>
        <v>90</v>
      </c>
      <c r="K927" s="1">
        <v>1290</v>
      </c>
      <c r="L927" s="1">
        <v>100</v>
      </c>
      <c r="M927">
        <f t="shared" si="39"/>
        <v>-30</v>
      </c>
      <c r="N927" s="1">
        <v>0.36009999999999998</v>
      </c>
      <c r="O927" s="1">
        <v>90</v>
      </c>
      <c r="P927" s="24">
        <v>0.22009999999999999</v>
      </c>
      <c r="Q927" s="31">
        <f>C927-N927</f>
        <v>0</v>
      </c>
      <c r="R927" s="41">
        <f>D927-O927</f>
        <v>0</v>
      </c>
      <c r="S927" s="41">
        <f>E927-P927</f>
        <v>-1.4999999999999986E-2</v>
      </c>
    </row>
    <row r="928" spans="1:19" x14ac:dyDescent="0.15">
      <c r="A928" s="1">
        <v>6</v>
      </c>
      <c r="B928" s="1">
        <v>12</v>
      </c>
      <c r="C928" s="10">
        <v>0.36010000000000003</v>
      </c>
      <c r="D928" s="5">
        <v>90</v>
      </c>
      <c r="E928" s="10">
        <v>0.21009999999999998</v>
      </c>
      <c r="F928" s="5">
        <v>1330</v>
      </c>
      <c r="G928" s="5">
        <v>90</v>
      </c>
      <c r="I928" s="40">
        <f t="shared" si="37"/>
        <v>1330</v>
      </c>
      <c r="J928" s="40">
        <f t="shared" si="38"/>
        <v>90</v>
      </c>
      <c r="K928" s="1">
        <v>1330</v>
      </c>
      <c r="L928" s="1">
        <v>110</v>
      </c>
      <c r="M928">
        <f t="shared" si="39"/>
        <v>-20</v>
      </c>
      <c r="N928" s="1">
        <v>0.36009999999999998</v>
      </c>
      <c r="O928" s="1">
        <v>90</v>
      </c>
      <c r="P928" s="24">
        <v>0.22509999999999999</v>
      </c>
      <c r="Q928" s="31">
        <f>C928-N928</f>
        <v>0</v>
      </c>
      <c r="R928" s="41">
        <f>D928-O928</f>
        <v>0</v>
      </c>
      <c r="S928" s="41">
        <f>E928-P928</f>
        <v>-1.5000000000000013E-2</v>
      </c>
    </row>
    <row r="929" spans="1:19" x14ac:dyDescent="0.15">
      <c r="A929" s="1">
        <v>6</v>
      </c>
      <c r="B929" s="1">
        <v>12</v>
      </c>
      <c r="C929" s="10">
        <v>0.36010000000000003</v>
      </c>
      <c r="D929" s="5">
        <v>90</v>
      </c>
      <c r="E929" s="10">
        <v>0.21509999999999999</v>
      </c>
      <c r="F929" s="5">
        <v>1320</v>
      </c>
      <c r="G929" s="5">
        <v>100</v>
      </c>
      <c r="I929" s="40">
        <f t="shared" si="37"/>
        <v>1320</v>
      </c>
      <c r="J929" s="40">
        <f t="shared" si="38"/>
        <v>100</v>
      </c>
      <c r="K929" s="1">
        <v>1390</v>
      </c>
      <c r="L929" s="1">
        <v>110</v>
      </c>
      <c r="M929">
        <f t="shared" si="39"/>
        <v>-80</v>
      </c>
      <c r="N929" s="1">
        <v>0.36009999999999998</v>
      </c>
      <c r="O929" s="1">
        <v>90</v>
      </c>
      <c r="P929" s="24">
        <v>0.2301</v>
      </c>
      <c r="Q929" s="31">
        <f>C929-N929</f>
        <v>0</v>
      </c>
      <c r="R929" s="41">
        <f>D929-O929</f>
        <v>0</v>
      </c>
      <c r="S929" s="41">
        <f>E929-P929</f>
        <v>-1.5000000000000013E-2</v>
      </c>
    </row>
    <row r="930" spans="1:19" x14ac:dyDescent="0.15">
      <c r="A930" s="1">
        <v>6</v>
      </c>
      <c r="B930" s="1">
        <v>12</v>
      </c>
      <c r="C930" s="10">
        <v>0.36010000000000003</v>
      </c>
      <c r="D930" s="5">
        <v>90</v>
      </c>
      <c r="E930" s="10">
        <v>0.22009999999999999</v>
      </c>
      <c r="F930" s="5">
        <v>1290</v>
      </c>
      <c r="G930" s="5">
        <v>100</v>
      </c>
      <c r="I930" s="40">
        <f t="shared" si="37"/>
        <v>1290</v>
      </c>
      <c r="J930" s="40">
        <f t="shared" si="38"/>
        <v>100</v>
      </c>
      <c r="K930" s="1">
        <v>1480</v>
      </c>
      <c r="L930" s="1">
        <v>130</v>
      </c>
      <c r="M930">
        <f t="shared" si="39"/>
        <v>-220</v>
      </c>
      <c r="N930" s="1">
        <v>0.36009999999999998</v>
      </c>
      <c r="O930" s="1">
        <v>90</v>
      </c>
      <c r="P930" s="24">
        <v>0.2351</v>
      </c>
      <c r="Q930" s="31">
        <f>C930-N930</f>
        <v>0</v>
      </c>
      <c r="R930" s="41">
        <f>D930-O930</f>
        <v>0</v>
      </c>
      <c r="S930" s="41">
        <f>E930-P930</f>
        <v>-1.5000000000000013E-2</v>
      </c>
    </row>
    <row r="931" spans="1:19" x14ac:dyDescent="0.15">
      <c r="A931" s="1">
        <v>6</v>
      </c>
      <c r="B931" s="1">
        <v>12</v>
      </c>
      <c r="C931" s="10">
        <v>0.36010000000000003</v>
      </c>
      <c r="D931" s="5">
        <v>90</v>
      </c>
      <c r="E931" s="10">
        <v>0.22509999999999999</v>
      </c>
      <c r="F931" s="5">
        <v>1330</v>
      </c>
      <c r="G931" s="5">
        <v>110</v>
      </c>
      <c r="I931" s="40">
        <f t="shared" si="37"/>
        <v>1330</v>
      </c>
      <c r="J931" s="40">
        <f t="shared" si="38"/>
        <v>110</v>
      </c>
      <c r="K931" s="1">
        <v>1460</v>
      </c>
      <c r="L931" s="1">
        <v>140</v>
      </c>
      <c r="M931">
        <f t="shared" si="39"/>
        <v>-160</v>
      </c>
      <c r="N931" s="1">
        <v>0.36009999999999998</v>
      </c>
      <c r="O931" s="1">
        <v>90</v>
      </c>
      <c r="P931" s="24">
        <v>0.24010000000000001</v>
      </c>
      <c r="Q931" s="31">
        <f>C931-N931</f>
        <v>0</v>
      </c>
      <c r="R931" s="41">
        <f>D931-O931</f>
        <v>0</v>
      </c>
      <c r="S931" s="41">
        <f>E931-P931</f>
        <v>-1.5000000000000013E-2</v>
      </c>
    </row>
    <row r="932" spans="1:19" x14ac:dyDescent="0.15">
      <c r="A932" s="1">
        <v>6</v>
      </c>
      <c r="B932" s="1">
        <v>12</v>
      </c>
      <c r="C932" s="10">
        <v>0.36010000000000003</v>
      </c>
      <c r="D932" s="5">
        <v>90</v>
      </c>
      <c r="E932" s="10">
        <v>0.2301</v>
      </c>
      <c r="F932" s="5">
        <v>1350</v>
      </c>
      <c r="G932" s="5">
        <v>110</v>
      </c>
      <c r="I932" s="40">
        <f t="shared" si="37"/>
        <v>1350</v>
      </c>
      <c r="J932" s="40">
        <f t="shared" si="38"/>
        <v>110</v>
      </c>
      <c r="K932" s="1">
        <v>1520</v>
      </c>
      <c r="L932" s="1">
        <v>160</v>
      </c>
      <c r="M932">
        <f t="shared" si="39"/>
        <v>-220</v>
      </c>
      <c r="N932" s="1">
        <v>0.36009999999999998</v>
      </c>
      <c r="O932" s="1">
        <v>90</v>
      </c>
      <c r="P932" s="24">
        <v>0.24510000000000001</v>
      </c>
      <c r="Q932" s="31">
        <f>C932-N932</f>
        <v>0</v>
      </c>
      <c r="R932" s="41">
        <f>D932-O932</f>
        <v>0</v>
      </c>
      <c r="S932" s="41">
        <f>E932-P932</f>
        <v>-1.5000000000000013E-2</v>
      </c>
    </row>
    <row r="933" spans="1:19" x14ac:dyDescent="0.15">
      <c r="A933" s="1">
        <v>6</v>
      </c>
      <c r="B933" s="1">
        <v>12</v>
      </c>
      <c r="C933" s="10">
        <v>0.36010000000000003</v>
      </c>
      <c r="D933" s="5">
        <v>90</v>
      </c>
      <c r="E933" s="10">
        <v>0.2351</v>
      </c>
      <c r="F933" s="5">
        <v>1480</v>
      </c>
      <c r="G933" s="5">
        <v>130</v>
      </c>
      <c r="I933" s="40">
        <f t="shared" si="37"/>
        <v>1480</v>
      </c>
      <c r="J933" s="40">
        <f t="shared" si="38"/>
        <v>130</v>
      </c>
      <c r="K933" s="1">
        <v>1750</v>
      </c>
      <c r="L933" s="1">
        <v>180</v>
      </c>
      <c r="M933">
        <f t="shared" si="39"/>
        <v>-320</v>
      </c>
      <c r="N933" s="1">
        <v>0.36009999999999998</v>
      </c>
      <c r="O933" s="1">
        <v>90</v>
      </c>
      <c r="P933" s="24">
        <v>0.25009999999999999</v>
      </c>
      <c r="Q933" s="31">
        <f>C933-N933</f>
        <v>0</v>
      </c>
      <c r="R933" s="41">
        <f>D933-O933</f>
        <v>0</v>
      </c>
      <c r="S933" s="41">
        <f>E933-P933</f>
        <v>-1.4999999999999986E-2</v>
      </c>
    </row>
    <row r="934" spans="1:19" x14ac:dyDescent="0.15">
      <c r="A934" s="1">
        <v>6</v>
      </c>
      <c r="B934" s="1">
        <v>12</v>
      </c>
      <c r="C934" s="10">
        <v>0.36010000000000003</v>
      </c>
      <c r="D934" s="5">
        <v>90</v>
      </c>
      <c r="E934" s="10">
        <v>0.24010000000000001</v>
      </c>
      <c r="F934" s="5">
        <v>1460</v>
      </c>
      <c r="G934" s="5">
        <v>140</v>
      </c>
      <c r="I934" s="40">
        <f t="shared" si="37"/>
        <v>1460</v>
      </c>
      <c r="J934" s="40">
        <f t="shared" si="38"/>
        <v>140</v>
      </c>
      <c r="K934" s="1">
        <v>1580</v>
      </c>
      <c r="L934" s="1">
        <v>190</v>
      </c>
      <c r="M934">
        <f t="shared" si="39"/>
        <v>-170</v>
      </c>
      <c r="N934" s="1">
        <v>0.36009999999999998</v>
      </c>
      <c r="O934" s="1">
        <v>90</v>
      </c>
      <c r="P934" s="24">
        <v>0.25509999999999999</v>
      </c>
      <c r="Q934" s="31">
        <f>C934-N934</f>
        <v>0</v>
      </c>
      <c r="R934" s="41">
        <f>D934-O934</f>
        <v>0</v>
      </c>
      <c r="S934" s="41">
        <f>E934-P934</f>
        <v>-1.4999999999999986E-2</v>
      </c>
    </row>
    <row r="935" spans="1:19" ht="14" thickBot="1" x14ac:dyDescent="0.2">
      <c r="A935" s="1">
        <v>6</v>
      </c>
      <c r="B935" s="1">
        <v>12</v>
      </c>
      <c r="C935" s="10">
        <v>0.36010000000000003</v>
      </c>
      <c r="D935" s="5">
        <v>90</v>
      </c>
      <c r="E935" s="10">
        <v>0.24509999999999998</v>
      </c>
      <c r="F935" s="5">
        <v>1520</v>
      </c>
      <c r="G935" s="5">
        <v>160</v>
      </c>
      <c r="I935" s="40">
        <f t="shared" si="37"/>
        <v>1520</v>
      </c>
      <c r="J935" s="40">
        <f t="shared" si="38"/>
        <v>160</v>
      </c>
      <c r="K935" s="1">
        <v>1810</v>
      </c>
      <c r="L935" s="1">
        <v>210</v>
      </c>
      <c r="M935">
        <f t="shared" si="39"/>
        <v>-340</v>
      </c>
      <c r="N935" s="1">
        <v>0.36009999999999998</v>
      </c>
      <c r="O935" s="1">
        <v>90</v>
      </c>
      <c r="P935" s="44">
        <v>0.2601</v>
      </c>
      <c r="Q935" s="31">
        <f>C935-N935</f>
        <v>0</v>
      </c>
      <c r="R935" s="41">
        <f>D935-O935</f>
        <v>0</v>
      </c>
      <c r="S935" s="41">
        <f>E935-P935</f>
        <v>-1.5000000000000013E-2</v>
      </c>
    </row>
    <row r="936" spans="1:19" ht="14" thickTop="1" x14ac:dyDescent="0.15">
      <c r="A936" s="1">
        <v>6</v>
      </c>
      <c r="B936" s="1">
        <v>12</v>
      </c>
      <c r="C936" s="10">
        <v>0.36010000000000003</v>
      </c>
      <c r="D936" s="5">
        <v>90</v>
      </c>
      <c r="E936" s="10">
        <v>0.25009999999999999</v>
      </c>
      <c r="F936" s="5">
        <v>1750</v>
      </c>
      <c r="G936" s="5">
        <v>180</v>
      </c>
      <c r="I936" s="40">
        <f t="shared" si="37"/>
        <v>1750</v>
      </c>
      <c r="J936" s="40">
        <f t="shared" si="38"/>
        <v>180</v>
      </c>
      <c r="K936" s="1">
        <v>230</v>
      </c>
      <c r="L936" s="1">
        <v>20</v>
      </c>
      <c r="M936">
        <f t="shared" si="39"/>
        <v>1680</v>
      </c>
      <c r="N936" s="1">
        <v>0.3201</v>
      </c>
      <c r="O936" s="1">
        <v>90</v>
      </c>
      <c r="P936" s="24">
        <v>8.2000000000000007E-3</v>
      </c>
      <c r="Q936" s="31">
        <f>C936-N936</f>
        <v>4.0000000000000036E-2</v>
      </c>
      <c r="R936" s="41">
        <f>D936-O936</f>
        <v>0</v>
      </c>
      <c r="S936" s="41">
        <f>E936-P936</f>
        <v>0.24189999999999998</v>
      </c>
    </row>
    <row r="937" spans="1:19" x14ac:dyDescent="0.15">
      <c r="A937" s="1">
        <v>6</v>
      </c>
      <c r="B937" s="1">
        <v>12</v>
      </c>
      <c r="C937" s="10">
        <v>0.36010000000000003</v>
      </c>
      <c r="D937" s="5">
        <v>90</v>
      </c>
      <c r="E937" s="10">
        <v>0.25509999999999999</v>
      </c>
      <c r="F937" s="5">
        <v>1680</v>
      </c>
      <c r="G937" s="5">
        <v>190</v>
      </c>
      <c r="I937" s="40">
        <f t="shared" si="37"/>
        <v>1680</v>
      </c>
      <c r="J937" s="40">
        <f t="shared" si="38"/>
        <v>190</v>
      </c>
      <c r="K937" s="1">
        <v>220</v>
      </c>
      <c r="L937" s="1">
        <v>10</v>
      </c>
      <c r="M937">
        <f t="shared" si="39"/>
        <v>1640</v>
      </c>
      <c r="N937" s="1">
        <v>0.3201</v>
      </c>
      <c r="O937" s="1">
        <v>90</v>
      </c>
      <c r="P937" s="24">
        <v>1.32E-2</v>
      </c>
      <c r="Q937" s="31">
        <f>C937-N937</f>
        <v>4.0000000000000036E-2</v>
      </c>
      <c r="R937" s="41">
        <f>D937-O937</f>
        <v>0</v>
      </c>
      <c r="S937" s="41">
        <f>E937-P937</f>
        <v>0.2419</v>
      </c>
    </row>
    <row r="938" spans="1:19" x14ac:dyDescent="0.15">
      <c r="A938" s="1">
        <v>6</v>
      </c>
      <c r="B938" s="1">
        <v>12</v>
      </c>
      <c r="C938" s="10">
        <v>0.36010000000000003</v>
      </c>
      <c r="D938" s="5">
        <v>90</v>
      </c>
      <c r="E938" s="10">
        <v>0.2601</v>
      </c>
      <c r="F938" s="5">
        <v>1810</v>
      </c>
      <c r="G938" s="5">
        <v>210</v>
      </c>
      <c r="I938" s="40">
        <f t="shared" si="37"/>
        <v>1810</v>
      </c>
      <c r="J938" s="40">
        <f t="shared" si="38"/>
        <v>210</v>
      </c>
      <c r="K938" s="1">
        <v>330</v>
      </c>
      <c r="L938" s="1">
        <v>30</v>
      </c>
      <c r="M938">
        <f t="shared" si="39"/>
        <v>1660</v>
      </c>
      <c r="N938" s="1">
        <v>0.3201</v>
      </c>
      <c r="O938" s="1">
        <v>90</v>
      </c>
      <c r="P938" s="24">
        <v>1.8200000000000001E-2</v>
      </c>
      <c r="Q938" s="31">
        <f>C938-N938</f>
        <v>4.0000000000000036E-2</v>
      </c>
      <c r="R938" s="41">
        <f>D938-O938</f>
        <v>0</v>
      </c>
      <c r="S938" s="41">
        <f>E938-P938</f>
        <v>0.2419</v>
      </c>
    </row>
    <row r="939" spans="1:19" x14ac:dyDescent="0.15">
      <c r="A939" s="1">
        <v>6</v>
      </c>
      <c r="B939" s="1">
        <v>12</v>
      </c>
      <c r="C939" s="10">
        <v>0.32069999999999999</v>
      </c>
      <c r="D939" s="5">
        <v>90</v>
      </c>
      <c r="E939" s="10">
        <v>8.199999999999999E-3</v>
      </c>
      <c r="F939" s="5">
        <v>230</v>
      </c>
      <c r="G939" s="5">
        <v>20</v>
      </c>
      <c r="I939" s="40">
        <f t="shared" si="37"/>
        <v>230</v>
      </c>
      <c r="J939" s="40">
        <f t="shared" si="38"/>
        <v>20</v>
      </c>
      <c r="K939" s="1">
        <v>600</v>
      </c>
      <c r="L939" s="1">
        <v>30</v>
      </c>
      <c r="M939">
        <f t="shared" si="39"/>
        <v>-380</v>
      </c>
      <c r="N939" s="1">
        <v>0.3201</v>
      </c>
      <c r="O939" s="1">
        <v>90</v>
      </c>
      <c r="P939" s="24">
        <v>2.3199999999999998E-2</v>
      </c>
      <c r="Q939" s="31">
        <f>C939-N939</f>
        <v>5.9999999999998943E-4</v>
      </c>
      <c r="R939" s="41">
        <f>D939-O939</f>
        <v>0</v>
      </c>
      <c r="S939" s="41">
        <f>E939-P939</f>
        <v>-1.4999999999999999E-2</v>
      </c>
    </row>
    <row r="940" spans="1:19" x14ac:dyDescent="0.15">
      <c r="A940" s="1">
        <v>6</v>
      </c>
      <c r="B940" s="1">
        <v>12</v>
      </c>
      <c r="C940" s="10">
        <v>0.32069999999999999</v>
      </c>
      <c r="D940" s="5">
        <v>90</v>
      </c>
      <c r="E940" s="10">
        <v>1.32E-2</v>
      </c>
      <c r="F940" s="5">
        <v>220</v>
      </c>
      <c r="G940" s="5">
        <v>10</v>
      </c>
      <c r="I940" s="40">
        <f t="shared" si="37"/>
        <v>220</v>
      </c>
      <c r="J940" s="40">
        <f t="shared" si="38"/>
        <v>10</v>
      </c>
      <c r="K940" s="1">
        <v>1520</v>
      </c>
      <c r="L940" s="1">
        <v>60</v>
      </c>
      <c r="M940">
        <f t="shared" si="39"/>
        <v>-1350</v>
      </c>
      <c r="N940" s="1">
        <v>0.3201</v>
      </c>
      <c r="O940" s="1">
        <v>90</v>
      </c>
      <c r="P940" s="24">
        <v>2.8199999999999999E-2</v>
      </c>
      <c r="Q940" s="31">
        <f>C940-N940</f>
        <v>5.9999999999998943E-4</v>
      </c>
      <c r="R940" s="41">
        <f>D940-O940</f>
        <v>0</v>
      </c>
      <c r="S940" s="41">
        <f>E940-P940</f>
        <v>-1.4999999999999999E-2</v>
      </c>
    </row>
    <row r="941" spans="1:19" x14ac:dyDescent="0.15">
      <c r="A941" s="1">
        <v>6</v>
      </c>
      <c r="B941" s="1">
        <v>12</v>
      </c>
      <c r="C941" s="10">
        <v>0.32069999999999999</v>
      </c>
      <c r="D941" s="5">
        <v>90</v>
      </c>
      <c r="E941" s="10">
        <v>1.8200000000000001E-2</v>
      </c>
      <c r="F941" s="5">
        <v>330</v>
      </c>
      <c r="G941" s="5">
        <v>20</v>
      </c>
      <c r="I941" s="40">
        <f t="shared" si="37"/>
        <v>330</v>
      </c>
      <c r="J941" s="40">
        <f t="shared" si="38"/>
        <v>20</v>
      </c>
      <c r="K941" s="1">
        <v>1230</v>
      </c>
      <c r="L941" s="1">
        <v>50</v>
      </c>
      <c r="M941">
        <f t="shared" si="39"/>
        <v>-930</v>
      </c>
      <c r="N941" s="1">
        <v>0.3201</v>
      </c>
      <c r="O941" s="1">
        <v>90</v>
      </c>
      <c r="P941" s="24">
        <v>3.32E-2</v>
      </c>
      <c r="Q941" s="31">
        <f>C941-N941</f>
        <v>5.9999999999998943E-4</v>
      </c>
      <c r="R941" s="41">
        <f>D941-O941</f>
        <v>0</v>
      </c>
      <c r="S941" s="41">
        <f>E941-P941</f>
        <v>-1.4999999999999999E-2</v>
      </c>
    </row>
    <row r="942" spans="1:19" x14ac:dyDescent="0.15">
      <c r="A942" s="1">
        <v>6</v>
      </c>
      <c r="B942" s="1">
        <v>12</v>
      </c>
      <c r="C942" s="10">
        <v>0.32069999999999999</v>
      </c>
      <c r="D942" s="5">
        <v>90</v>
      </c>
      <c r="E942" s="10">
        <v>2.3199999999999998E-2</v>
      </c>
      <c r="F942" s="5">
        <v>600</v>
      </c>
      <c r="G942" s="5">
        <v>30</v>
      </c>
      <c r="I942" s="40">
        <f t="shared" si="37"/>
        <v>600</v>
      </c>
      <c r="J942" s="40">
        <f t="shared" si="38"/>
        <v>30</v>
      </c>
      <c r="K942" s="1">
        <v>1630</v>
      </c>
      <c r="L942" s="1">
        <v>60</v>
      </c>
      <c r="M942">
        <f t="shared" si="39"/>
        <v>-1060</v>
      </c>
      <c r="N942" s="1">
        <v>0.3201</v>
      </c>
      <c r="O942" s="1">
        <v>90</v>
      </c>
      <c r="P942" s="24">
        <v>3.8199999999999998E-2</v>
      </c>
      <c r="Q942" s="31">
        <f>C942-N942</f>
        <v>5.9999999999998943E-4</v>
      </c>
      <c r="R942" s="41">
        <f>D942-O942</f>
        <v>0</v>
      </c>
      <c r="S942" s="41">
        <f>E942-P942</f>
        <v>-1.4999999999999999E-2</v>
      </c>
    </row>
    <row r="943" spans="1:19" x14ac:dyDescent="0.15">
      <c r="A943" s="1">
        <v>6</v>
      </c>
      <c r="B943" s="1">
        <v>12</v>
      </c>
      <c r="C943" s="10">
        <v>0.32069999999999999</v>
      </c>
      <c r="D943" s="5">
        <v>90</v>
      </c>
      <c r="E943" s="10">
        <v>2.8199999999999999E-2</v>
      </c>
      <c r="F943" s="5">
        <v>1520</v>
      </c>
      <c r="G943" s="5">
        <v>60</v>
      </c>
      <c r="I943" s="40">
        <f t="shared" si="37"/>
        <v>1520</v>
      </c>
      <c r="J943" s="40">
        <f t="shared" si="38"/>
        <v>60</v>
      </c>
      <c r="K943" s="1">
        <v>1950</v>
      </c>
      <c r="L943" s="1">
        <v>70</v>
      </c>
      <c r="M943">
        <f t="shared" si="39"/>
        <v>-440</v>
      </c>
      <c r="N943" s="1">
        <v>0.3201</v>
      </c>
      <c r="O943" s="1">
        <v>90</v>
      </c>
      <c r="P943" s="24">
        <v>4.3200000000000002E-2</v>
      </c>
      <c r="Q943" s="31">
        <f>C943-N943</f>
        <v>5.9999999999998943E-4</v>
      </c>
      <c r="R943" s="41">
        <f>D943-O943</f>
        <v>0</v>
      </c>
      <c r="S943" s="41">
        <f>E943-P943</f>
        <v>-1.5000000000000003E-2</v>
      </c>
    </row>
    <row r="944" spans="1:19" x14ac:dyDescent="0.15">
      <c r="A944" s="1">
        <v>6</v>
      </c>
      <c r="B944" s="1">
        <v>12</v>
      </c>
      <c r="C944" s="10">
        <v>0.32069999999999999</v>
      </c>
      <c r="D944" s="5">
        <v>90</v>
      </c>
      <c r="E944" s="10">
        <v>3.32E-2</v>
      </c>
      <c r="F944" s="5">
        <v>1230</v>
      </c>
      <c r="G944" s="5">
        <v>50</v>
      </c>
      <c r="I944" s="40">
        <f t="shared" si="37"/>
        <v>1230</v>
      </c>
      <c r="J944" s="40">
        <f t="shared" si="38"/>
        <v>50</v>
      </c>
      <c r="K944" s="1">
        <v>2260</v>
      </c>
      <c r="L944" s="1">
        <v>90</v>
      </c>
      <c r="M944">
        <f t="shared" si="39"/>
        <v>-1070</v>
      </c>
      <c r="N944" s="1">
        <v>0.3201</v>
      </c>
      <c r="O944" s="1">
        <v>90</v>
      </c>
      <c r="P944" s="24">
        <v>4.82E-2</v>
      </c>
      <c r="Q944" s="31">
        <f>C944-N944</f>
        <v>5.9999999999998943E-4</v>
      </c>
      <c r="R944" s="41">
        <f>D944-O944</f>
        <v>0</v>
      </c>
      <c r="S944" s="41">
        <f>E944-P944</f>
        <v>-1.4999999999999999E-2</v>
      </c>
    </row>
    <row r="945" spans="1:19" x14ac:dyDescent="0.15">
      <c r="A945" s="1">
        <v>6</v>
      </c>
      <c r="B945" s="1">
        <v>12</v>
      </c>
      <c r="C945" s="10">
        <v>0.32069999999999999</v>
      </c>
      <c r="D945" s="5">
        <v>90</v>
      </c>
      <c r="E945" s="10">
        <v>3.8200000000000005E-2</v>
      </c>
      <c r="F945" s="5">
        <v>1630</v>
      </c>
      <c r="G945" s="5">
        <v>60</v>
      </c>
      <c r="I945" s="40">
        <f t="shared" si="37"/>
        <v>1630</v>
      </c>
      <c r="J945" s="40">
        <f t="shared" si="38"/>
        <v>60</v>
      </c>
      <c r="K945" s="1">
        <v>2730</v>
      </c>
      <c r="L945" s="1">
        <v>100</v>
      </c>
      <c r="M945">
        <f t="shared" si="39"/>
        <v>-1140</v>
      </c>
      <c r="N945" s="1">
        <v>0.3201</v>
      </c>
      <c r="O945" s="1">
        <v>90</v>
      </c>
      <c r="P945" s="24">
        <v>5.3199999999999997E-2</v>
      </c>
      <c r="Q945" s="31">
        <f>C945-N945</f>
        <v>5.9999999999998943E-4</v>
      </c>
      <c r="R945" s="41">
        <f>D945-O945</f>
        <v>0</v>
      </c>
      <c r="S945" s="41">
        <f>E945-P945</f>
        <v>-1.4999999999999993E-2</v>
      </c>
    </row>
    <row r="946" spans="1:19" x14ac:dyDescent="0.15">
      <c r="A946" s="1">
        <v>6</v>
      </c>
      <c r="B946" s="1">
        <v>12</v>
      </c>
      <c r="C946" s="10">
        <v>0.32069999999999999</v>
      </c>
      <c r="D946" s="5">
        <v>90</v>
      </c>
      <c r="E946" s="10">
        <v>4.3200000000000002E-2</v>
      </c>
      <c r="F946" s="5">
        <v>1950</v>
      </c>
      <c r="G946" s="5">
        <v>70</v>
      </c>
      <c r="I946" s="40">
        <f t="shared" si="37"/>
        <v>1950</v>
      </c>
      <c r="J946" s="40">
        <f t="shared" si="38"/>
        <v>70</v>
      </c>
      <c r="K946" s="1">
        <v>3100</v>
      </c>
      <c r="L946" s="1">
        <v>120</v>
      </c>
      <c r="M946">
        <f t="shared" si="39"/>
        <v>-1200</v>
      </c>
      <c r="N946" s="1">
        <v>0.3201</v>
      </c>
      <c r="O946" s="1">
        <v>90</v>
      </c>
      <c r="P946" s="24">
        <v>5.8200000000000002E-2</v>
      </c>
      <c r="Q946" s="31">
        <f>C946-N946</f>
        <v>5.9999999999998943E-4</v>
      </c>
      <c r="R946" s="41">
        <f>D946-O946</f>
        <v>0</v>
      </c>
      <c r="S946" s="41">
        <f>E946-P946</f>
        <v>-1.4999999999999999E-2</v>
      </c>
    </row>
    <row r="947" spans="1:19" x14ac:dyDescent="0.15">
      <c r="A947" s="1">
        <v>6</v>
      </c>
      <c r="B947" s="1">
        <v>12</v>
      </c>
      <c r="C947" s="10">
        <v>0.32069999999999999</v>
      </c>
      <c r="D947" s="5">
        <v>90</v>
      </c>
      <c r="E947" s="10">
        <v>4.82E-2</v>
      </c>
      <c r="F947" s="5">
        <v>2260</v>
      </c>
      <c r="G947" s="5">
        <v>90</v>
      </c>
      <c r="I947" s="40">
        <f t="shared" si="37"/>
        <v>2260</v>
      </c>
      <c r="J947" s="40">
        <f t="shared" si="38"/>
        <v>90</v>
      </c>
      <c r="K947" s="1">
        <v>3550</v>
      </c>
      <c r="L947" s="1">
        <v>130</v>
      </c>
      <c r="M947">
        <f t="shared" si="39"/>
        <v>-1330</v>
      </c>
      <c r="N947" s="1">
        <v>0.3201</v>
      </c>
      <c r="O947" s="1">
        <v>90</v>
      </c>
      <c r="P947" s="24">
        <v>6.3200000000000006E-2</v>
      </c>
      <c r="Q947" s="31">
        <f>C947-N947</f>
        <v>5.9999999999998943E-4</v>
      </c>
      <c r="R947" s="41">
        <f>D947-O947</f>
        <v>0</v>
      </c>
      <c r="S947" s="41">
        <f>E947-P947</f>
        <v>-1.5000000000000006E-2</v>
      </c>
    </row>
    <row r="948" spans="1:19" x14ac:dyDescent="0.15">
      <c r="A948" s="1">
        <v>6</v>
      </c>
      <c r="B948" s="1">
        <v>12</v>
      </c>
      <c r="C948" s="10">
        <v>0.32069999999999999</v>
      </c>
      <c r="D948" s="5">
        <v>90</v>
      </c>
      <c r="E948" s="10">
        <v>5.3200000000000004E-2</v>
      </c>
      <c r="F948" s="5">
        <v>2730</v>
      </c>
      <c r="G948" s="5">
        <v>100</v>
      </c>
      <c r="I948" s="40">
        <f t="shared" si="37"/>
        <v>2730</v>
      </c>
      <c r="J948" s="40">
        <f t="shared" si="38"/>
        <v>100</v>
      </c>
      <c r="K948" s="1">
        <v>3820</v>
      </c>
      <c r="L948" s="1">
        <v>140</v>
      </c>
      <c r="M948">
        <f t="shared" si="39"/>
        <v>-1130</v>
      </c>
      <c r="N948" s="1">
        <v>0.3201</v>
      </c>
      <c r="O948" s="1">
        <v>90</v>
      </c>
      <c r="P948" s="24">
        <v>6.8199999999999997E-2</v>
      </c>
      <c r="Q948" s="31">
        <f>C948-N948</f>
        <v>5.9999999999998943E-4</v>
      </c>
      <c r="R948" s="41">
        <f>D948-O948</f>
        <v>0</v>
      </c>
      <c r="S948" s="41">
        <f>E948-P948</f>
        <v>-1.4999999999999993E-2</v>
      </c>
    </row>
    <row r="949" spans="1:19" x14ac:dyDescent="0.15">
      <c r="A949" s="1">
        <v>6</v>
      </c>
      <c r="B949" s="1">
        <v>12</v>
      </c>
      <c r="C949" s="10">
        <v>0.32069999999999999</v>
      </c>
      <c r="D949" s="5">
        <v>90</v>
      </c>
      <c r="E949" s="10">
        <v>5.8200000000000002E-2</v>
      </c>
      <c r="F949" s="5">
        <v>3100</v>
      </c>
      <c r="G949" s="5">
        <v>120</v>
      </c>
      <c r="I949" s="40">
        <f t="shared" si="37"/>
        <v>3100</v>
      </c>
      <c r="J949" s="40">
        <f t="shared" si="38"/>
        <v>120</v>
      </c>
      <c r="K949" s="1">
        <v>4190</v>
      </c>
      <c r="L949" s="1">
        <v>160</v>
      </c>
      <c r="M949">
        <f t="shared" si="39"/>
        <v>-1130</v>
      </c>
      <c r="N949" s="1">
        <v>0.3201</v>
      </c>
      <c r="O949" s="1">
        <v>90</v>
      </c>
      <c r="P949" s="24">
        <v>7.3200000000000001E-2</v>
      </c>
      <c r="Q949" s="31">
        <f>C949-N949</f>
        <v>5.9999999999998943E-4</v>
      </c>
      <c r="R949" s="41">
        <f>D949-O949</f>
        <v>0</v>
      </c>
      <c r="S949" s="41">
        <f>E949-P949</f>
        <v>-1.4999999999999999E-2</v>
      </c>
    </row>
    <row r="950" spans="1:19" x14ac:dyDescent="0.15">
      <c r="A950" s="1">
        <v>6</v>
      </c>
      <c r="B950" s="1">
        <v>12</v>
      </c>
      <c r="C950" s="10">
        <v>0.32069999999999999</v>
      </c>
      <c r="D950" s="5">
        <v>90</v>
      </c>
      <c r="E950" s="10">
        <v>6.3200000000000006E-2</v>
      </c>
      <c r="F950" s="5">
        <v>3550</v>
      </c>
      <c r="G950" s="5">
        <v>130</v>
      </c>
      <c r="I950" s="40">
        <f t="shared" si="37"/>
        <v>3550</v>
      </c>
      <c r="J950" s="40">
        <f t="shared" si="38"/>
        <v>130</v>
      </c>
      <c r="K950" s="1">
        <v>4480</v>
      </c>
      <c r="L950" s="1">
        <v>170</v>
      </c>
      <c r="M950">
        <f t="shared" si="39"/>
        <v>-970</v>
      </c>
      <c r="N950" s="1">
        <v>0.3201</v>
      </c>
      <c r="O950" s="1">
        <v>90</v>
      </c>
      <c r="P950" s="24">
        <v>7.8200000000000006E-2</v>
      </c>
      <c r="Q950" s="31">
        <f>C950-N950</f>
        <v>5.9999999999998943E-4</v>
      </c>
      <c r="R950" s="41">
        <f>D950-O950</f>
        <v>0</v>
      </c>
      <c r="S950" s="41">
        <f>E950-P950</f>
        <v>-1.4999999999999999E-2</v>
      </c>
    </row>
    <row r="951" spans="1:19" x14ac:dyDescent="0.15">
      <c r="A951" s="1">
        <v>6</v>
      </c>
      <c r="B951" s="1">
        <v>12</v>
      </c>
      <c r="C951" s="10">
        <v>0.32069999999999999</v>
      </c>
      <c r="D951" s="5">
        <v>90</v>
      </c>
      <c r="E951" s="10">
        <v>6.8199999999999997E-2</v>
      </c>
      <c r="F951" s="5">
        <v>3820</v>
      </c>
      <c r="G951" s="5">
        <v>140</v>
      </c>
      <c r="I951" s="40">
        <f t="shared" si="37"/>
        <v>3820</v>
      </c>
      <c r="J951" s="40">
        <f t="shared" si="38"/>
        <v>140</v>
      </c>
      <c r="K951" s="1">
        <v>4790</v>
      </c>
      <c r="L951" s="1">
        <v>190</v>
      </c>
      <c r="M951">
        <f t="shared" si="39"/>
        <v>-1020</v>
      </c>
      <c r="N951" s="1">
        <v>0.3201</v>
      </c>
      <c r="O951" s="1">
        <v>90</v>
      </c>
      <c r="P951" s="24">
        <v>8.3199999999999996E-2</v>
      </c>
      <c r="Q951" s="31">
        <f>C951-N951</f>
        <v>5.9999999999998943E-4</v>
      </c>
      <c r="R951" s="41">
        <f>D951-O951</f>
        <v>0</v>
      </c>
      <c r="S951" s="41">
        <f>E951-P951</f>
        <v>-1.4999999999999999E-2</v>
      </c>
    </row>
    <row r="952" spans="1:19" x14ac:dyDescent="0.15">
      <c r="A952" s="1">
        <v>6</v>
      </c>
      <c r="B952" s="1">
        <v>12</v>
      </c>
      <c r="C952" s="10">
        <v>0.32069999999999999</v>
      </c>
      <c r="D952" s="5">
        <v>90</v>
      </c>
      <c r="E952" s="10">
        <v>7.3200000000000001E-2</v>
      </c>
      <c r="F952" s="5">
        <v>4190</v>
      </c>
      <c r="G952" s="5">
        <v>160</v>
      </c>
      <c r="I952" s="40">
        <f t="shared" si="37"/>
        <v>4190</v>
      </c>
      <c r="J952" s="40">
        <f t="shared" si="38"/>
        <v>160</v>
      </c>
      <c r="K952" s="1">
        <v>4970</v>
      </c>
      <c r="L952" s="1">
        <v>200</v>
      </c>
      <c r="M952">
        <f t="shared" si="39"/>
        <v>-820</v>
      </c>
      <c r="N952" s="1">
        <v>0.3201</v>
      </c>
      <c r="O952" s="1">
        <v>90</v>
      </c>
      <c r="P952" s="24">
        <v>8.8200000000000001E-2</v>
      </c>
      <c r="Q952" s="31">
        <f>C952-N952</f>
        <v>5.9999999999998943E-4</v>
      </c>
      <c r="R952" s="41">
        <f>D952-O952</f>
        <v>0</v>
      </c>
      <c r="S952" s="41">
        <f>E952-P952</f>
        <v>-1.4999999999999999E-2</v>
      </c>
    </row>
    <row r="953" spans="1:19" x14ac:dyDescent="0.15">
      <c r="A953" s="1">
        <v>6</v>
      </c>
      <c r="B953" s="1">
        <v>12</v>
      </c>
      <c r="C953" s="10">
        <v>0.32069999999999999</v>
      </c>
      <c r="D953" s="5">
        <v>90</v>
      </c>
      <c r="E953" s="10">
        <v>7.8200000000000006E-2</v>
      </c>
      <c r="F953" s="5">
        <v>4480</v>
      </c>
      <c r="G953" s="5">
        <v>170</v>
      </c>
      <c r="I953" s="40">
        <f t="shared" ref="I953:I1016" si="40">F953</f>
        <v>4480</v>
      </c>
      <c r="J953" s="40">
        <f t="shared" ref="J953:J1016" si="41">G953</f>
        <v>170</v>
      </c>
      <c r="K953" s="1">
        <v>5210</v>
      </c>
      <c r="L953" s="1">
        <v>210</v>
      </c>
      <c r="M953">
        <f t="shared" si="39"/>
        <v>-770</v>
      </c>
      <c r="N953" s="1">
        <v>0.3201</v>
      </c>
      <c r="O953" s="1">
        <v>90</v>
      </c>
      <c r="P953" s="24">
        <v>9.3200000000000005E-2</v>
      </c>
      <c r="Q953" s="31">
        <f>C953-N953</f>
        <v>5.9999999999998943E-4</v>
      </c>
      <c r="R953" s="41">
        <f>D953-O953</f>
        <v>0</v>
      </c>
      <c r="S953" s="41">
        <f>E953-P953</f>
        <v>-1.4999999999999999E-2</v>
      </c>
    </row>
    <row r="954" spans="1:19" x14ac:dyDescent="0.15">
      <c r="A954" s="1">
        <v>6</v>
      </c>
      <c r="B954" s="1">
        <v>12</v>
      </c>
      <c r="C954" s="10">
        <v>0.32069999999999999</v>
      </c>
      <c r="D954" s="5">
        <v>90</v>
      </c>
      <c r="E954" s="10">
        <v>8.3199999999999996E-2</v>
      </c>
      <c r="F954" s="5">
        <v>4790</v>
      </c>
      <c r="G954" s="5">
        <v>190</v>
      </c>
      <c r="I954" s="40">
        <f t="shared" si="40"/>
        <v>4790</v>
      </c>
      <c r="J954" s="40">
        <f t="shared" si="41"/>
        <v>190</v>
      </c>
      <c r="K954" s="1">
        <v>5330</v>
      </c>
      <c r="L954" s="1">
        <v>220</v>
      </c>
      <c r="M954">
        <f t="shared" si="39"/>
        <v>-570</v>
      </c>
      <c r="N954" s="1">
        <v>0.3201</v>
      </c>
      <c r="O954" s="1">
        <v>90</v>
      </c>
      <c r="P954" s="24">
        <v>9.8199999999999996E-2</v>
      </c>
      <c r="Q954" s="31">
        <f>C954-N954</f>
        <v>5.9999999999998943E-4</v>
      </c>
      <c r="R954" s="41">
        <f>D954-O954</f>
        <v>0</v>
      </c>
      <c r="S954" s="41">
        <f>E954-P954</f>
        <v>-1.4999999999999999E-2</v>
      </c>
    </row>
    <row r="955" spans="1:19" x14ac:dyDescent="0.15">
      <c r="A955" s="1">
        <v>6</v>
      </c>
      <c r="B955" s="1">
        <v>12</v>
      </c>
      <c r="C955" s="10">
        <v>0.32069999999999999</v>
      </c>
      <c r="D955" s="5">
        <v>90</v>
      </c>
      <c r="E955" s="10">
        <v>8.8200000000000001E-2</v>
      </c>
      <c r="F955" s="5">
        <v>4970</v>
      </c>
      <c r="G955" s="5">
        <v>200</v>
      </c>
      <c r="I955" s="40">
        <f t="shared" si="40"/>
        <v>4970</v>
      </c>
      <c r="J955" s="40">
        <f t="shared" si="41"/>
        <v>200</v>
      </c>
      <c r="K955" s="1">
        <v>5230</v>
      </c>
      <c r="L955" s="1">
        <v>220</v>
      </c>
      <c r="M955">
        <f t="shared" si="39"/>
        <v>-280</v>
      </c>
      <c r="N955" s="1">
        <v>0.3201</v>
      </c>
      <c r="O955" s="1">
        <v>90</v>
      </c>
      <c r="P955" s="24">
        <v>0.1032</v>
      </c>
      <c r="Q955" s="31">
        <f>C955-N955</f>
        <v>5.9999999999998943E-4</v>
      </c>
      <c r="R955" s="41">
        <f>D955-O955</f>
        <v>0</v>
      </c>
      <c r="S955" s="41">
        <f>E955-P955</f>
        <v>-1.4999999999999999E-2</v>
      </c>
    </row>
    <row r="956" spans="1:19" x14ac:dyDescent="0.15">
      <c r="A956" s="1">
        <v>6</v>
      </c>
      <c r="B956" s="1">
        <v>12</v>
      </c>
      <c r="C956" s="10">
        <v>0.32069999999999999</v>
      </c>
      <c r="D956" s="5">
        <v>90</v>
      </c>
      <c r="E956" s="10">
        <v>9.3200000000000005E-2</v>
      </c>
      <c r="F956" s="5">
        <v>5210</v>
      </c>
      <c r="G956" s="5">
        <v>210</v>
      </c>
      <c r="I956" s="40">
        <f t="shared" si="40"/>
        <v>5210</v>
      </c>
      <c r="J956" s="40">
        <f t="shared" si="41"/>
        <v>210</v>
      </c>
      <c r="K956" s="1">
        <v>5240</v>
      </c>
      <c r="L956" s="1">
        <v>220</v>
      </c>
      <c r="M956">
        <f t="shared" si="39"/>
        <v>-40</v>
      </c>
      <c r="N956" s="1">
        <v>0.3201</v>
      </c>
      <c r="O956" s="1">
        <v>90</v>
      </c>
      <c r="P956" s="24">
        <v>0.1082</v>
      </c>
      <c r="Q956" s="31">
        <f>C956-N956</f>
        <v>5.9999999999998943E-4</v>
      </c>
      <c r="R956" s="41">
        <f>D956-O956</f>
        <v>0</v>
      </c>
      <c r="S956" s="41">
        <f>E956-P956</f>
        <v>-1.4999999999999999E-2</v>
      </c>
    </row>
    <row r="957" spans="1:19" x14ac:dyDescent="0.15">
      <c r="A957" s="1">
        <v>6</v>
      </c>
      <c r="B957" s="1">
        <v>12</v>
      </c>
      <c r="C957" s="10">
        <v>0.32069999999999999</v>
      </c>
      <c r="D957" s="5">
        <v>90</v>
      </c>
      <c r="E957" s="10">
        <v>9.820000000000001E-2</v>
      </c>
      <c r="F957" s="5">
        <v>5330</v>
      </c>
      <c r="G957" s="5">
        <v>220</v>
      </c>
      <c r="I957" s="40">
        <f t="shared" si="40"/>
        <v>5330</v>
      </c>
      <c r="J957" s="40">
        <f t="shared" si="41"/>
        <v>220</v>
      </c>
      <c r="K957" s="1">
        <v>5030</v>
      </c>
      <c r="L957" s="1">
        <v>220</v>
      </c>
      <c r="M957">
        <f t="shared" si="39"/>
        <v>300</v>
      </c>
      <c r="N957" s="1">
        <v>0.3201</v>
      </c>
      <c r="O957" s="1">
        <v>90</v>
      </c>
      <c r="P957" s="24">
        <v>0.1132</v>
      </c>
      <c r="Q957" s="31">
        <f>C957-N957</f>
        <v>5.9999999999998943E-4</v>
      </c>
      <c r="R957" s="41">
        <f>D957-O957</f>
        <v>0</v>
      </c>
      <c r="S957" s="41">
        <f>E957-P957</f>
        <v>-1.4999999999999986E-2</v>
      </c>
    </row>
    <row r="958" spans="1:19" x14ac:dyDescent="0.15">
      <c r="A958" s="1">
        <v>6</v>
      </c>
      <c r="B958" s="1">
        <v>12</v>
      </c>
      <c r="C958" s="10">
        <v>0.32069999999999999</v>
      </c>
      <c r="D958" s="5">
        <v>90</v>
      </c>
      <c r="E958" s="10">
        <v>0.1032</v>
      </c>
      <c r="F958" s="5">
        <v>5230</v>
      </c>
      <c r="G958" s="5">
        <v>220</v>
      </c>
      <c r="I958" s="40">
        <f t="shared" si="40"/>
        <v>5230</v>
      </c>
      <c r="J958" s="40">
        <f t="shared" si="41"/>
        <v>220</v>
      </c>
      <c r="K958" s="1">
        <v>4750</v>
      </c>
      <c r="L958" s="1">
        <v>210</v>
      </c>
      <c r="M958">
        <f t="shared" si="39"/>
        <v>490</v>
      </c>
      <c r="N958" s="1">
        <v>0.3201</v>
      </c>
      <c r="O958" s="1">
        <v>90</v>
      </c>
      <c r="P958" s="24">
        <v>0.1182</v>
      </c>
      <c r="Q958" s="31">
        <f>C958-N958</f>
        <v>5.9999999999998943E-4</v>
      </c>
      <c r="R958" s="41">
        <f>D958-O958</f>
        <v>0</v>
      </c>
      <c r="S958" s="41">
        <f>E958-P958</f>
        <v>-1.4999999999999999E-2</v>
      </c>
    </row>
    <row r="959" spans="1:19" x14ac:dyDescent="0.15">
      <c r="A959" s="1">
        <v>6</v>
      </c>
      <c r="B959" s="1">
        <v>12</v>
      </c>
      <c r="C959" s="10">
        <v>0.32069999999999999</v>
      </c>
      <c r="D959" s="5">
        <v>90</v>
      </c>
      <c r="E959" s="10">
        <v>0.1082</v>
      </c>
      <c r="F959" s="5">
        <v>5240</v>
      </c>
      <c r="G959" s="5">
        <v>220</v>
      </c>
      <c r="I959" s="40">
        <f t="shared" si="40"/>
        <v>5240</v>
      </c>
      <c r="J959" s="40">
        <f t="shared" si="41"/>
        <v>220</v>
      </c>
      <c r="K959" s="1">
        <v>4410</v>
      </c>
      <c r="L959" s="1">
        <v>210</v>
      </c>
      <c r="M959">
        <f t="shared" si="39"/>
        <v>840</v>
      </c>
      <c r="N959" s="1">
        <v>0.3201</v>
      </c>
      <c r="O959" s="1">
        <v>90</v>
      </c>
      <c r="P959" s="24">
        <v>0.1232</v>
      </c>
      <c r="Q959" s="31">
        <f>C959-N959</f>
        <v>5.9999999999998943E-4</v>
      </c>
      <c r="R959" s="41">
        <f>D959-O959</f>
        <v>0</v>
      </c>
      <c r="S959" s="41">
        <f>E959-P959</f>
        <v>-1.4999999999999999E-2</v>
      </c>
    </row>
    <row r="960" spans="1:19" x14ac:dyDescent="0.15">
      <c r="A960" s="1">
        <v>6</v>
      </c>
      <c r="B960" s="1">
        <v>12</v>
      </c>
      <c r="C960" s="10">
        <v>0.32069999999999999</v>
      </c>
      <c r="D960" s="5">
        <v>90</v>
      </c>
      <c r="E960" s="10">
        <v>0.11320000000000001</v>
      </c>
      <c r="F960" s="5">
        <v>5030</v>
      </c>
      <c r="G960" s="5">
        <v>220</v>
      </c>
      <c r="I960" s="40">
        <f t="shared" si="40"/>
        <v>5030</v>
      </c>
      <c r="J960" s="40">
        <f t="shared" si="41"/>
        <v>220</v>
      </c>
      <c r="K960" s="1">
        <v>4130</v>
      </c>
      <c r="L960" s="1">
        <v>200</v>
      </c>
      <c r="M960">
        <f t="shared" si="39"/>
        <v>920</v>
      </c>
      <c r="N960" s="1">
        <v>0.3201</v>
      </c>
      <c r="O960" s="1">
        <v>90</v>
      </c>
      <c r="P960" s="24">
        <v>0.12820000000000001</v>
      </c>
      <c r="Q960" s="31">
        <f>C960-N960</f>
        <v>5.9999999999998943E-4</v>
      </c>
      <c r="R960" s="41">
        <f>D960-O960</f>
        <v>0</v>
      </c>
      <c r="S960" s="41">
        <f>E960-P960</f>
        <v>-1.4999999999999999E-2</v>
      </c>
    </row>
    <row r="961" spans="1:19" x14ac:dyDescent="0.15">
      <c r="A961" s="1">
        <v>6</v>
      </c>
      <c r="B961" s="1">
        <v>12</v>
      </c>
      <c r="C961" s="10">
        <v>0.32069999999999999</v>
      </c>
      <c r="D961" s="5">
        <v>90</v>
      </c>
      <c r="E961" s="10">
        <v>0.1182</v>
      </c>
      <c r="F961" s="5">
        <v>4750</v>
      </c>
      <c r="G961" s="5">
        <v>210</v>
      </c>
      <c r="I961" s="40">
        <f t="shared" si="40"/>
        <v>4750</v>
      </c>
      <c r="J961" s="40">
        <f t="shared" si="41"/>
        <v>210</v>
      </c>
      <c r="K961" s="1">
        <v>3760</v>
      </c>
      <c r="L961" s="1">
        <v>190</v>
      </c>
      <c r="M961">
        <f t="shared" si="39"/>
        <v>1010</v>
      </c>
      <c r="N961" s="1">
        <v>0.3201</v>
      </c>
      <c r="O961" s="1">
        <v>90</v>
      </c>
      <c r="P961" s="24">
        <v>0.13320000000000001</v>
      </c>
      <c r="Q961" s="31">
        <f>C961-N961</f>
        <v>5.9999999999998943E-4</v>
      </c>
      <c r="R961" s="41">
        <f>D961-O961</f>
        <v>0</v>
      </c>
      <c r="S961" s="41">
        <f>E961-P961</f>
        <v>-1.5000000000000013E-2</v>
      </c>
    </row>
    <row r="962" spans="1:19" x14ac:dyDescent="0.15">
      <c r="A962" s="1">
        <v>6</v>
      </c>
      <c r="B962" s="1">
        <v>12</v>
      </c>
      <c r="C962" s="10">
        <v>0.32069999999999999</v>
      </c>
      <c r="D962" s="5">
        <v>90</v>
      </c>
      <c r="E962" s="10">
        <v>0.1232</v>
      </c>
      <c r="F962" s="5">
        <v>4410</v>
      </c>
      <c r="G962" s="5">
        <v>210</v>
      </c>
      <c r="I962" s="40">
        <f t="shared" si="40"/>
        <v>4410</v>
      </c>
      <c r="J962" s="40">
        <f t="shared" si="41"/>
        <v>210</v>
      </c>
      <c r="K962" s="1">
        <v>3380</v>
      </c>
      <c r="L962" s="1">
        <v>180</v>
      </c>
      <c r="M962">
        <f t="shared" si="39"/>
        <v>1060</v>
      </c>
      <c r="N962" s="1">
        <v>0.3201</v>
      </c>
      <c r="O962" s="1">
        <v>90</v>
      </c>
      <c r="P962" s="24">
        <v>0.13819999999999999</v>
      </c>
      <c r="Q962" s="31">
        <f>C962-N962</f>
        <v>5.9999999999998943E-4</v>
      </c>
      <c r="R962" s="41">
        <f>D962-O962</f>
        <v>0</v>
      </c>
      <c r="S962" s="41">
        <f>E962-P962</f>
        <v>-1.4999999999999986E-2</v>
      </c>
    </row>
    <row r="963" spans="1:19" x14ac:dyDescent="0.15">
      <c r="A963" s="1">
        <v>6</v>
      </c>
      <c r="B963" s="1">
        <v>12</v>
      </c>
      <c r="C963" s="10">
        <v>0.32069999999999999</v>
      </c>
      <c r="D963" s="5">
        <v>90</v>
      </c>
      <c r="E963" s="10">
        <v>0.12819999999999998</v>
      </c>
      <c r="F963" s="5">
        <v>4130</v>
      </c>
      <c r="G963" s="5">
        <v>200</v>
      </c>
      <c r="I963" s="40">
        <f t="shared" si="40"/>
        <v>4130</v>
      </c>
      <c r="J963" s="40">
        <f t="shared" si="41"/>
        <v>200</v>
      </c>
      <c r="K963" s="1">
        <v>3040</v>
      </c>
      <c r="L963" s="1">
        <v>170</v>
      </c>
      <c r="M963">
        <f t="shared" ref="M963:M1026" si="42">I963+J963-K963-L963</f>
        <v>1120</v>
      </c>
      <c r="N963" s="1">
        <v>0.3201</v>
      </c>
      <c r="O963" s="1">
        <v>90</v>
      </c>
      <c r="P963" s="24">
        <v>0.14319999999999999</v>
      </c>
      <c r="Q963" s="31">
        <f>C963-N963</f>
        <v>5.9999999999998943E-4</v>
      </c>
      <c r="R963" s="41">
        <f>D963-O963</f>
        <v>0</v>
      </c>
      <c r="S963" s="41">
        <f>E963-P963</f>
        <v>-1.5000000000000013E-2</v>
      </c>
    </row>
    <row r="964" spans="1:19" x14ac:dyDescent="0.15">
      <c r="A964" s="1">
        <v>6</v>
      </c>
      <c r="B964" s="1">
        <v>12</v>
      </c>
      <c r="C964" s="10">
        <v>0.32069999999999999</v>
      </c>
      <c r="D964" s="5">
        <v>90</v>
      </c>
      <c r="E964" s="10">
        <v>0.13319999999999999</v>
      </c>
      <c r="F964" s="5">
        <v>3760</v>
      </c>
      <c r="G964" s="5">
        <v>190</v>
      </c>
      <c r="I964" s="40">
        <f t="shared" si="40"/>
        <v>3760</v>
      </c>
      <c r="J964" s="40">
        <f t="shared" si="41"/>
        <v>190</v>
      </c>
      <c r="K964" s="1">
        <v>2720</v>
      </c>
      <c r="L964" s="1">
        <v>160</v>
      </c>
      <c r="M964">
        <f t="shared" si="42"/>
        <v>1070</v>
      </c>
      <c r="N964" s="1">
        <v>0.3201</v>
      </c>
      <c r="O964" s="1">
        <v>90</v>
      </c>
      <c r="P964" s="24">
        <v>0.1482</v>
      </c>
      <c r="Q964" s="31">
        <f>C964-N964</f>
        <v>5.9999999999998943E-4</v>
      </c>
      <c r="R964" s="41">
        <f>D964-O964</f>
        <v>0</v>
      </c>
      <c r="S964" s="41">
        <f>E964-P964</f>
        <v>-1.5000000000000013E-2</v>
      </c>
    </row>
    <row r="965" spans="1:19" x14ac:dyDescent="0.15">
      <c r="A965" s="1">
        <v>6</v>
      </c>
      <c r="B965" s="1">
        <v>12</v>
      </c>
      <c r="C965" s="10">
        <v>0.32069999999999999</v>
      </c>
      <c r="D965" s="5">
        <v>90</v>
      </c>
      <c r="E965" s="10">
        <v>0.13819999999999999</v>
      </c>
      <c r="F965" s="5">
        <v>3380</v>
      </c>
      <c r="G965" s="5">
        <v>180</v>
      </c>
      <c r="I965" s="40">
        <f t="shared" si="40"/>
        <v>3380</v>
      </c>
      <c r="J965" s="40">
        <f t="shared" si="41"/>
        <v>180</v>
      </c>
      <c r="K965" s="1">
        <v>2470</v>
      </c>
      <c r="L965" s="1">
        <v>150</v>
      </c>
      <c r="M965">
        <f t="shared" si="42"/>
        <v>940</v>
      </c>
      <c r="N965" s="1">
        <v>0.3201</v>
      </c>
      <c r="O965" s="1">
        <v>90</v>
      </c>
      <c r="P965" s="24">
        <v>0.1532</v>
      </c>
      <c r="Q965" s="31">
        <f>C965-N965</f>
        <v>5.9999999999998943E-4</v>
      </c>
      <c r="R965" s="41">
        <f>D965-O965</f>
        <v>0</v>
      </c>
      <c r="S965" s="41">
        <f>E965-P965</f>
        <v>-1.5000000000000013E-2</v>
      </c>
    </row>
    <row r="966" spans="1:19" x14ac:dyDescent="0.15">
      <c r="A966" s="1">
        <v>6</v>
      </c>
      <c r="B966" s="1">
        <v>12</v>
      </c>
      <c r="C966" s="10">
        <v>0.32069999999999999</v>
      </c>
      <c r="D966" s="5">
        <v>90</v>
      </c>
      <c r="E966" s="10">
        <v>0.14319999999999999</v>
      </c>
      <c r="F966" s="5">
        <v>3040</v>
      </c>
      <c r="G966" s="5">
        <v>170</v>
      </c>
      <c r="I966" s="40">
        <f t="shared" si="40"/>
        <v>3040</v>
      </c>
      <c r="J966" s="40">
        <f t="shared" si="41"/>
        <v>170</v>
      </c>
      <c r="K966" s="1">
        <v>2190</v>
      </c>
      <c r="L966" s="1">
        <v>150</v>
      </c>
      <c r="M966">
        <f t="shared" si="42"/>
        <v>870</v>
      </c>
      <c r="N966" s="1">
        <v>0.3201</v>
      </c>
      <c r="O966" s="1">
        <v>90</v>
      </c>
      <c r="P966" s="24">
        <v>0.15820000000000001</v>
      </c>
      <c r="Q966" s="31">
        <f>C966-N966</f>
        <v>5.9999999999998943E-4</v>
      </c>
      <c r="R966" s="41">
        <f>D966-O966</f>
        <v>0</v>
      </c>
      <c r="S966" s="41">
        <f>E966-P966</f>
        <v>-1.5000000000000013E-2</v>
      </c>
    </row>
    <row r="967" spans="1:19" x14ac:dyDescent="0.15">
      <c r="A967" s="1">
        <v>6</v>
      </c>
      <c r="B967" s="1">
        <v>12</v>
      </c>
      <c r="C967" s="10">
        <v>0.32069999999999999</v>
      </c>
      <c r="D967" s="5">
        <v>90</v>
      </c>
      <c r="E967" s="10">
        <v>0.1482</v>
      </c>
      <c r="F967" s="5">
        <v>2720</v>
      </c>
      <c r="G967" s="5">
        <v>160</v>
      </c>
      <c r="I967" s="40">
        <f t="shared" si="40"/>
        <v>2720</v>
      </c>
      <c r="J967" s="40">
        <f t="shared" si="41"/>
        <v>160</v>
      </c>
      <c r="K967" s="1">
        <v>2040</v>
      </c>
      <c r="L967" s="1">
        <v>150</v>
      </c>
      <c r="M967">
        <f t="shared" si="42"/>
        <v>690</v>
      </c>
      <c r="N967" s="1">
        <v>0.3201</v>
      </c>
      <c r="O967" s="1">
        <v>90</v>
      </c>
      <c r="P967" s="24">
        <v>0.16320000000000001</v>
      </c>
      <c r="Q967" s="31">
        <f>C967-N967</f>
        <v>5.9999999999998943E-4</v>
      </c>
      <c r="R967" s="41">
        <f>D967-O967</f>
        <v>0</v>
      </c>
      <c r="S967" s="41">
        <f>E967-P967</f>
        <v>-1.5000000000000013E-2</v>
      </c>
    </row>
    <row r="968" spans="1:19" x14ac:dyDescent="0.15">
      <c r="A968" s="1">
        <v>6</v>
      </c>
      <c r="B968" s="1">
        <v>12</v>
      </c>
      <c r="C968" s="10">
        <v>0.32069999999999999</v>
      </c>
      <c r="D968" s="5">
        <v>90</v>
      </c>
      <c r="E968" s="10">
        <v>0.15319999999999998</v>
      </c>
      <c r="F968" s="5">
        <v>2470</v>
      </c>
      <c r="G968" s="5">
        <v>150</v>
      </c>
      <c r="I968" s="40">
        <f t="shared" si="40"/>
        <v>2470</v>
      </c>
      <c r="J968" s="40">
        <f t="shared" si="41"/>
        <v>150</v>
      </c>
      <c r="K968" s="1">
        <v>1800</v>
      </c>
      <c r="L968" s="1">
        <v>140</v>
      </c>
      <c r="M968">
        <f t="shared" si="42"/>
        <v>680</v>
      </c>
      <c r="N968" s="1">
        <v>0.3201</v>
      </c>
      <c r="O968" s="1">
        <v>90</v>
      </c>
      <c r="P968" s="24">
        <v>0.16819999999999999</v>
      </c>
      <c r="Q968" s="31">
        <f>C968-N968</f>
        <v>5.9999999999998943E-4</v>
      </c>
      <c r="R968" s="41">
        <f>D968-O968</f>
        <v>0</v>
      </c>
      <c r="S968" s="41">
        <f>E968-P968</f>
        <v>-1.5000000000000013E-2</v>
      </c>
    </row>
    <row r="969" spans="1:19" x14ac:dyDescent="0.15">
      <c r="A969" s="1">
        <v>6</v>
      </c>
      <c r="B969" s="1">
        <v>12</v>
      </c>
      <c r="C969" s="10">
        <v>0.32069999999999999</v>
      </c>
      <c r="D969" s="5">
        <v>90</v>
      </c>
      <c r="E969" s="10">
        <v>0.15819999999999998</v>
      </c>
      <c r="F969" s="5">
        <v>2190</v>
      </c>
      <c r="G969" s="5">
        <v>150</v>
      </c>
      <c r="I969" s="40">
        <f t="shared" si="40"/>
        <v>2190</v>
      </c>
      <c r="J969" s="40">
        <f t="shared" si="41"/>
        <v>150</v>
      </c>
      <c r="K969" s="1">
        <v>1690</v>
      </c>
      <c r="L969" s="1">
        <v>140</v>
      </c>
      <c r="M969">
        <f t="shared" si="42"/>
        <v>510</v>
      </c>
      <c r="N969" s="1">
        <v>0.3201</v>
      </c>
      <c r="O969" s="1">
        <v>90</v>
      </c>
      <c r="P969" s="24">
        <v>0.17319999999999999</v>
      </c>
      <c r="Q969" s="31">
        <f>C969-N969</f>
        <v>5.9999999999998943E-4</v>
      </c>
      <c r="R969" s="41">
        <f>D969-O969</f>
        <v>0</v>
      </c>
      <c r="S969" s="41">
        <f>E969-P969</f>
        <v>-1.5000000000000013E-2</v>
      </c>
    </row>
    <row r="970" spans="1:19" x14ac:dyDescent="0.15">
      <c r="A970" s="1">
        <v>6</v>
      </c>
      <c r="B970" s="1">
        <v>12</v>
      </c>
      <c r="C970" s="10">
        <v>0.32069999999999999</v>
      </c>
      <c r="D970" s="5">
        <v>90</v>
      </c>
      <c r="E970" s="10">
        <v>0.16319999999999998</v>
      </c>
      <c r="F970" s="5">
        <v>2040</v>
      </c>
      <c r="G970" s="5">
        <v>150</v>
      </c>
      <c r="I970" s="40">
        <f t="shared" si="40"/>
        <v>2040</v>
      </c>
      <c r="J970" s="40">
        <f t="shared" si="41"/>
        <v>150</v>
      </c>
      <c r="K970" s="1">
        <v>1620</v>
      </c>
      <c r="L970" s="1">
        <v>140</v>
      </c>
      <c r="M970">
        <f t="shared" si="42"/>
        <v>430</v>
      </c>
      <c r="N970" s="1">
        <v>0.3201</v>
      </c>
      <c r="O970" s="1">
        <v>90</v>
      </c>
      <c r="P970" s="24">
        <v>0.1782</v>
      </c>
      <c r="Q970" s="31">
        <f>C970-N970</f>
        <v>5.9999999999998943E-4</v>
      </c>
      <c r="R970" s="41">
        <f>D970-O970</f>
        <v>0</v>
      </c>
      <c r="S970" s="41">
        <f>E970-P970</f>
        <v>-1.5000000000000013E-2</v>
      </c>
    </row>
    <row r="971" spans="1:19" x14ac:dyDescent="0.15">
      <c r="A971" s="1">
        <v>6</v>
      </c>
      <c r="B971" s="1">
        <v>12</v>
      </c>
      <c r="C971" s="10">
        <v>0.32069999999999999</v>
      </c>
      <c r="D971" s="5">
        <v>90</v>
      </c>
      <c r="E971" s="10">
        <v>0.16819999999999999</v>
      </c>
      <c r="F971" s="5">
        <v>1800</v>
      </c>
      <c r="G971" s="5">
        <v>140</v>
      </c>
      <c r="I971" s="40">
        <f t="shared" si="40"/>
        <v>1800</v>
      </c>
      <c r="J971" s="40">
        <f t="shared" si="41"/>
        <v>140</v>
      </c>
      <c r="K971" s="1">
        <v>1510</v>
      </c>
      <c r="L971" s="1">
        <v>150</v>
      </c>
      <c r="M971">
        <f t="shared" si="42"/>
        <v>280</v>
      </c>
      <c r="N971" s="1">
        <v>0.3201</v>
      </c>
      <c r="O971" s="1">
        <v>90</v>
      </c>
      <c r="P971" s="24">
        <v>0.1832</v>
      </c>
      <c r="Q971" s="31">
        <f>C971-N971</f>
        <v>5.9999999999998943E-4</v>
      </c>
      <c r="R971" s="41">
        <f>D971-O971</f>
        <v>0</v>
      </c>
      <c r="S971" s="41">
        <f>E971-P971</f>
        <v>-1.5000000000000013E-2</v>
      </c>
    </row>
    <row r="972" spans="1:19" x14ac:dyDescent="0.15">
      <c r="A972" s="1">
        <v>6</v>
      </c>
      <c r="B972" s="1">
        <v>12</v>
      </c>
      <c r="C972" s="10">
        <v>0.32069999999999999</v>
      </c>
      <c r="D972" s="5">
        <v>90</v>
      </c>
      <c r="E972" s="10">
        <v>0.17319999999999999</v>
      </c>
      <c r="F972" s="5">
        <v>1690</v>
      </c>
      <c r="G972" s="5">
        <v>140</v>
      </c>
      <c r="I972" s="40">
        <f t="shared" si="40"/>
        <v>1690</v>
      </c>
      <c r="J972" s="40">
        <f t="shared" si="41"/>
        <v>140</v>
      </c>
      <c r="K972" s="1">
        <v>1500</v>
      </c>
      <c r="L972" s="1">
        <v>160</v>
      </c>
      <c r="M972">
        <f t="shared" si="42"/>
        <v>170</v>
      </c>
      <c r="N972" s="1">
        <v>0.3201</v>
      </c>
      <c r="O972" s="1">
        <v>90</v>
      </c>
      <c r="P972" s="24">
        <v>0.18820000000000001</v>
      </c>
      <c r="Q972" s="31">
        <f>C972-N972</f>
        <v>5.9999999999998943E-4</v>
      </c>
      <c r="R972" s="41">
        <f>D972-O972</f>
        <v>0</v>
      </c>
      <c r="S972" s="41">
        <f>E972-P972</f>
        <v>-1.5000000000000013E-2</v>
      </c>
    </row>
    <row r="973" spans="1:19" x14ac:dyDescent="0.15">
      <c r="A973" s="1">
        <v>6</v>
      </c>
      <c r="B973" s="1">
        <v>12</v>
      </c>
      <c r="C973" s="10">
        <v>0.32069999999999999</v>
      </c>
      <c r="D973" s="5">
        <v>90</v>
      </c>
      <c r="E973" s="10">
        <v>0.1782</v>
      </c>
      <c r="F973" s="5">
        <v>1620</v>
      </c>
      <c r="G973" s="5">
        <v>140</v>
      </c>
      <c r="I973" s="40">
        <f t="shared" si="40"/>
        <v>1620</v>
      </c>
      <c r="J973" s="40">
        <f t="shared" si="41"/>
        <v>140</v>
      </c>
      <c r="K973" s="1">
        <v>1510</v>
      </c>
      <c r="L973" s="1">
        <v>160</v>
      </c>
      <c r="M973">
        <f t="shared" si="42"/>
        <v>90</v>
      </c>
      <c r="N973" s="1">
        <v>0.3201</v>
      </c>
      <c r="O973" s="1">
        <v>90</v>
      </c>
      <c r="P973" s="24">
        <v>0.19320000000000001</v>
      </c>
      <c r="Q973" s="31">
        <f>C973-N973</f>
        <v>5.9999999999998943E-4</v>
      </c>
      <c r="R973" s="41">
        <f>D973-O973</f>
        <v>0</v>
      </c>
      <c r="S973" s="41">
        <f>E973-P973</f>
        <v>-1.5000000000000013E-2</v>
      </c>
    </row>
    <row r="974" spans="1:19" x14ac:dyDescent="0.15">
      <c r="A974" s="1">
        <v>6</v>
      </c>
      <c r="B974" s="1">
        <v>12</v>
      </c>
      <c r="C974" s="10">
        <v>0.32069999999999999</v>
      </c>
      <c r="D974" s="5">
        <v>90</v>
      </c>
      <c r="E974" s="10">
        <v>0.1832</v>
      </c>
      <c r="F974" s="5">
        <v>1510</v>
      </c>
      <c r="G974" s="5">
        <v>150</v>
      </c>
      <c r="I974" s="40">
        <f t="shared" si="40"/>
        <v>1510</v>
      </c>
      <c r="J974" s="40">
        <f t="shared" si="41"/>
        <v>150</v>
      </c>
      <c r="K974" s="1">
        <v>1450</v>
      </c>
      <c r="L974" s="1">
        <v>170</v>
      </c>
      <c r="M974">
        <f t="shared" si="42"/>
        <v>40</v>
      </c>
      <c r="N974" s="1">
        <v>0.3201</v>
      </c>
      <c r="O974" s="1">
        <v>90</v>
      </c>
      <c r="P974" s="24">
        <v>0.19819999999999999</v>
      </c>
      <c r="Q974" s="31">
        <f>C974-N974</f>
        <v>5.9999999999998943E-4</v>
      </c>
      <c r="R974" s="41">
        <f>D974-O974</f>
        <v>0</v>
      </c>
      <c r="S974" s="41">
        <f>E974-P974</f>
        <v>-1.4999999999999986E-2</v>
      </c>
    </row>
    <row r="975" spans="1:19" x14ac:dyDescent="0.15">
      <c r="A975" s="1">
        <v>6</v>
      </c>
      <c r="B975" s="1">
        <v>12</v>
      </c>
      <c r="C975" s="10">
        <v>0.32069999999999999</v>
      </c>
      <c r="D975" s="5">
        <v>90</v>
      </c>
      <c r="E975" s="10">
        <v>0.18819999999999998</v>
      </c>
      <c r="F975" s="5">
        <v>1500</v>
      </c>
      <c r="G975" s="5">
        <v>160</v>
      </c>
      <c r="I975" s="40">
        <f t="shared" si="40"/>
        <v>1500</v>
      </c>
      <c r="J975" s="40">
        <f t="shared" si="41"/>
        <v>160</v>
      </c>
      <c r="K975" s="1">
        <v>1500</v>
      </c>
      <c r="L975" s="1">
        <v>190</v>
      </c>
      <c r="M975">
        <f t="shared" si="42"/>
        <v>-30</v>
      </c>
      <c r="N975" s="1">
        <v>0.3201</v>
      </c>
      <c r="O975" s="1">
        <v>90</v>
      </c>
      <c r="P975" s="24">
        <v>0.20319999999999999</v>
      </c>
      <c r="Q975" s="31">
        <f>C975-N975</f>
        <v>5.9999999999998943E-4</v>
      </c>
      <c r="R975" s="41">
        <f>D975-O975</f>
        <v>0</v>
      </c>
      <c r="S975" s="41">
        <f>E975-P975</f>
        <v>-1.5000000000000013E-2</v>
      </c>
    </row>
    <row r="976" spans="1:19" x14ac:dyDescent="0.15">
      <c r="A976" s="1">
        <v>6</v>
      </c>
      <c r="B976" s="1">
        <v>12</v>
      </c>
      <c r="C976" s="10">
        <v>0.32069999999999999</v>
      </c>
      <c r="D976" s="5">
        <v>90</v>
      </c>
      <c r="E976" s="10">
        <v>0.19319999999999998</v>
      </c>
      <c r="F976" s="5">
        <v>1510</v>
      </c>
      <c r="G976" s="5">
        <v>160</v>
      </c>
      <c r="I976" s="40">
        <f t="shared" si="40"/>
        <v>1510</v>
      </c>
      <c r="J976" s="40">
        <f t="shared" si="41"/>
        <v>160</v>
      </c>
      <c r="K976" s="1">
        <v>1520</v>
      </c>
      <c r="L976" s="1">
        <v>210</v>
      </c>
      <c r="M976">
        <f t="shared" si="42"/>
        <v>-60</v>
      </c>
      <c r="N976" s="1">
        <v>0.3201</v>
      </c>
      <c r="O976" s="1">
        <v>90</v>
      </c>
      <c r="P976" s="24">
        <v>0.2082</v>
      </c>
      <c r="Q976" s="31">
        <f>C976-N976</f>
        <v>5.9999999999998943E-4</v>
      </c>
      <c r="R976" s="41">
        <f>D976-O976</f>
        <v>0</v>
      </c>
      <c r="S976" s="41">
        <f>E976-P976</f>
        <v>-1.5000000000000013E-2</v>
      </c>
    </row>
    <row r="977" spans="1:19" x14ac:dyDescent="0.15">
      <c r="A977" s="1">
        <v>6</v>
      </c>
      <c r="B977" s="1">
        <v>12</v>
      </c>
      <c r="C977" s="10">
        <v>0.32069999999999999</v>
      </c>
      <c r="D977" s="5">
        <v>90</v>
      </c>
      <c r="E977" s="10">
        <v>0.19819999999999999</v>
      </c>
      <c r="F977" s="5">
        <v>1450</v>
      </c>
      <c r="G977" s="5">
        <v>170</v>
      </c>
      <c r="I977" s="40">
        <f t="shared" si="40"/>
        <v>1450</v>
      </c>
      <c r="J977" s="40">
        <f t="shared" si="41"/>
        <v>170</v>
      </c>
      <c r="K977" s="1">
        <v>1550</v>
      </c>
      <c r="L977" s="1">
        <v>230</v>
      </c>
      <c r="M977">
        <f t="shared" si="42"/>
        <v>-160</v>
      </c>
      <c r="N977" s="1">
        <v>0.3201</v>
      </c>
      <c r="O977" s="1">
        <v>90</v>
      </c>
      <c r="P977" s="24">
        <v>0.2132</v>
      </c>
      <c r="Q977" s="31">
        <f>C977-N977</f>
        <v>5.9999999999998943E-4</v>
      </c>
      <c r="R977" s="41">
        <f>D977-O977</f>
        <v>0</v>
      </c>
      <c r="S977" s="41">
        <f>E977-P977</f>
        <v>-1.5000000000000013E-2</v>
      </c>
    </row>
    <row r="978" spans="1:19" ht="14" thickBot="1" x14ac:dyDescent="0.2">
      <c r="A978" s="1">
        <v>6</v>
      </c>
      <c r="B978" s="1">
        <v>12</v>
      </c>
      <c r="C978" s="10">
        <v>0.32069999999999999</v>
      </c>
      <c r="D978" s="5">
        <v>90</v>
      </c>
      <c r="E978" s="10">
        <v>0.20319999999999999</v>
      </c>
      <c r="F978" s="5">
        <v>1500</v>
      </c>
      <c r="G978" s="5">
        <v>190</v>
      </c>
      <c r="I978" s="40">
        <f t="shared" si="40"/>
        <v>1500</v>
      </c>
      <c r="J978" s="40">
        <f t="shared" si="41"/>
        <v>190</v>
      </c>
      <c r="K978" s="1">
        <v>1660</v>
      </c>
      <c r="L978" s="1">
        <v>260</v>
      </c>
      <c r="M978">
        <f t="shared" si="42"/>
        <v>-230</v>
      </c>
      <c r="N978" s="1">
        <v>0.3201</v>
      </c>
      <c r="O978" s="1">
        <v>90</v>
      </c>
      <c r="P978" s="44">
        <v>0.21820000000000001</v>
      </c>
      <c r="Q978" s="31">
        <f>C978-N978</f>
        <v>5.9999999999998943E-4</v>
      </c>
      <c r="R978" s="41">
        <f>D978-O978</f>
        <v>0</v>
      </c>
      <c r="S978" s="41">
        <f>E978-P978</f>
        <v>-1.5000000000000013E-2</v>
      </c>
    </row>
    <row r="979" spans="1:19" ht="14" thickTop="1" x14ac:dyDescent="0.15">
      <c r="A979" s="1">
        <v>6</v>
      </c>
      <c r="B979" s="1">
        <v>12</v>
      </c>
      <c r="C979" s="10">
        <v>0.32069999999999999</v>
      </c>
      <c r="D979" s="5">
        <v>90</v>
      </c>
      <c r="E979" s="10">
        <v>0.2082</v>
      </c>
      <c r="F979" s="5">
        <v>1520</v>
      </c>
      <c r="G979" s="5">
        <v>210</v>
      </c>
      <c r="I979" s="40">
        <f t="shared" si="40"/>
        <v>1520</v>
      </c>
      <c r="J979" s="40">
        <f t="shared" si="41"/>
        <v>210</v>
      </c>
      <c r="K979" s="1">
        <v>140</v>
      </c>
      <c r="L979" s="1">
        <v>20</v>
      </c>
      <c r="M979">
        <f t="shared" si="42"/>
        <v>1570</v>
      </c>
      <c r="N979" s="1">
        <v>0.28010000000000002</v>
      </c>
      <c r="O979" s="1">
        <v>90</v>
      </c>
      <c r="P979" s="24">
        <v>7.6E-3</v>
      </c>
      <c r="Q979" s="31">
        <f>C979-N979</f>
        <v>4.0599999999999969E-2</v>
      </c>
      <c r="R979" s="41">
        <f>D979-O979</f>
        <v>0</v>
      </c>
      <c r="S979" s="41">
        <f>E979-P979</f>
        <v>0.2006</v>
      </c>
    </row>
    <row r="980" spans="1:19" x14ac:dyDescent="0.15">
      <c r="A980" s="1">
        <v>6</v>
      </c>
      <c r="B980" s="1">
        <v>12</v>
      </c>
      <c r="C980" s="10">
        <v>0.32069999999999999</v>
      </c>
      <c r="D980" s="5">
        <v>90</v>
      </c>
      <c r="E980" s="10">
        <v>0.2132</v>
      </c>
      <c r="F980" s="5">
        <v>1550</v>
      </c>
      <c r="G980" s="5">
        <v>230</v>
      </c>
      <c r="I980" s="40">
        <f t="shared" si="40"/>
        <v>1550</v>
      </c>
      <c r="J980" s="40">
        <f t="shared" si="41"/>
        <v>230</v>
      </c>
      <c r="K980" s="1">
        <v>1540</v>
      </c>
      <c r="L980" s="1">
        <v>70</v>
      </c>
      <c r="M980">
        <f t="shared" si="42"/>
        <v>170</v>
      </c>
      <c r="N980" s="1">
        <v>0.28010000000000002</v>
      </c>
      <c r="O980" s="1">
        <v>90</v>
      </c>
      <c r="P980" s="24">
        <v>1.26E-2</v>
      </c>
      <c r="Q980" s="31">
        <f>C980-N980</f>
        <v>4.0599999999999969E-2</v>
      </c>
      <c r="R980" s="41">
        <f>D980-O980</f>
        <v>0</v>
      </c>
      <c r="S980" s="41">
        <f>E980-P980</f>
        <v>0.2006</v>
      </c>
    </row>
    <row r="981" spans="1:19" x14ac:dyDescent="0.15">
      <c r="A981" s="1">
        <v>6</v>
      </c>
      <c r="B981" s="1">
        <v>12</v>
      </c>
      <c r="C981" s="10">
        <v>0.32069999999999999</v>
      </c>
      <c r="D981" s="5">
        <v>90</v>
      </c>
      <c r="E981" s="10">
        <v>0.21819999999999998</v>
      </c>
      <c r="F981" s="5">
        <v>1660</v>
      </c>
      <c r="G981" s="5">
        <v>260</v>
      </c>
      <c r="I981" s="40">
        <f t="shared" si="40"/>
        <v>1660</v>
      </c>
      <c r="J981" s="40">
        <f t="shared" si="41"/>
        <v>260</v>
      </c>
      <c r="K981" s="1">
        <v>930</v>
      </c>
      <c r="L981" s="1">
        <v>60</v>
      </c>
      <c r="M981">
        <f t="shared" si="42"/>
        <v>930</v>
      </c>
      <c r="N981" s="1">
        <v>0.28010000000000002</v>
      </c>
      <c r="O981" s="1">
        <v>90</v>
      </c>
      <c r="P981" s="24">
        <v>1.7600000000000001E-2</v>
      </c>
      <c r="Q981" s="31">
        <f>C981-N981</f>
        <v>4.0599999999999969E-2</v>
      </c>
      <c r="R981" s="41">
        <f>D981-O981</f>
        <v>0</v>
      </c>
      <c r="S981" s="41">
        <f>E981-P981</f>
        <v>0.20059999999999997</v>
      </c>
    </row>
    <row r="982" spans="1:19" x14ac:dyDescent="0.15">
      <c r="A982" s="1">
        <v>6</v>
      </c>
      <c r="B982" s="1">
        <v>12</v>
      </c>
      <c r="C982" s="10">
        <v>0.28010000000000002</v>
      </c>
      <c r="D982" s="5">
        <v>90</v>
      </c>
      <c r="E982" s="10">
        <v>7.6E-3</v>
      </c>
      <c r="F982" s="5">
        <v>140</v>
      </c>
      <c r="G982" s="5">
        <v>20</v>
      </c>
      <c r="I982" s="40">
        <f t="shared" si="40"/>
        <v>140</v>
      </c>
      <c r="J982" s="40">
        <f t="shared" si="41"/>
        <v>20</v>
      </c>
      <c r="K982" s="1">
        <v>1910</v>
      </c>
      <c r="L982" s="1">
        <v>70</v>
      </c>
      <c r="M982">
        <f t="shared" si="42"/>
        <v>-1820</v>
      </c>
      <c r="N982" s="1">
        <v>0.28010000000000002</v>
      </c>
      <c r="O982" s="1">
        <v>90</v>
      </c>
      <c r="P982" s="24">
        <v>2.2599999999999999E-2</v>
      </c>
      <c r="Q982" s="31">
        <f>C982-N982</f>
        <v>0</v>
      </c>
      <c r="R982" s="41">
        <f>D982-O982</f>
        <v>0</v>
      </c>
      <c r="S982" s="41">
        <f>E982-P982</f>
        <v>-1.4999999999999999E-2</v>
      </c>
    </row>
    <row r="983" spans="1:19" x14ac:dyDescent="0.15">
      <c r="A983" s="1">
        <v>6</v>
      </c>
      <c r="B983" s="1">
        <v>12</v>
      </c>
      <c r="C983" s="10">
        <v>0.28010000000000002</v>
      </c>
      <c r="D983" s="5">
        <v>90</v>
      </c>
      <c r="E983" s="10">
        <v>1.26E-2</v>
      </c>
      <c r="F983" s="5">
        <v>1540</v>
      </c>
      <c r="G983" s="5">
        <v>70</v>
      </c>
      <c r="I983" s="40">
        <f t="shared" si="40"/>
        <v>1540</v>
      </c>
      <c r="J983" s="40">
        <f t="shared" si="41"/>
        <v>70</v>
      </c>
      <c r="K983" s="1">
        <v>3320</v>
      </c>
      <c r="L983" s="1">
        <v>110</v>
      </c>
      <c r="M983">
        <f t="shared" si="42"/>
        <v>-1820</v>
      </c>
      <c r="N983" s="1">
        <v>0.28010000000000002</v>
      </c>
      <c r="O983" s="1">
        <v>90</v>
      </c>
      <c r="P983" s="24">
        <v>2.76E-2</v>
      </c>
      <c r="Q983" s="31">
        <f>C983-N983</f>
        <v>0</v>
      </c>
      <c r="R983" s="41">
        <f>D983-O983</f>
        <v>0</v>
      </c>
      <c r="S983" s="41">
        <f>E983-P983</f>
        <v>-1.4999999999999999E-2</v>
      </c>
    </row>
    <row r="984" spans="1:19" x14ac:dyDescent="0.15">
      <c r="A984" s="1">
        <v>6</v>
      </c>
      <c r="B984" s="1">
        <v>12</v>
      </c>
      <c r="C984" s="10">
        <v>0.28010000000000002</v>
      </c>
      <c r="D984" s="5">
        <v>90</v>
      </c>
      <c r="E984" s="10">
        <v>1.7600000000000001E-2</v>
      </c>
      <c r="F984" s="5">
        <v>930</v>
      </c>
      <c r="G984" s="5">
        <v>60</v>
      </c>
      <c r="I984" s="40">
        <f t="shared" si="40"/>
        <v>930</v>
      </c>
      <c r="J984" s="40">
        <f t="shared" si="41"/>
        <v>60</v>
      </c>
      <c r="K984" s="1">
        <v>2840</v>
      </c>
      <c r="L984" s="1">
        <v>100</v>
      </c>
      <c r="M984">
        <f t="shared" si="42"/>
        <v>-1950</v>
      </c>
      <c r="N984" s="1">
        <v>0.28010000000000002</v>
      </c>
      <c r="O984" s="1">
        <v>90</v>
      </c>
      <c r="P984" s="24">
        <v>3.2599999999999997E-2</v>
      </c>
      <c r="Q984" s="31">
        <f>C984-N984</f>
        <v>0</v>
      </c>
      <c r="R984" s="41">
        <f>D984-O984</f>
        <v>0</v>
      </c>
      <c r="S984" s="41">
        <f>E984-P984</f>
        <v>-1.4999999999999996E-2</v>
      </c>
    </row>
    <row r="985" spans="1:19" x14ac:dyDescent="0.15">
      <c r="A985" s="1">
        <v>6</v>
      </c>
      <c r="B985" s="1">
        <v>12</v>
      </c>
      <c r="C985" s="10">
        <v>0.28010000000000002</v>
      </c>
      <c r="D985" s="5">
        <v>90</v>
      </c>
      <c r="E985" s="10">
        <v>2.2600000000000002E-2</v>
      </c>
      <c r="F985" s="5">
        <v>1910</v>
      </c>
      <c r="G985" s="5">
        <v>70</v>
      </c>
      <c r="I985" s="40">
        <f t="shared" si="40"/>
        <v>1910</v>
      </c>
      <c r="J985" s="40">
        <f t="shared" si="41"/>
        <v>70</v>
      </c>
      <c r="K985" s="1">
        <v>3580</v>
      </c>
      <c r="L985" s="1">
        <v>140</v>
      </c>
      <c r="M985">
        <f t="shared" si="42"/>
        <v>-1740</v>
      </c>
      <c r="N985" s="1">
        <v>0.28010000000000002</v>
      </c>
      <c r="O985" s="1">
        <v>90</v>
      </c>
      <c r="P985" s="24">
        <v>3.7600000000000001E-2</v>
      </c>
      <c r="Q985" s="31">
        <f>C985-N985</f>
        <v>0</v>
      </c>
      <c r="R985" s="41">
        <f>D985-O985</f>
        <v>0</v>
      </c>
      <c r="S985" s="41">
        <f>E985-P985</f>
        <v>-1.4999999999999999E-2</v>
      </c>
    </row>
    <row r="986" spans="1:19" x14ac:dyDescent="0.15">
      <c r="A986" s="1">
        <v>6</v>
      </c>
      <c r="B986" s="1">
        <v>12</v>
      </c>
      <c r="C986" s="10">
        <v>0.28010000000000002</v>
      </c>
      <c r="D986" s="5">
        <v>90</v>
      </c>
      <c r="E986" s="10">
        <v>2.7600000000000003E-2</v>
      </c>
      <c r="F986" s="5">
        <v>3320</v>
      </c>
      <c r="G986" s="5">
        <v>110</v>
      </c>
      <c r="I986" s="40">
        <f t="shared" si="40"/>
        <v>3320</v>
      </c>
      <c r="J986" s="40">
        <f t="shared" si="41"/>
        <v>110</v>
      </c>
      <c r="K986" s="1">
        <v>3960</v>
      </c>
      <c r="L986" s="1">
        <v>130</v>
      </c>
      <c r="M986">
        <f t="shared" si="42"/>
        <v>-660</v>
      </c>
      <c r="N986" s="1">
        <v>0.28010000000000002</v>
      </c>
      <c r="O986" s="1">
        <v>90</v>
      </c>
      <c r="P986" s="24">
        <v>4.2599999999999999E-2</v>
      </c>
      <c r="Q986" s="31">
        <f>C986-N986</f>
        <v>0</v>
      </c>
      <c r="R986" s="41">
        <f>D986-O986</f>
        <v>0</v>
      </c>
      <c r="S986" s="41">
        <f>E986-P986</f>
        <v>-1.4999999999999996E-2</v>
      </c>
    </row>
    <row r="987" spans="1:19" x14ac:dyDescent="0.15">
      <c r="A987" s="1">
        <v>6</v>
      </c>
      <c r="B987" s="1">
        <v>12</v>
      </c>
      <c r="C987" s="10">
        <v>0.28010000000000002</v>
      </c>
      <c r="D987" s="5">
        <v>90</v>
      </c>
      <c r="E987" s="10">
        <v>3.2600000000000004E-2</v>
      </c>
      <c r="F987" s="5">
        <v>2840</v>
      </c>
      <c r="G987" s="5">
        <v>100</v>
      </c>
      <c r="I987" s="40">
        <f t="shared" si="40"/>
        <v>2840</v>
      </c>
      <c r="J987" s="40">
        <f t="shared" si="41"/>
        <v>100</v>
      </c>
      <c r="K987" s="1">
        <v>4600</v>
      </c>
      <c r="L987" s="1">
        <v>140</v>
      </c>
      <c r="M987">
        <f t="shared" si="42"/>
        <v>-1800</v>
      </c>
      <c r="N987" s="1">
        <v>0.28010000000000002</v>
      </c>
      <c r="O987" s="1">
        <v>90</v>
      </c>
      <c r="P987" s="24">
        <v>4.7600000000000003E-2</v>
      </c>
      <c r="Q987" s="31">
        <f>C987-N987</f>
        <v>0</v>
      </c>
      <c r="R987" s="41">
        <f>D987-O987</f>
        <v>0</v>
      </c>
      <c r="S987" s="41">
        <f>E987-P987</f>
        <v>-1.4999999999999999E-2</v>
      </c>
    </row>
    <row r="988" spans="1:19" x14ac:dyDescent="0.15">
      <c r="A988" s="1">
        <v>6</v>
      </c>
      <c r="B988" s="1">
        <v>12</v>
      </c>
      <c r="C988" s="10">
        <v>0.28010000000000002</v>
      </c>
      <c r="D988" s="5">
        <v>90</v>
      </c>
      <c r="E988" s="10">
        <v>3.7600000000000001E-2</v>
      </c>
      <c r="F988" s="5">
        <v>3580</v>
      </c>
      <c r="G988" s="5">
        <v>140</v>
      </c>
      <c r="I988" s="40">
        <f t="shared" si="40"/>
        <v>3580</v>
      </c>
      <c r="J988" s="40">
        <f t="shared" si="41"/>
        <v>140</v>
      </c>
      <c r="K988" s="1">
        <v>5220</v>
      </c>
      <c r="L988" s="1">
        <v>150</v>
      </c>
      <c r="M988">
        <f t="shared" si="42"/>
        <v>-1650</v>
      </c>
      <c r="N988" s="1">
        <v>0.28010000000000002</v>
      </c>
      <c r="O988" s="1">
        <v>90</v>
      </c>
      <c r="P988" s="24">
        <v>5.2600000000000001E-2</v>
      </c>
      <c r="Q988" s="31">
        <f>C988-N988</f>
        <v>0</v>
      </c>
      <c r="R988" s="41">
        <f>D988-O988</f>
        <v>0</v>
      </c>
      <c r="S988" s="41">
        <f>E988-P988</f>
        <v>-1.4999999999999999E-2</v>
      </c>
    </row>
    <row r="989" spans="1:19" x14ac:dyDescent="0.15">
      <c r="A989" s="1">
        <v>6</v>
      </c>
      <c r="B989" s="1">
        <v>12</v>
      </c>
      <c r="C989" s="10">
        <v>0.28010000000000002</v>
      </c>
      <c r="D989" s="5">
        <v>90</v>
      </c>
      <c r="E989" s="10">
        <v>4.2599999999999999E-2</v>
      </c>
      <c r="F989" s="5">
        <v>3960</v>
      </c>
      <c r="G989" s="5">
        <v>130</v>
      </c>
      <c r="I989" s="40">
        <f t="shared" si="40"/>
        <v>3960</v>
      </c>
      <c r="J989" s="40">
        <f t="shared" si="41"/>
        <v>130</v>
      </c>
      <c r="K989" s="1">
        <v>5690</v>
      </c>
      <c r="L989" s="1">
        <v>170</v>
      </c>
      <c r="M989">
        <f t="shared" si="42"/>
        <v>-1770</v>
      </c>
      <c r="N989" s="1">
        <v>0.28010000000000002</v>
      </c>
      <c r="O989" s="1">
        <v>90</v>
      </c>
      <c r="P989" s="24">
        <v>5.7599999999999998E-2</v>
      </c>
      <c r="Q989" s="31">
        <f>C989-N989</f>
        <v>0</v>
      </c>
      <c r="R989" s="41">
        <f>D989-O989</f>
        <v>0</v>
      </c>
      <c r="S989" s="41">
        <f>E989-P989</f>
        <v>-1.4999999999999999E-2</v>
      </c>
    </row>
    <row r="990" spans="1:19" x14ac:dyDescent="0.15">
      <c r="A990" s="1">
        <v>6</v>
      </c>
      <c r="B990" s="1">
        <v>12</v>
      </c>
      <c r="C990" s="10">
        <v>0.28010000000000002</v>
      </c>
      <c r="D990" s="5">
        <v>90</v>
      </c>
      <c r="E990" s="10">
        <v>4.7600000000000003E-2</v>
      </c>
      <c r="F990" s="5">
        <v>4600</v>
      </c>
      <c r="G990" s="5">
        <v>140</v>
      </c>
      <c r="I990" s="40">
        <f t="shared" si="40"/>
        <v>4600</v>
      </c>
      <c r="J990" s="40">
        <f t="shared" si="41"/>
        <v>140</v>
      </c>
      <c r="K990" s="1">
        <v>6180</v>
      </c>
      <c r="L990" s="1">
        <v>190</v>
      </c>
      <c r="M990">
        <f t="shared" si="42"/>
        <v>-1630</v>
      </c>
      <c r="N990" s="1">
        <v>0.28010000000000002</v>
      </c>
      <c r="O990" s="1">
        <v>90</v>
      </c>
      <c r="P990" s="24">
        <v>6.2199999999999998E-2</v>
      </c>
      <c r="Q990" s="31">
        <f>C990-N990</f>
        <v>0</v>
      </c>
      <c r="R990" s="41">
        <f>D990-O990</f>
        <v>0</v>
      </c>
      <c r="S990" s="41">
        <f>E990-P990</f>
        <v>-1.4599999999999995E-2</v>
      </c>
    </row>
    <row r="991" spans="1:19" x14ac:dyDescent="0.15">
      <c r="A991" s="1">
        <v>6</v>
      </c>
      <c r="B991" s="1">
        <v>12</v>
      </c>
      <c r="C991" s="10">
        <v>0.28010000000000002</v>
      </c>
      <c r="D991" s="5">
        <v>90</v>
      </c>
      <c r="E991" s="10">
        <v>5.2600000000000001E-2</v>
      </c>
      <c r="F991" s="5">
        <v>5220</v>
      </c>
      <c r="G991" s="5">
        <v>150</v>
      </c>
      <c r="I991" s="40">
        <f t="shared" si="40"/>
        <v>5220</v>
      </c>
      <c r="J991" s="40">
        <f t="shared" si="41"/>
        <v>150</v>
      </c>
      <c r="K991" s="1">
        <v>6630</v>
      </c>
      <c r="L991" s="1">
        <v>210</v>
      </c>
      <c r="M991">
        <f t="shared" si="42"/>
        <v>-1470</v>
      </c>
      <c r="N991" s="1">
        <v>0.28010000000000002</v>
      </c>
      <c r="O991" s="1">
        <v>90</v>
      </c>
      <c r="P991" s="24">
        <v>6.7599999999999993E-2</v>
      </c>
      <c r="Q991" s="31">
        <f>C991-N991</f>
        <v>0</v>
      </c>
      <c r="R991" s="41">
        <f>D991-O991</f>
        <v>0</v>
      </c>
      <c r="S991" s="41">
        <f>E991-P991</f>
        <v>-1.4999999999999993E-2</v>
      </c>
    </row>
    <row r="992" spans="1:19" x14ac:dyDescent="0.15">
      <c r="A992" s="1">
        <v>6</v>
      </c>
      <c r="B992" s="1">
        <v>12</v>
      </c>
      <c r="C992" s="10">
        <v>0.28010000000000002</v>
      </c>
      <c r="D992" s="5">
        <v>90</v>
      </c>
      <c r="E992" s="10">
        <v>5.7599999999999998E-2</v>
      </c>
      <c r="F992" s="5">
        <v>5690</v>
      </c>
      <c r="G992" s="5">
        <v>170</v>
      </c>
      <c r="I992" s="40">
        <f t="shared" si="40"/>
        <v>5690</v>
      </c>
      <c r="J992" s="40">
        <f t="shared" si="41"/>
        <v>170</v>
      </c>
      <c r="K992" s="1">
        <v>6810</v>
      </c>
      <c r="L992" s="1">
        <v>210</v>
      </c>
      <c r="M992">
        <f t="shared" si="42"/>
        <v>-1160</v>
      </c>
      <c r="N992" s="1">
        <v>0.28010000000000002</v>
      </c>
      <c r="O992" s="1">
        <v>90</v>
      </c>
      <c r="P992" s="24">
        <v>7.2499999999999995E-2</v>
      </c>
      <c r="Q992" s="31">
        <f>C992-N992</f>
        <v>0</v>
      </c>
      <c r="R992" s="41">
        <f>D992-O992</f>
        <v>0</v>
      </c>
      <c r="S992" s="41">
        <f>E992-P992</f>
        <v>-1.4899999999999997E-2</v>
      </c>
    </row>
    <row r="993" spans="1:19" x14ac:dyDescent="0.15">
      <c r="A993" s="1">
        <v>6</v>
      </c>
      <c r="B993" s="1">
        <v>12</v>
      </c>
      <c r="C993" s="10">
        <v>0.28010000000000002</v>
      </c>
      <c r="D993" s="5">
        <v>90</v>
      </c>
      <c r="E993" s="10">
        <v>6.2600000000000003E-2</v>
      </c>
      <c r="F993" s="5">
        <v>6180</v>
      </c>
      <c r="G993" s="5">
        <v>190</v>
      </c>
      <c r="I993" s="40">
        <f t="shared" si="40"/>
        <v>6180</v>
      </c>
      <c r="J993" s="40">
        <f t="shared" si="41"/>
        <v>190</v>
      </c>
      <c r="K993" s="1">
        <v>7150</v>
      </c>
      <c r="L993" s="1">
        <v>230</v>
      </c>
      <c r="M993">
        <f t="shared" si="42"/>
        <v>-1010</v>
      </c>
      <c r="N993" s="1">
        <v>0.28010000000000002</v>
      </c>
      <c r="O993" s="1">
        <v>90</v>
      </c>
      <c r="P993" s="24">
        <v>7.7600000000000002E-2</v>
      </c>
      <c r="Q993" s="31">
        <f>C993-N993</f>
        <v>0</v>
      </c>
      <c r="R993" s="41">
        <f>D993-O993</f>
        <v>0</v>
      </c>
      <c r="S993" s="41">
        <f>E993-P993</f>
        <v>-1.4999999999999999E-2</v>
      </c>
    </row>
    <row r="994" spans="1:19" x14ac:dyDescent="0.15">
      <c r="A994" s="1">
        <v>6</v>
      </c>
      <c r="B994" s="1">
        <v>12</v>
      </c>
      <c r="C994" s="10">
        <v>0.28010000000000002</v>
      </c>
      <c r="D994" s="5">
        <v>90</v>
      </c>
      <c r="E994" s="10">
        <v>6.7599999999999993E-2</v>
      </c>
      <c r="F994" s="5">
        <v>6630</v>
      </c>
      <c r="G994" s="5">
        <v>210</v>
      </c>
      <c r="I994" s="40">
        <f t="shared" si="40"/>
        <v>6630</v>
      </c>
      <c r="J994" s="40">
        <f t="shared" si="41"/>
        <v>210</v>
      </c>
      <c r="K994" s="1">
        <v>7210</v>
      </c>
      <c r="L994" s="1">
        <v>250</v>
      </c>
      <c r="M994">
        <f t="shared" si="42"/>
        <v>-620</v>
      </c>
      <c r="N994" s="1">
        <v>0.28010000000000002</v>
      </c>
      <c r="O994" s="1">
        <v>90</v>
      </c>
      <c r="P994" s="24">
        <v>8.2600000000000007E-2</v>
      </c>
      <c r="Q994" s="31">
        <f>C994-N994</f>
        <v>0</v>
      </c>
      <c r="R994" s="41">
        <f>D994-O994</f>
        <v>0</v>
      </c>
      <c r="S994" s="41">
        <f>E994-P994</f>
        <v>-1.5000000000000013E-2</v>
      </c>
    </row>
    <row r="995" spans="1:19" x14ac:dyDescent="0.15">
      <c r="A995" s="1">
        <v>6</v>
      </c>
      <c r="B995" s="1">
        <v>12</v>
      </c>
      <c r="C995" s="10">
        <v>0.28010000000000002</v>
      </c>
      <c r="D995" s="5">
        <v>90</v>
      </c>
      <c r="E995" s="10">
        <v>7.2599999999999998E-2</v>
      </c>
      <c r="F995" s="5">
        <v>6810</v>
      </c>
      <c r="G995" s="5">
        <v>210</v>
      </c>
      <c r="I995" s="40">
        <f t="shared" si="40"/>
        <v>6810</v>
      </c>
      <c r="J995" s="40">
        <f t="shared" si="41"/>
        <v>210</v>
      </c>
      <c r="K995" s="1">
        <v>6950</v>
      </c>
      <c r="L995" s="1">
        <v>240</v>
      </c>
      <c r="M995">
        <f t="shared" si="42"/>
        <v>-170</v>
      </c>
      <c r="N995" s="1">
        <v>0.28010000000000002</v>
      </c>
      <c r="O995" s="1">
        <v>90</v>
      </c>
      <c r="P995" s="24">
        <v>8.7599999999999997E-2</v>
      </c>
      <c r="Q995" s="31">
        <f>C995-N995</f>
        <v>0</v>
      </c>
      <c r="R995" s="41">
        <f>D995-O995</f>
        <v>0</v>
      </c>
      <c r="S995" s="41">
        <f>E995-P995</f>
        <v>-1.4999999999999999E-2</v>
      </c>
    </row>
    <row r="996" spans="1:19" x14ac:dyDescent="0.15">
      <c r="A996" s="1">
        <v>6</v>
      </c>
      <c r="B996" s="1">
        <v>12</v>
      </c>
      <c r="C996" s="10">
        <v>0.28010000000000002</v>
      </c>
      <c r="D996" s="5">
        <v>90</v>
      </c>
      <c r="E996" s="10">
        <v>7.7599999999999988E-2</v>
      </c>
      <c r="F996" s="5">
        <v>7150</v>
      </c>
      <c r="G996" s="5">
        <v>230</v>
      </c>
      <c r="I996" s="40">
        <f t="shared" si="40"/>
        <v>7150</v>
      </c>
      <c r="J996" s="40">
        <f t="shared" si="41"/>
        <v>230</v>
      </c>
      <c r="K996" s="1">
        <v>6680</v>
      </c>
      <c r="L996" s="1">
        <v>230</v>
      </c>
      <c r="M996">
        <f t="shared" si="42"/>
        <v>470</v>
      </c>
      <c r="N996" s="1">
        <v>0.28010000000000002</v>
      </c>
      <c r="O996" s="1">
        <v>90</v>
      </c>
      <c r="P996" s="24">
        <v>9.2600000000000002E-2</v>
      </c>
      <c r="Q996" s="31">
        <f>C996-N996</f>
        <v>0</v>
      </c>
      <c r="R996" s="41">
        <f>D996-O996</f>
        <v>0</v>
      </c>
      <c r="S996" s="41">
        <f>E996-P996</f>
        <v>-1.5000000000000013E-2</v>
      </c>
    </row>
    <row r="997" spans="1:19" x14ac:dyDescent="0.15">
      <c r="A997" s="1">
        <v>6</v>
      </c>
      <c r="B997" s="1">
        <v>12</v>
      </c>
      <c r="C997" s="10">
        <v>0.28010000000000002</v>
      </c>
      <c r="D997" s="5">
        <v>90</v>
      </c>
      <c r="E997" s="10">
        <v>8.2599999999999993E-2</v>
      </c>
      <c r="F997" s="5">
        <v>7210</v>
      </c>
      <c r="G997" s="5">
        <v>250</v>
      </c>
      <c r="I997" s="40">
        <f t="shared" si="40"/>
        <v>7210</v>
      </c>
      <c r="J997" s="40">
        <f t="shared" si="41"/>
        <v>250</v>
      </c>
      <c r="K997" s="1">
        <v>6410</v>
      </c>
      <c r="L997" s="1">
        <v>230</v>
      </c>
      <c r="M997">
        <f t="shared" si="42"/>
        <v>820</v>
      </c>
      <c r="N997" s="1">
        <v>0.28010000000000002</v>
      </c>
      <c r="O997" s="1">
        <v>90</v>
      </c>
      <c r="P997" s="24">
        <v>9.7600000000000006E-2</v>
      </c>
      <c r="Q997" s="31">
        <f>C997-N997</f>
        <v>0</v>
      </c>
      <c r="R997" s="41">
        <f>D997-O997</f>
        <v>0</v>
      </c>
      <c r="S997" s="41">
        <f>E997-P997</f>
        <v>-1.5000000000000013E-2</v>
      </c>
    </row>
    <row r="998" spans="1:19" x14ac:dyDescent="0.15">
      <c r="A998" s="1">
        <v>6</v>
      </c>
      <c r="B998" s="1">
        <v>12</v>
      </c>
      <c r="C998" s="10">
        <v>0.28010000000000002</v>
      </c>
      <c r="D998" s="5">
        <v>90</v>
      </c>
      <c r="E998" s="10">
        <v>8.7599999999999997E-2</v>
      </c>
      <c r="F998" s="5">
        <v>6950</v>
      </c>
      <c r="G998" s="5">
        <v>240</v>
      </c>
      <c r="I998" s="40">
        <f t="shared" si="40"/>
        <v>6950</v>
      </c>
      <c r="J998" s="40">
        <f t="shared" si="41"/>
        <v>240</v>
      </c>
      <c r="K998" s="1">
        <v>5950</v>
      </c>
      <c r="L998" s="1">
        <v>240</v>
      </c>
      <c r="M998">
        <f t="shared" si="42"/>
        <v>1000</v>
      </c>
      <c r="N998" s="1">
        <v>0.28010000000000002</v>
      </c>
      <c r="O998" s="1">
        <v>90</v>
      </c>
      <c r="P998" s="24">
        <v>0.1026</v>
      </c>
      <c r="Q998" s="31">
        <f>C998-N998</f>
        <v>0</v>
      </c>
      <c r="R998" s="41">
        <f>D998-O998</f>
        <v>0</v>
      </c>
      <c r="S998" s="41">
        <f>E998-P998</f>
        <v>-1.4999999999999999E-2</v>
      </c>
    </row>
    <row r="999" spans="1:19" x14ac:dyDescent="0.15">
      <c r="A999" s="1">
        <v>6</v>
      </c>
      <c r="B999" s="1">
        <v>12</v>
      </c>
      <c r="C999" s="10">
        <v>0.28010000000000002</v>
      </c>
      <c r="D999" s="5">
        <v>90</v>
      </c>
      <c r="E999" s="10">
        <v>9.2599999999999988E-2</v>
      </c>
      <c r="F999" s="5">
        <v>6680</v>
      </c>
      <c r="G999" s="5">
        <v>230</v>
      </c>
      <c r="I999" s="40">
        <f t="shared" si="40"/>
        <v>6680</v>
      </c>
      <c r="J999" s="40">
        <f t="shared" si="41"/>
        <v>230</v>
      </c>
      <c r="K999" s="1">
        <v>5370</v>
      </c>
      <c r="L999" s="1">
        <v>230</v>
      </c>
      <c r="M999">
        <f t="shared" si="42"/>
        <v>1310</v>
      </c>
      <c r="N999" s="1">
        <v>0.28010000000000002</v>
      </c>
      <c r="O999" s="1">
        <v>90</v>
      </c>
      <c r="P999" s="24">
        <v>0.1076</v>
      </c>
      <c r="Q999" s="31">
        <f>C999-N999</f>
        <v>0</v>
      </c>
      <c r="R999" s="41">
        <f>D999-O999</f>
        <v>0</v>
      </c>
      <c r="S999" s="41">
        <f>E999-P999</f>
        <v>-1.5000000000000013E-2</v>
      </c>
    </row>
    <row r="1000" spans="1:19" x14ac:dyDescent="0.15">
      <c r="A1000" s="1">
        <v>6</v>
      </c>
      <c r="B1000" s="1">
        <v>12</v>
      </c>
      <c r="C1000" s="10">
        <v>0.28010000000000002</v>
      </c>
      <c r="D1000" s="5">
        <v>90</v>
      </c>
      <c r="E1000" s="10">
        <v>9.7599999999999992E-2</v>
      </c>
      <c r="F1000" s="5">
        <v>6410</v>
      </c>
      <c r="G1000" s="5">
        <v>230</v>
      </c>
      <c r="I1000" s="40">
        <f t="shared" si="40"/>
        <v>6410</v>
      </c>
      <c r="J1000" s="40">
        <f t="shared" si="41"/>
        <v>230</v>
      </c>
      <c r="K1000" s="1">
        <v>4620</v>
      </c>
      <c r="L1000" s="1">
        <v>220</v>
      </c>
      <c r="M1000">
        <f t="shared" si="42"/>
        <v>1800</v>
      </c>
      <c r="N1000" s="1">
        <v>0.28010000000000002</v>
      </c>
      <c r="O1000" s="1">
        <v>90</v>
      </c>
      <c r="P1000" s="24">
        <v>0.11260000000000001</v>
      </c>
      <c r="Q1000" s="31">
        <f>C1000-N1000</f>
        <v>0</v>
      </c>
      <c r="R1000" s="41">
        <f>D1000-O1000</f>
        <v>0</v>
      </c>
      <c r="S1000" s="41">
        <f>E1000-P1000</f>
        <v>-1.5000000000000013E-2</v>
      </c>
    </row>
    <row r="1001" spans="1:19" x14ac:dyDescent="0.15">
      <c r="A1001" s="1">
        <v>6</v>
      </c>
      <c r="B1001" s="1">
        <v>12</v>
      </c>
      <c r="C1001" s="10">
        <v>0.28010000000000002</v>
      </c>
      <c r="D1001" s="5">
        <v>90</v>
      </c>
      <c r="E1001" s="10">
        <v>0.1026</v>
      </c>
      <c r="F1001" s="5">
        <v>5950</v>
      </c>
      <c r="G1001" s="5">
        <v>240</v>
      </c>
      <c r="I1001" s="40">
        <f t="shared" si="40"/>
        <v>5950</v>
      </c>
      <c r="J1001" s="40">
        <f t="shared" si="41"/>
        <v>240</v>
      </c>
      <c r="K1001" s="1">
        <v>4410</v>
      </c>
      <c r="L1001" s="1">
        <v>210</v>
      </c>
      <c r="M1001">
        <f t="shared" si="42"/>
        <v>1570</v>
      </c>
      <c r="N1001" s="1">
        <v>0.28010000000000002</v>
      </c>
      <c r="O1001" s="1">
        <v>90</v>
      </c>
      <c r="P1001" s="24">
        <v>0.1176</v>
      </c>
      <c r="Q1001" s="31">
        <f>C1001-N1001</f>
        <v>0</v>
      </c>
      <c r="R1001" s="41">
        <f>D1001-O1001</f>
        <v>0</v>
      </c>
      <c r="S1001" s="41">
        <f>E1001-P1001</f>
        <v>-1.4999999999999999E-2</v>
      </c>
    </row>
    <row r="1002" spans="1:19" x14ac:dyDescent="0.15">
      <c r="A1002" s="1">
        <v>6</v>
      </c>
      <c r="B1002" s="1">
        <v>12</v>
      </c>
      <c r="C1002" s="10">
        <v>0.28010000000000002</v>
      </c>
      <c r="D1002" s="5">
        <v>90</v>
      </c>
      <c r="E1002" s="10">
        <v>0.1076</v>
      </c>
      <c r="F1002" s="5">
        <v>5370</v>
      </c>
      <c r="G1002" s="5">
        <v>230</v>
      </c>
      <c r="I1002" s="40">
        <f t="shared" si="40"/>
        <v>5370</v>
      </c>
      <c r="J1002" s="40">
        <f t="shared" si="41"/>
        <v>230</v>
      </c>
      <c r="K1002" s="1">
        <v>3810</v>
      </c>
      <c r="L1002" s="1">
        <v>210</v>
      </c>
      <c r="M1002">
        <f t="shared" si="42"/>
        <v>1580</v>
      </c>
      <c r="N1002" s="1">
        <v>0.28010000000000002</v>
      </c>
      <c r="O1002" s="1">
        <v>90</v>
      </c>
      <c r="P1002" s="24">
        <v>0.1226</v>
      </c>
      <c r="Q1002" s="31">
        <f>C1002-N1002</f>
        <v>0</v>
      </c>
      <c r="R1002" s="41">
        <f>D1002-O1002</f>
        <v>0</v>
      </c>
      <c r="S1002" s="41">
        <f>E1002-P1002</f>
        <v>-1.4999999999999999E-2</v>
      </c>
    </row>
    <row r="1003" spans="1:19" x14ac:dyDescent="0.15">
      <c r="A1003" s="1">
        <v>6</v>
      </c>
      <c r="B1003" s="1">
        <v>12</v>
      </c>
      <c r="C1003" s="10">
        <v>0.28010000000000002</v>
      </c>
      <c r="D1003" s="5">
        <v>90</v>
      </c>
      <c r="E1003" s="10">
        <v>0.11259999999999999</v>
      </c>
      <c r="F1003" s="5">
        <v>4620</v>
      </c>
      <c r="G1003" s="5">
        <v>220</v>
      </c>
      <c r="I1003" s="40">
        <f t="shared" si="40"/>
        <v>4620</v>
      </c>
      <c r="J1003" s="40">
        <f t="shared" si="41"/>
        <v>220</v>
      </c>
      <c r="K1003" s="1">
        <v>3350</v>
      </c>
      <c r="L1003" s="1">
        <v>190</v>
      </c>
      <c r="M1003">
        <f t="shared" si="42"/>
        <v>1300</v>
      </c>
      <c r="N1003" s="1">
        <v>0.28010000000000002</v>
      </c>
      <c r="O1003" s="1">
        <v>90</v>
      </c>
      <c r="P1003" s="24">
        <v>0.12759999999999999</v>
      </c>
      <c r="Q1003" s="31">
        <f>C1003-N1003</f>
        <v>0</v>
      </c>
      <c r="R1003" s="41">
        <f>D1003-O1003</f>
        <v>0</v>
      </c>
      <c r="S1003" s="41">
        <f>E1003-P1003</f>
        <v>-1.4999999999999999E-2</v>
      </c>
    </row>
    <row r="1004" spans="1:19" x14ac:dyDescent="0.15">
      <c r="A1004" s="1">
        <v>6</v>
      </c>
      <c r="B1004" s="1">
        <v>12</v>
      </c>
      <c r="C1004" s="10">
        <v>0.28010000000000002</v>
      </c>
      <c r="D1004" s="5">
        <v>90</v>
      </c>
      <c r="E1004" s="10">
        <v>0.1176</v>
      </c>
      <c r="F1004" s="5">
        <v>4410</v>
      </c>
      <c r="G1004" s="5">
        <v>210</v>
      </c>
      <c r="I1004" s="40">
        <f t="shared" si="40"/>
        <v>4410</v>
      </c>
      <c r="J1004" s="40">
        <f t="shared" si="41"/>
        <v>210</v>
      </c>
      <c r="K1004" s="1">
        <v>2920</v>
      </c>
      <c r="L1004" s="1">
        <v>180</v>
      </c>
      <c r="M1004">
        <f t="shared" si="42"/>
        <v>1520</v>
      </c>
      <c r="N1004" s="1">
        <v>0.28010000000000002</v>
      </c>
      <c r="O1004" s="1">
        <v>90</v>
      </c>
      <c r="P1004" s="24">
        <v>0.1326</v>
      </c>
      <c r="Q1004" s="31">
        <f>C1004-N1004</f>
        <v>0</v>
      </c>
      <c r="R1004" s="41">
        <f>D1004-O1004</f>
        <v>0</v>
      </c>
      <c r="S1004" s="41">
        <f>E1004-P1004</f>
        <v>-1.4999999999999999E-2</v>
      </c>
    </row>
    <row r="1005" spans="1:19" x14ac:dyDescent="0.15">
      <c r="A1005" s="1">
        <v>6</v>
      </c>
      <c r="B1005" s="1">
        <v>12</v>
      </c>
      <c r="C1005" s="10">
        <v>0.28010000000000002</v>
      </c>
      <c r="D1005" s="5">
        <v>90</v>
      </c>
      <c r="E1005" s="10">
        <v>0.1226</v>
      </c>
      <c r="F1005" s="5">
        <v>3810</v>
      </c>
      <c r="G1005" s="5">
        <v>210</v>
      </c>
      <c r="I1005" s="40">
        <f t="shared" si="40"/>
        <v>3810</v>
      </c>
      <c r="J1005" s="40">
        <f t="shared" si="41"/>
        <v>210</v>
      </c>
      <c r="K1005" s="1">
        <v>2500</v>
      </c>
      <c r="L1005" s="1">
        <v>180</v>
      </c>
      <c r="M1005">
        <f t="shared" si="42"/>
        <v>1340</v>
      </c>
      <c r="N1005" s="1">
        <v>0.28010000000000002</v>
      </c>
      <c r="O1005" s="1">
        <v>90</v>
      </c>
      <c r="P1005" s="24">
        <v>0.1376</v>
      </c>
      <c r="Q1005" s="31">
        <f>C1005-N1005</f>
        <v>0</v>
      </c>
      <c r="R1005" s="41">
        <f>D1005-O1005</f>
        <v>0</v>
      </c>
      <c r="S1005" s="41">
        <f>E1005-P1005</f>
        <v>-1.4999999999999999E-2</v>
      </c>
    </row>
    <row r="1006" spans="1:19" x14ac:dyDescent="0.15">
      <c r="A1006" s="1">
        <v>6</v>
      </c>
      <c r="B1006" s="1">
        <v>12</v>
      </c>
      <c r="C1006" s="10">
        <v>0.28010000000000002</v>
      </c>
      <c r="D1006" s="5">
        <v>90</v>
      </c>
      <c r="E1006" s="10">
        <v>0.12759999999999999</v>
      </c>
      <c r="F1006" s="5">
        <v>3350</v>
      </c>
      <c r="G1006" s="5">
        <v>190</v>
      </c>
      <c r="I1006" s="40">
        <f t="shared" si="40"/>
        <v>3350</v>
      </c>
      <c r="J1006" s="40">
        <f t="shared" si="41"/>
        <v>190</v>
      </c>
      <c r="K1006" s="1">
        <v>2350</v>
      </c>
      <c r="L1006" s="1">
        <v>180</v>
      </c>
      <c r="M1006">
        <f t="shared" si="42"/>
        <v>1010</v>
      </c>
      <c r="N1006" s="1">
        <v>0.28010000000000002</v>
      </c>
      <c r="O1006" s="1">
        <v>90</v>
      </c>
      <c r="P1006" s="24">
        <v>0.1426</v>
      </c>
      <c r="Q1006" s="31">
        <f>C1006-N1006</f>
        <v>0</v>
      </c>
      <c r="R1006" s="41">
        <f>D1006-O1006</f>
        <v>0</v>
      </c>
      <c r="S1006" s="41">
        <f>E1006-P1006</f>
        <v>-1.5000000000000013E-2</v>
      </c>
    </row>
    <row r="1007" spans="1:19" x14ac:dyDescent="0.15">
      <c r="A1007" s="1">
        <v>6</v>
      </c>
      <c r="B1007" s="1">
        <v>12</v>
      </c>
      <c r="C1007" s="10">
        <v>0.28010000000000002</v>
      </c>
      <c r="D1007" s="5">
        <v>90</v>
      </c>
      <c r="E1007" s="10">
        <v>0.1326</v>
      </c>
      <c r="F1007" s="5">
        <v>2920</v>
      </c>
      <c r="G1007" s="5">
        <v>180</v>
      </c>
      <c r="I1007" s="40">
        <f t="shared" si="40"/>
        <v>2920</v>
      </c>
      <c r="J1007" s="40">
        <f t="shared" si="41"/>
        <v>180</v>
      </c>
      <c r="K1007" s="1">
        <v>2040</v>
      </c>
      <c r="L1007" s="1">
        <v>170</v>
      </c>
      <c r="M1007">
        <f t="shared" si="42"/>
        <v>890</v>
      </c>
      <c r="N1007" s="1">
        <v>0.28010000000000002</v>
      </c>
      <c r="O1007" s="1">
        <v>90</v>
      </c>
      <c r="P1007" s="24">
        <v>0.14760000000000001</v>
      </c>
      <c r="Q1007" s="31">
        <f>C1007-N1007</f>
        <v>0</v>
      </c>
      <c r="R1007" s="41">
        <f>D1007-O1007</f>
        <v>0</v>
      </c>
      <c r="S1007" s="41">
        <f>E1007-P1007</f>
        <v>-1.5000000000000013E-2</v>
      </c>
    </row>
    <row r="1008" spans="1:19" x14ac:dyDescent="0.15">
      <c r="A1008" s="1">
        <v>6</v>
      </c>
      <c r="B1008" s="1">
        <v>12</v>
      </c>
      <c r="C1008" s="10">
        <v>0.28010000000000002</v>
      </c>
      <c r="D1008" s="5">
        <v>90</v>
      </c>
      <c r="E1008" s="10">
        <v>0.1376</v>
      </c>
      <c r="F1008" s="5">
        <v>2500</v>
      </c>
      <c r="G1008" s="5">
        <v>180</v>
      </c>
      <c r="I1008" s="40">
        <f t="shared" si="40"/>
        <v>2500</v>
      </c>
      <c r="J1008" s="40">
        <f t="shared" si="41"/>
        <v>180</v>
      </c>
      <c r="K1008" s="1">
        <v>1850</v>
      </c>
      <c r="L1008" s="1">
        <v>180</v>
      </c>
      <c r="M1008">
        <f t="shared" si="42"/>
        <v>650</v>
      </c>
      <c r="N1008" s="1">
        <v>0.28010000000000002</v>
      </c>
      <c r="O1008" s="1">
        <v>90</v>
      </c>
      <c r="P1008" s="24">
        <v>0.15260000000000001</v>
      </c>
      <c r="Q1008" s="31">
        <f>C1008-N1008</f>
        <v>0</v>
      </c>
      <c r="R1008" s="41">
        <f>D1008-O1008</f>
        <v>0</v>
      </c>
      <c r="S1008" s="41">
        <f>E1008-P1008</f>
        <v>-1.5000000000000013E-2</v>
      </c>
    </row>
    <row r="1009" spans="1:19" x14ac:dyDescent="0.15">
      <c r="A1009" s="1">
        <v>6</v>
      </c>
      <c r="B1009" s="1">
        <v>12</v>
      </c>
      <c r="C1009" s="10">
        <v>0.28010000000000002</v>
      </c>
      <c r="D1009" s="5">
        <v>90</v>
      </c>
      <c r="E1009" s="10">
        <v>0.1426</v>
      </c>
      <c r="F1009" s="5">
        <v>2350</v>
      </c>
      <c r="G1009" s="5">
        <v>180</v>
      </c>
      <c r="I1009" s="40">
        <f t="shared" si="40"/>
        <v>2350</v>
      </c>
      <c r="J1009" s="40">
        <f t="shared" si="41"/>
        <v>180</v>
      </c>
      <c r="K1009" s="1">
        <v>1710</v>
      </c>
      <c r="L1009" s="1">
        <v>180</v>
      </c>
      <c r="M1009">
        <f t="shared" si="42"/>
        <v>640</v>
      </c>
      <c r="N1009" s="1">
        <v>0.28010000000000002</v>
      </c>
      <c r="O1009" s="1">
        <v>90</v>
      </c>
      <c r="P1009" s="24">
        <v>0.15759999999999999</v>
      </c>
      <c r="Q1009" s="31">
        <f>C1009-N1009</f>
        <v>0</v>
      </c>
      <c r="R1009" s="41">
        <f>D1009-O1009</f>
        <v>0</v>
      </c>
      <c r="S1009" s="41">
        <f>E1009-P1009</f>
        <v>-1.4999999999999986E-2</v>
      </c>
    </row>
    <row r="1010" spans="1:19" x14ac:dyDescent="0.15">
      <c r="A1010" s="1">
        <v>6</v>
      </c>
      <c r="B1010" s="1">
        <v>12</v>
      </c>
      <c r="C1010" s="10">
        <v>0.28010000000000002</v>
      </c>
      <c r="D1010" s="5">
        <v>90</v>
      </c>
      <c r="E1010" s="10">
        <v>0.14759999999999998</v>
      </c>
      <c r="F1010" s="5">
        <v>2040</v>
      </c>
      <c r="G1010" s="5">
        <v>170</v>
      </c>
      <c r="I1010" s="40">
        <f t="shared" si="40"/>
        <v>2040</v>
      </c>
      <c r="J1010" s="40">
        <f t="shared" si="41"/>
        <v>170</v>
      </c>
      <c r="K1010" s="1">
        <v>1530</v>
      </c>
      <c r="L1010" s="1">
        <v>180</v>
      </c>
      <c r="M1010">
        <f t="shared" si="42"/>
        <v>500</v>
      </c>
      <c r="N1010" s="1">
        <v>0.28010000000000002</v>
      </c>
      <c r="O1010" s="1">
        <v>90</v>
      </c>
      <c r="P1010" s="24">
        <v>0.16259999999999999</v>
      </c>
      <c r="Q1010" s="31">
        <f>C1010-N1010</f>
        <v>0</v>
      </c>
      <c r="R1010" s="41">
        <f>D1010-O1010</f>
        <v>0</v>
      </c>
      <c r="S1010" s="41">
        <f>E1010-P1010</f>
        <v>-1.5000000000000013E-2</v>
      </c>
    </row>
    <row r="1011" spans="1:19" x14ac:dyDescent="0.15">
      <c r="A1011" s="1">
        <v>6</v>
      </c>
      <c r="B1011" s="1">
        <v>12</v>
      </c>
      <c r="C1011" s="10">
        <v>0.28010000000000002</v>
      </c>
      <c r="D1011" s="5">
        <v>90</v>
      </c>
      <c r="E1011" s="10">
        <v>0.15259999999999999</v>
      </c>
      <c r="F1011" s="5">
        <v>1850</v>
      </c>
      <c r="G1011" s="5">
        <v>180</v>
      </c>
      <c r="I1011" s="40">
        <f t="shared" si="40"/>
        <v>1850</v>
      </c>
      <c r="J1011" s="40">
        <f t="shared" si="41"/>
        <v>180</v>
      </c>
      <c r="K1011" s="1">
        <v>1550</v>
      </c>
      <c r="L1011" s="1">
        <v>210</v>
      </c>
      <c r="M1011">
        <f t="shared" si="42"/>
        <v>270</v>
      </c>
      <c r="N1011" s="1">
        <v>0.28010000000000002</v>
      </c>
      <c r="O1011" s="1">
        <v>90</v>
      </c>
      <c r="P1011" s="24">
        <v>0.1676</v>
      </c>
      <c r="Q1011" s="31">
        <f>C1011-N1011</f>
        <v>0</v>
      </c>
      <c r="R1011" s="41">
        <f>D1011-O1011</f>
        <v>0</v>
      </c>
      <c r="S1011" s="41">
        <f>E1011-P1011</f>
        <v>-1.5000000000000013E-2</v>
      </c>
    </row>
    <row r="1012" spans="1:19" x14ac:dyDescent="0.15">
      <c r="A1012" s="1">
        <v>6</v>
      </c>
      <c r="B1012" s="1">
        <v>12</v>
      </c>
      <c r="C1012" s="10">
        <v>0.28010000000000002</v>
      </c>
      <c r="D1012" s="5">
        <v>90</v>
      </c>
      <c r="E1012" s="10">
        <v>0.15759999999999999</v>
      </c>
      <c r="F1012" s="5">
        <v>1710</v>
      </c>
      <c r="G1012" s="5">
        <v>180</v>
      </c>
      <c r="I1012" s="40">
        <f t="shared" si="40"/>
        <v>1710</v>
      </c>
      <c r="J1012" s="40">
        <f t="shared" si="41"/>
        <v>180</v>
      </c>
      <c r="K1012" s="1">
        <v>1510</v>
      </c>
      <c r="L1012" s="1">
        <v>220</v>
      </c>
      <c r="M1012">
        <f t="shared" si="42"/>
        <v>160</v>
      </c>
      <c r="N1012" s="1">
        <v>0.28010000000000002</v>
      </c>
      <c r="O1012" s="1">
        <v>90</v>
      </c>
      <c r="P1012" s="24">
        <v>0.1726</v>
      </c>
      <c r="Q1012" s="31">
        <f>C1012-N1012</f>
        <v>0</v>
      </c>
      <c r="R1012" s="41">
        <f>D1012-O1012</f>
        <v>0</v>
      </c>
      <c r="S1012" s="41">
        <f>E1012-P1012</f>
        <v>-1.5000000000000013E-2</v>
      </c>
    </row>
    <row r="1013" spans="1:19" ht="14" thickBot="1" x14ac:dyDescent="0.2">
      <c r="A1013" s="1">
        <v>6</v>
      </c>
      <c r="B1013" s="1">
        <v>12</v>
      </c>
      <c r="C1013" s="10">
        <v>0.28010000000000002</v>
      </c>
      <c r="D1013" s="5">
        <v>90</v>
      </c>
      <c r="E1013" s="10">
        <v>0.16259999999999999</v>
      </c>
      <c r="F1013" s="5">
        <v>1530</v>
      </c>
      <c r="G1013" s="5">
        <v>180</v>
      </c>
      <c r="I1013" s="40">
        <f t="shared" si="40"/>
        <v>1530</v>
      </c>
      <c r="J1013" s="40">
        <f t="shared" si="41"/>
        <v>180</v>
      </c>
      <c r="K1013" s="1">
        <v>1230</v>
      </c>
      <c r="L1013" s="1">
        <v>230</v>
      </c>
      <c r="M1013">
        <f t="shared" si="42"/>
        <v>250</v>
      </c>
      <c r="N1013" s="1">
        <v>0.28010000000000002</v>
      </c>
      <c r="O1013" s="1">
        <v>90</v>
      </c>
      <c r="P1013" s="44">
        <v>0.17760000000000001</v>
      </c>
      <c r="Q1013" s="31">
        <f>C1013-N1013</f>
        <v>0</v>
      </c>
      <c r="R1013" s="41">
        <f>D1013-O1013</f>
        <v>0</v>
      </c>
      <c r="S1013" s="41">
        <f>E1013-P1013</f>
        <v>-1.5000000000000013E-2</v>
      </c>
    </row>
    <row r="1014" spans="1:19" ht="14" thickTop="1" x14ac:dyDescent="0.15">
      <c r="A1014" s="1">
        <v>6</v>
      </c>
      <c r="B1014" s="1">
        <v>12</v>
      </c>
      <c r="C1014" s="10">
        <v>0.28010000000000002</v>
      </c>
      <c r="D1014" s="5">
        <v>90</v>
      </c>
      <c r="E1014" s="10">
        <v>0.1676</v>
      </c>
      <c r="F1014" s="5">
        <v>1550</v>
      </c>
      <c r="G1014" s="5">
        <v>210</v>
      </c>
      <c r="I1014" s="40">
        <f t="shared" si="40"/>
        <v>1550</v>
      </c>
      <c r="J1014" s="40">
        <f t="shared" si="41"/>
        <v>210</v>
      </c>
      <c r="K1014" s="1">
        <v>210</v>
      </c>
      <c r="L1014" s="1">
        <v>20</v>
      </c>
      <c r="M1014">
        <f t="shared" si="42"/>
        <v>1530</v>
      </c>
      <c r="N1014" s="1">
        <v>0.24110000000000001</v>
      </c>
      <c r="O1014" s="1">
        <v>90</v>
      </c>
      <c r="P1014" s="24">
        <v>3.5999999999999999E-3</v>
      </c>
      <c r="Q1014" s="31">
        <f>C1014-N1014</f>
        <v>3.9000000000000007E-2</v>
      </c>
      <c r="R1014" s="41">
        <f>D1014-O1014</f>
        <v>0</v>
      </c>
      <c r="S1014" s="41">
        <f>E1014-P1014</f>
        <v>0.16400000000000001</v>
      </c>
    </row>
    <row r="1015" spans="1:19" x14ac:dyDescent="0.15">
      <c r="A1015" s="1">
        <v>6</v>
      </c>
      <c r="B1015" s="1">
        <v>12</v>
      </c>
      <c r="C1015" s="10">
        <v>0.28010000000000002</v>
      </c>
      <c r="D1015" s="5">
        <v>90</v>
      </c>
      <c r="E1015" s="10">
        <v>0.1726</v>
      </c>
      <c r="F1015" s="5">
        <v>1510</v>
      </c>
      <c r="G1015" s="5">
        <v>220</v>
      </c>
      <c r="I1015" s="40">
        <f t="shared" si="40"/>
        <v>1510</v>
      </c>
      <c r="J1015" s="40">
        <f t="shared" si="41"/>
        <v>220</v>
      </c>
      <c r="K1015" s="1">
        <v>4570</v>
      </c>
      <c r="L1015" s="1">
        <v>160</v>
      </c>
      <c r="M1015">
        <f t="shared" si="42"/>
        <v>-3000</v>
      </c>
      <c r="N1015" s="1">
        <v>0.24110000000000001</v>
      </c>
      <c r="O1015" s="1">
        <v>90</v>
      </c>
      <c r="P1015" s="24">
        <v>8.6E-3</v>
      </c>
      <c r="Q1015" s="31">
        <f>C1015-N1015</f>
        <v>3.9000000000000007E-2</v>
      </c>
      <c r="R1015" s="41">
        <f>D1015-O1015</f>
        <v>0</v>
      </c>
      <c r="S1015" s="41">
        <f>E1015-P1015</f>
        <v>0.16400000000000001</v>
      </c>
    </row>
    <row r="1016" spans="1:19" x14ac:dyDescent="0.15">
      <c r="A1016" s="1">
        <v>6</v>
      </c>
      <c r="B1016" s="1">
        <v>12</v>
      </c>
      <c r="C1016" s="10">
        <v>0.28010000000000002</v>
      </c>
      <c r="D1016" s="5">
        <v>90</v>
      </c>
      <c r="E1016" s="10">
        <v>0.17760000000000001</v>
      </c>
      <c r="F1016" s="5">
        <v>1230</v>
      </c>
      <c r="G1016" s="5">
        <v>230</v>
      </c>
      <c r="I1016" s="40">
        <f t="shared" si="40"/>
        <v>1230</v>
      </c>
      <c r="J1016" s="40">
        <f t="shared" si="41"/>
        <v>230</v>
      </c>
      <c r="K1016" s="1">
        <v>4830</v>
      </c>
      <c r="L1016" s="1">
        <v>130</v>
      </c>
      <c r="M1016">
        <f t="shared" si="42"/>
        <v>-3500</v>
      </c>
      <c r="N1016" s="1">
        <v>0.24110000000000001</v>
      </c>
      <c r="O1016" s="1">
        <v>90</v>
      </c>
      <c r="P1016" s="24">
        <v>1.3599999999999999E-2</v>
      </c>
      <c r="Q1016" s="31">
        <f>C1016-N1016</f>
        <v>3.9000000000000007E-2</v>
      </c>
      <c r="R1016" s="41">
        <f>D1016-O1016</f>
        <v>0</v>
      </c>
      <c r="S1016" s="41">
        <f>E1016-P1016</f>
        <v>0.16400000000000001</v>
      </c>
    </row>
    <row r="1017" spans="1:19" x14ac:dyDescent="0.15">
      <c r="A1017" s="1">
        <v>6</v>
      </c>
      <c r="B1017" s="1">
        <v>12</v>
      </c>
      <c r="C1017" s="10">
        <v>0.24109999999999998</v>
      </c>
      <c r="D1017" s="5">
        <v>90</v>
      </c>
      <c r="E1017" s="10">
        <v>3.5999999999999999E-3</v>
      </c>
      <c r="F1017" s="5">
        <v>210</v>
      </c>
      <c r="G1017" s="5">
        <v>20</v>
      </c>
      <c r="I1017" s="40">
        <f t="shared" ref="I1017:I1080" si="43">F1017</f>
        <v>210</v>
      </c>
      <c r="J1017" s="40">
        <f t="shared" ref="J1017:J1080" si="44">G1017</f>
        <v>20</v>
      </c>
      <c r="K1017" s="1">
        <v>4020</v>
      </c>
      <c r="L1017" s="1">
        <v>140</v>
      </c>
      <c r="M1017">
        <f t="shared" si="42"/>
        <v>-3930</v>
      </c>
      <c r="N1017" s="1">
        <v>0.24110000000000001</v>
      </c>
      <c r="O1017" s="1">
        <v>90</v>
      </c>
      <c r="P1017" s="24">
        <v>1.8599999999999998E-2</v>
      </c>
      <c r="Q1017" s="31">
        <f>C1017-N1017</f>
        <v>0</v>
      </c>
      <c r="R1017" s="41">
        <f>D1017-O1017</f>
        <v>0</v>
      </c>
      <c r="S1017" s="41">
        <f>E1017-P1017</f>
        <v>-1.4999999999999999E-2</v>
      </c>
    </row>
    <row r="1018" spans="1:19" x14ac:dyDescent="0.15">
      <c r="A1018" s="1">
        <v>6</v>
      </c>
      <c r="B1018" s="1">
        <v>12</v>
      </c>
      <c r="C1018" s="10">
        <v>0.24109999999999998</v>
      </c>
      <c r="D1018" s="5">
        <v>90</v>
      </c>
      <c r="E1018" s="10">
        <v>8.6E-3</v>
      </c>
      <c r="F1018" s="5">
        <v>4570</v>
      </c>
      <c r="G1018" s="5">
        <v>160</v>
      </c>
      <c r="I1018" s="40">
        <f t="shared" si="43"/>
        <v>4570</v>
      </c>
      <c r="J1018" s="40">
        <f t="shared" si="44"/>
        <v>160</v>
      </c>
      <c r="K1018" s="1">
        <v>5860</v>
      </c>
      <c r="L1018" s="1">
        <v>190</v>
      </c>
      <c r="M1018">
        <f t="shared" si="42"/>
        <v>-1320</v>
      </c>
      <c r="N1018" s="1">
        <v>0.24110000000000001</v>
      </c>
      <c r="O1018" s="1">
        <v>90</v>
      </c>
      <c r="P1018" s="24">
        <v>2.3E-2</v>
      </c>
      <c r="Q1018" s="31">
        <f>C1018-N1018</f>
        <v>0</v>
      </c>
      <c r="R1018" s="41">
        <f>D1018-O1018</f>
        <v>0</v>
      </c>
      <c r="S1018" s="41">
        <f>E1018-P1018</f>
        <v>-1.44E-2</v>
      </c>
    </row>
    <row r="1019" spans="1:19" x14ac:dyDescent="0.15">
      <c r="A1019" s="1">
        <v>6</v>
      </c>
      <c r="B1019" s="1">
        <v>12</v>
      </c>
      <c r="C1019" s="10">
        <v>0.24109999999999998</v>
      </c>
      <c r="D1019" s="5">
        <v>90</v>
      </c>
      <c r="E1019" s="10">
        <v>1.3599999999999999E-2</v>
      </c>
      <c r="F1019" s="5">
        <v>4830</v>
      </c>
      <c r="G1019" s="5">
        <v>130</v>
      </c>
      <c r="I1019" s="40">
        <f t="shared" si="43"/>
        <v>4830</v>
      </c>
      <c r="J1019" s="40">
        <f t="shared" si="44"/>
        <v>130</v>
      </c>
      <c r="K1019" s="1">
        <v>4980</v>
      </c>
      <c r="L1019" s="1">
        <v>180</v>
      </c>
      <c r="M1019">
        <f t="shared" si="42"/>
        <v>-200</v>
      </c>
      <c r="N1019" s="1">
        <v>0.24110000000000001</v>
      </c>
      <c r="O1019" s="1">
        <v>90</v>
      </c>
      <c r="P1019" s="24">
        <v>2.86E-2</v>
      </c>
      <c r="Q1019" s="31">
        <f>C1019-N1019</f>
        <v>0</v>
      </c>
      <c r="R1019" s="41">
        <f>D1019-O1019</f>
        <v>0</v>
      </c>
      <c r="S1019" s="41">
        <f>E1019-P1019</f>
        <v>-1.5000000000000001E-2</v>
      </c>
    </row>
    <row r="1020" spans="1:19" x14ac:dyDescent="0.15">
      <c r="A1020" s="1">
        <v>6</v>
      </c>
      <c r="B1020" s="1">
        <v>12</v>
      </c>
      <c r="C1020" s="10">
        <v>0.24109999999999998</v>
      </c>
      <c r="D1020" s="5">
        <v>90</v>
      </c>
      <c r="E1020" s="10">
        <v>1.8600000000000002E-2</v>
      </c>
      <c r="F1020" s="5">
        <v>4019.9999999999995</v>
      </c>
      <c r="G1020" s="5">
        <v>140</v>
      </c>
      <c r="I1020" s="40">
        <f t="shared" si="43"/>
        <v>4019.9999999999995</v>
      </c>
      <c r="J1020" s="40">
        <f t="shared" si="44"/>
        <v>140</v>
      </c>
      <c r="K1020" s="1">
        <v>6010</v>
      </c>
      <c r="L1020" s="1">
        <v>200</v>
      </c>
      <c r="M1020">
        <f t="shared" si="42"/>
        <v>-2050</v>
      </c>
      <c r="N1020" s="1">
        <v>0.24110000000000001</v>
      </c>
      <c r="O1020" s="1">
        <v>90</v>
      </c>
      <c r="P1020" s="24">
        <v>3.3599999999999998E-2</v>
      </c>
      <c r="Q1020" s="31">
        <f>C1020-N1020</f>
        <v>0</v>
      </c>
      <c r="R1020" s="41">
        <f>D1020-O1020</f>
        <v>0</v>
      </c>
      <c r="S1020" s="41">
        <f>E1020-P1020</f>
        <v>-1.4999999999999996E-2</v>
      </c>
    </row>
    <row r="1021" spans="1:19" x14ac:dyDescent="0.15">
      <c r="A1021" s="1">
        <v>6</v>
      </c>
      <c r="B1021" s="1">
        <v>12</v>
      </c>
      <c r="C1021" s="10">
        <v>0.24109999999999998</v>
      </c>
      <c r="D1021" s="5">
        <v>90</v>
      </c>
      <c r="E1021" s="10">
        <v>2.3600000000000003E-2</v>
      </c>
      <c r="F1021" s="5">
        <v>5860</v>
      </c>
      <c r="G1021" s="5">
        <v>190</v>
      </c>
      <c r="I1021" s="40">
        <f t="shared" si="43"/>
        <v>5860</v>
      </c>
      <c r="J1021" s="40">
        <f t="shared" si="44"/>
        <v>190</v>
      </c>
      <c r="K1021" s="1">
        <v>6790</v>
      </c>
      <c r="L1021" s="1">
        <v>220</v>
      </c>
      <c r="M1021">
        <f t="shared" si="42"/>
        <v>-960</v>
      </c>
      <c r="N1021" s="1">
        <v>0.24110000000000001</v>
      </c>
      <c r="O1021" s="1">
        <v>90</v>
      </c>
      <c r="P1021" s="24">
        <v>3.8600000000000002E-2</v>
      </c>
      <c r="Q1021" s="31">
        <f>C1021-N1021</f>
        <v>0</v>
      </c>
      <c r="R1021" s="41">
        <f>D1021-O1021</f>
        <v>0</v>
      </c>
      <c r="S1021" s="41">
        <f>E1021-P1021</f>
        <v>-1.4999999999999999E-2</v>
      </c>
    </row>
    <row r="1022" spans="1:19" x14ac:dyDescent="0.15">
      <c r="A1022" s="1">
        <v>6</v>
      </c>
      <c r="B1022" s="1">
        <v>12</v>
      </c>
      <c r="C1022" s="10">
        <v>0.24109999999999998</v>
      </c>
      <c r="D1022" s="5">
        <v>90</v>
      </c>
      <c r="E1022" s="10">
        <v>2.86E-2</v>
      </c>
      <c r="F1022" s="5">
        <v>4980</v>
      </c>
      <c r="G1022" s="5">
        <v>180</v>
      </c>
      <c r="I1022" s="40">
        <f t="shared" si="43"/>
        <v>4980</v>
      </c>
      <c r="J1022" s="40">
        <f t="shared" si="44"/>
        <v>180</v>
      </c>
      <c r="K1022" s="1">
        <v>8100</v>
      </c>
      <c r="L1022" s="1">
        <v>290</v>
      </c>
      <c r="M1022">
        <f t="shared" si="42"/>
        <v>-3230</v>
      </c>
      <c r="N1022" s="1">
        <v>0.24110000000000001</v>
      </c>
      <c r="O1022" s="1">
        <v>90</v>
      </c>
      <c r="P1022" s="24">
        <v>4.36E-2</v>
      </c>
      <c r="Q1022" s="31">
        <f>C1022-N1022</f>
        <v>0</v>
      </c>
      <c r="R1022" s="41">
        <f>D1022-O1022</f>
        <v>0</v>
      </c>
      <c r="S1022" s="41">
        <f>E1022-P1022</f>
        <v>-1.4999999999999999E-2</v>
      </c>
    </row>
    <row r="1023" spans="1:19" x14ac:dyDescent="0.15">
      <c r="A1023" s="1">
        <v>6</v>
      </c>
      <c r="B1023" s="1">
        <v>12</v>
      </c>
      <c r="C1023" s="10">
        <v>0.24109999999999998</v>
      </c>
      <c r="D1023" s="5">
        <v>90</v>
      </c>
      <c r="E1023" s="10">
        <v>3.3600000000000005E-2</v>
      </c>
      <c r="F1023" s="5">
        <v>6010</v>
      </c>
      <c r="G1023" s="5">
        <v>200</v>
      </c>
      <c r="I1023" s="40">
        <f t="shared" si="43"/>
        <v>6010</v>
      </c>
      <c r="J1023" s="40">
        <f t="shared" si="44"/>
        <v>200</v>
      </c>
      <c r="K1023" s="1">
        <v>8690</v>
      </c>
      <c r="L1023" s="1">
        <v>290</v>
      </c>
      <c r="M1023">
        <f t="shared" si="42"/>
        <v>-2770</v>
      </c>
      <c r="N1023" s="1">
        <v>0.24110000000000001</v>
      </c>
      <c r="O1023" s="1">
        <v>90</v>
      </c>
      <c r="P1023" s="24">
        <v>4.8599999999999997E-2</v>
      </c>
      <c r="Q1023" s="31">
        <f>C1023-N1023</f>
        <v>0</v>
      </c>
      <c r="R1023" s="41">
        <f>D1023-O1023</f>
        <v>0</v>
      </c>
      <c r="S1023" s="41">
        <f>E1023-P1023</f>
        <v>-1.4999999999999993E-2</v>
      </c>
    </row>
    <row r="1024" spans="1:19" x14ac:dyDescent="0.15">
      <c r="A1024" s="1">
        <v>6</v>
      </c>
      <c r="B1024" s="1">
        <v>12</v>
      </c>
      <c r="C1024" s="10">
        <v>0.24109999999999998</v>
      </c>
      <c r="D1024" s="5">
        <v>90</v>
      </c>
      <c r="E1024" s="10">
        <v>3.8600000000000002E-2</v>
      </c>
      <c r="F1024" s="5">
        <v>6790</v>
      </c>
      <c r="G1024" s="5">
        <v>220</v>
      </c>
      <c r="I1024" s="40">
        <f t="shared" si="43"/>
        <v>6790</v>
      </c>
      <c r="J1024" s="40">
        <f t="shared" si="44"/>
        <v>220</v>
      </c>
      <c r="K1024" s="1">
        <v>9400</v>
      </c>
      <c r="L1024" s="1">
        <v>310</v>
      </c>
      <c r="M1024">
        <f t="shared" si="42"/>
        <v>-2700</v>
      </c>
      <c r="N1024" s="1">
        <v>0.24110000000000001</v>
      </c>
      <c r="O1024" s="1">
        <v>90</v>
      </c>
      <c r="P1024" s="24">
        <v>5.3600000000000002E-2</v>
      </c>
      <c r="Q1024" s="31">
        <f>C1024-N1024</f>
        <v>0</v>
      </c>
      <c r="R1024" s="41">
        <f>D1024-O1024</f>
        <v>0</v>
      </c>
      <c r="S1024" s="41">
        <f>E1024-P1024</f>
        <v>-1.4999999999999999E-2</v>
      </c>
    </row>
    <row r="1025" spans="1:19" x14ac:dyDescent="0.15">
      <c r="A1025" s="1">
        <v>6</v>
      </c>
      <c r="B1025" s="1">
        <v>12</v>
      </c>
      <c r="C1025" s="10">
        <v>0.24109999999999998</v>
      </c>
      <c r="D1025" s="5">
        <v>90</v>
      </c>
      <c r="E1025" s="10">
        <v>4.36E-2</v>
      </c>
      <c r="F1025" s="5">
        <v>8100</v>
      </c>
      <c r="G1025" s="5">
        <v>290</v>
      </c>
      <c r="I1025" s="40">
        <f t="shared" si="43"/>
        <v>8100</v>
      </c>
      <c r="J1025" s="40">
        <f t="shared" si="44"/>
        <v>290</v>
      </c>
      <c r="K1025" s="1">
        <v>9920</v>
      </c>
      <c r="L1025" s="1">
        <v>330</v>
      </c>
      <c r="M1025">
        <f t="shared" si="42"/>
        <v>-1860</v>
      </c>
      <c r="N1025" s="1">
        <v>0.24110000000000001</v>
      </c>
      <c r="O1025" s="1">
        <v>90</v>
      </c>
      <c r="P1025" s="24">
        <v>5.8599999999999999E-2</v>
      </c>
      <c r="Q1025" s="31">
        <f>C1025-N1025</f>
        <v>0</v>
      </c>
      <c r="R1025" s="41">
        <f>D1025-O1025</f>
        <v>0</v>
      </c>
      <c r="S1025" s="41">
        <f>E1025-P1025</f>
        <v>-1.4999999999999999E-2</v>
      </c>
    </row>
    <row r="1026" spans="1:19" x14ac:dyDescent="0.15">
      <c r="A1026" s="1">
        <v>6</v>
      </c>
      <c r="B1026" s="1">
        <v>12</v>
      </c>
      <c r="C1026" s="10">
        <v>0.24109999999999998</v>
      </c>
      <c r="D1026" s="5">
        <v>90</v>
      </c>
      <c r="E1026" s="10">
        <v>4.8600000000000004E-2</v>
      </c>
      <c r="F1026" s="5">
        <v>8690</v>
      </c>
      <c r="G1026" s="5">
        <v>290</v>
      </c>
      <c r="I1026" s="40">
        <f t="shared" si="43"/>
        <v>8690</v>
      </c>
      <c r="J1026" s="40">
        <f t="shared" si="44"/>
        <v>290</v>
      </c>
      <c r="K1026" s="1">
        <v>10330</v>
      </c>
      <c r="L1026" s="1">
        <v>350</v>
      </c>
      <c r="M1026">
        <f t="shared" si="42"/>
        <v>-1700</v>
      </c>
      <c r="N1026" s="1">
        <v>0.24110000000000001</v>
      </c>
      <c r="O1026" s="1">
        <v>90</v>
      </c>
      <c r="P1026" s="24">
        <v>6.3600000000000004E-2</v>
      </c>
      <c r="Q1026" s="31">
        <f>C1026-N1026</f>
        <v>0</v>
      </c>
      <c r="R1026" s="41">
        <f>D1026-O1026</f>
        <v>0</v>
      </c>
      <c r="S1026" s="41">
        <f>E1026-P1026</f>
        <v>-1.4999999999999999E-2</v>
      </c>
    </row>
    <row r="1027" spans="1:19" x14ac:dyDescent="0.15">
      <c r="A1027" s="1">
        <v>6</v>
      </c>
      <c r="B1027" s="1">
        <v>12</v>
      </c>
      <c r="C1027" s="10">
        <v>0.24109999999999998</v>
      </c>
      <c r="D1027" s="5">
        <v>90</v>
      </c>
      <c r="E1027" s="10">
        <v>5.3600000000000002E-2</v>
      </c>
      <c r="F1027" s="5">
        <v>9400</v>
      </c>
      <c r="G1027" s="5">
        <v>310</v>
      </c>
      <c r="I1027" s="40">
        <f t="shared" si="43"/>
        <v>9400</v>
      </c>
      <c r="J1027" s="40">
        <f t="shared" si="44"/>
        <v>310</v>
      </c>
      <c r="K1027" s="1">
        <v>9950</v>
      </c>
      <c r="L1027" s="1">
        <v>360</v>
      </c>
      <c r="M1027">
        <f t="shared" ref="M1027:M1090" si="45">I1027+J1027-K1027-L1027</f>
        <v>-600</v>
      </c>
      <c r="N1027" s="1">
        <v>0.24110000000000001</v>
      </c>
      <c r="O1027" s="1">
        <v>90</v>
      </c>
      <c r="P1027" s="24">
        <v>6.8599999999999994E-2</v>
      </c>
      <c r="Q1027" s="31">
        <f>C1027-N1027</f>
        <v>0</v>
      </c>
      <c r="R1027" s="41">
        <f>D1027-O1027</f>
        <v>0</v>
      </c>
      <c r="S1027" s="41">
        <f>E1027-P1027</f>
        <v>-1.4999999999999993E-2</v>
      </c>
    </row>
    <row r="1028" spans="1:19" x14ac:dyDescent="0.15">
      <c r="A1028" s="1">
        <v>6</v>
      </c>
      <c r="B1028" s="1">
        <v>12</v>
      </c>
      <c r="C1028" s="10">
        <v>0.24109999999999998</v>
      </c>
      <c r="D1028" s="5">
        <v>90</v>
      </c>
      <c r="E1028" s="10">
        <v>5.8599999999999999E-2</v>
      </c>
      <c r="F1028" s="5">
        <v>9920</v>
      </c>
      <c r="G1028" s="5">
        <v>330</v>
      </c>
      <c r="I1028" s="40">
        <f t="shared" si="43"/>
        <v>9920</v>
      </c>
      <c r="J1028" s="40">
        <f t="shared" si="44"/>
        <v>330</v>
      </c>
      <c r="K1028" s="1">
        <v>9970</v>
      </c>
      <c r="L1028" s="1">
        <v>360</v>
      </c>
      <c r="M1028">
        <f t="shared" si="45"/>
        <v>-80</v>
      </c>
      <c r="N1028" s="1">
        <v>0.24110000000000001</v>
      </c>
      <c r="O1028" s="1">
        <v>90</v>
      </c>
      <c r="P1028" s="24">
        <v>7.3599999999999999E-2</v>
      </c>
      <c r="Q1028" s="31">
        <f>C1028-N1028</f>
        <v>0</v>
      </c>
      <c r="R1028" s="41">
        <f>D1028-O1028</f>
        <v>0</v>
      </c>
      <c r="S1028" s="41">
        <f>E1028-P1028</f>
        <v>-1.4999999999999999E-2</v>
      </c>
    </row>
    <row r="1029" spans="1:19" x14ac:dyDescent="0.15">
      <c r="A1029" s="1">
        <v>6</v>
      </c>
      <c r="B1029" s="1">
        <v>12</v>
      </c>
      <c r="C1029" s="10">
        <v>0.24109999999999998</v>
      </c>
      <c r="D1029" s="5">
        <v>90</v>
      </c>
      <c r="E1029" s="10">
        <v>6.3600000000000004E-2</v>
      </c>
      <c r="F1029" s="5">
        <v>10330</v>
      </c>
      <c r="G1029" s="5">
        <v>350</v>
      </c>
      <c r="I1029" s="40">
        <f t="shared" si="43"/>
        <v>10330</v>
      </c>
      <c r="J1029" s="40">
        <f t="shared" si="44"/>
        <v>350</v>
      </c>
      <c r="K1029" s="1">
        <v>9330</v>
      </c>
      <c r="L1029" s="1">
        <v>360</v>
      </c>
      <c r="M1029">
        <f t="shared" si="45"/>
        <v>990</v>
      </c>
      <c r="N1029" s="1">
        <v>0.24110000000000001</v>
      </c>
      <c r="O1029" s="1">
        <v>90</v>
      </c>
      <c r="P1029" s="24">
        <v>7.85E-2</v>
      </c>
      <c r="Q1029" s="31">
        <f>C1029-N1029</f>
        <v>0</v>
      </c>
      <c r="R1029" s="41">
        <f>D1029-O1029</f>
        <v>0</v>
      </c>
      <c r="S1029" s="41">
        <f>E1029-P1029</f>
        <v>-1.4899999999999997E-2</v>
      </c>
    </row>
    <row r="1030" spans="1:19" x14ac:dyDescent="0.15">
      <c r="A1030" s="1">
        <v>6</v>
      </c>
      <c r="B1030" s="1">
        <v>12</v>
      </c>
      <c r="C1030" s="10">
        <v>0.24109999999999998</v>
      </c>
      <c r="D1030" s="5">
        <v>90</v>
      </c>
      <c r="E1030" s="10">
        <v>6.8599999999999994E-2</v>
      </c>
      <c r="F1030" s="5">
        <v>9950</v>
      </c>
      <c r="G1030" s="5">
        <v>360</v>
      </c>
      <c r="I1030" s="40">
        <f t="shared" si="43"/>
        <v>9950</v>
      </c>
      <c r="J1030" s="40">
        <f t="shared" si="44"/>
        <v>360</v>
      </c>
      <c r="K1030" s="1">
        <v>8480</v>
      </c>
      <c r="L1030" s="1">
        <v>350</v>
      </c>
      <c r="M1030">
        <f t="shared" si="45"/>
        <v>1480</v>
      </c>
      <c r="N1030" s="1">
        <v>0.24110000000000001</v>
      </c>
      <c r="O1030" s="1">
        <v>90</v>
      </c>
      <c r="P1030" s="24">
        <v>8.3599999999999994E-2</v>
      </c>
      <c r="Q1030" s="31">
        <f>C1030-N1030</f>
        <v>0</v>
      </c>
      <c r="R1030" s="41">
        <f>D1030-O1030</f>
        <v>0</v>
      </c>
      <c r="S1030" s="41">
        <f>E1030-P1030</f>
        <v>-1.4999999999999999E-2</v>
      </c>
    </row>
    <row r="1031" spans="1:19" x14ac:dyDescent="0.15">
      <c r="A1031" s="1">
        <v>6</v>
      </c>
      <c r="B1031" s="1">
        <v>12</v>
      </c>
      <c r="C1031" s="10">
        <v>0.24109999999999998</v>
      </c>
      <c r="D1031" s="5">
        <v>90</v>
      </c>
      <c r="E1031" s="10">
        <v>7.3599999999999999E-2</v>
      </c>
      <c r="F1031" s="5">
        <v>9700</v>
      </c>
      <c r="G1031" s="5">
        <v>360</v>
      </c>
      <c r="I1031" s="40">
        <f t="shared" si="43"/>
        <v>9700</v>
      </c>
      <c r="J1031" s="40">
        <f t="shared" si="44"/>
        <v>360</v>
      </c>
      <c r="K1031" s="1">
        <v>7560</v>
      </c>
      <c r="L1031" s="1">
        <v>330</v>
      </c>
      <c r="M1031">
        <f t="shared" si="45"/>
        <v>2170</v>
      </c>
      <c r="N1031" s="1">
        <v>0.24110000000000001</v>
      </c>
      <c r="O1031" s="1">
        <v>90</v>
      </c>
      <c r="P1031" s="24">
        <v>8.8599999999999998E-2</v>
      </c>
      <c r="Q1031" s="31">
        <f>C1031-N1031</f>
        <v>0</v>
      </c>
      <c r="R1031" s="41">
        <f>D1031-O1031</f>
        <v>0</v>
      </c>
      <c r="S1031" s="41">
        <f>E1031-P1031</f>
        <v>-1.4999999999999999E-2</v>
      </c>
    </row>
    <row r="1032" spans="1:19" x14ac:dyDescent="0.15">
      <c r="A1032" s="1">
        <v>6</v>
      </c>
      <c r="B1032" s="1">
        <v>12</v>
      </c>
      <c r="C1032" s="10">
        <v>0.24109999999999998</v>
      </c>
      <c r="D1032" s="5">
        <v>90</v>
      </c>
      <c r="E1032" s="10">
        <v>7.8599999999999989E-2</v>
      </c>
      <c r="F1032" s="5">
        <v>9330</v>
      </c>
      <c r="G1032" s="5">
        <v>360</v>
      </c>
      <c r="I1032" s="40">
        <f t="shared" si="43"/>
        <v>9330</v>
      </c>
      <c r="J1032" s="40">
        <f t="shared" si="44"/>
        <v>360</v>
      </c>
      <c r="K1032" s="1">
        <v>6660</v>
      </c>
      <c r="L1032" s="1">
        <v>320</v>
      </c>
      <c r="M1032">
        <f t="shared" si="45"/>
        <v>2710</v>
      </c>
      <c r="N1032" s="1">
        <v>0.24110000000000001</v>
      </c>
      <c r="O1032" s="1">
        <v>90</v>
      </c>
      <c r="P1032" s="24">
        <v>9.3600000000000003E-2</v>
      </c>
      <c r="Q1032" s="31">
        <f>C1032-N1032</f>
        <v>0</v>
      </c>
      <c r="R1032" s="41">
        <f>D1032-O1032</f>
        <v>0</v>
      </c>
      <c r="S1032" s="41">
        <f>E1032-P1032</f>
        <v>-1.5000000000000013E-2</v>
      </c>
    </row>
    <row r="1033" spans="1:19" x14ac:dyDescent="0.15">
      <c r="A1033" s="1">
        <v>6</v>
      </c>
      <c r="B1033" s="1">
        <v>12</v>
      </c>
      <c r="C1033" s="10">
        <v>0.24109999999999998</v>
      </c>
      <c r="D1033" s="5">
        <v>90</v>
      </c>
      <c r="E1033" s="10">
        <v>8.3599999999999994E-2</v>
      </c>
      <c r="F1033" s="5">
        <v>8480</v>
      </c>
      <c r="G1033" s="5">
        <v>350</v>
      </c>
      <c r="I1033" s="40">
        <f t="shared" si="43"/>
        <v>8480</v>
      </c>
      <c r="J1033" s="40">
        <f t="shared" si="44"/>
        <v>350</v>
      </c>
      <c r="K1033" s="1">
        <v>5880</v>
      </c>
      <c r="L1033" s="1">
        <v>310</v>
      </c>
      <c r="M1033">
        <f t="shared" si="45"/>
        <v>2640</v>
      </c>
      <c r="N1033" s="1">
        <v>0.24110000000000001</v>
      </c>
      <c r="O1033" s="1">
        <v>90</v>
      </c>
      <c r="P1033" s="24">
        <v>9.8599999999999993E-2</v>
      </c>
      <c r="Q1033" s="31">
        <f>C1033-N1033</f>
        <v>0</v>
      </c>
      <c r="R1033" s="41">
        <f>D1033-O1033</f>
        <v>0</v>
      </c>
      <c r="S1033" s="41">
        <f>E1033-P1033</f>
        <v>-1.4999999999999999E-2</v>
      </c>
    </row>
    <row r="1034" spans="1:19" x14ac:dyDescent="0.15">
      <c r="A1034" s="1">
        <v>6</v>
      </c>
      <c r="B1034" s="1">
        <v>12</v>
      </c>
      <c r="C1034" s="10">
        <v>0.24109999999999998</v>
      </c>
      <c r="D1034" s="5">
        <v>90</v>
      </c>
      <c r="E1034" s="10">
        <v>8.8599999999999998E-2</v>
      </c>
      <c r="F1034" s="5">
        <v>7560</v>
      </c>
      <c r="G1034" s="5">
        <v>330</v>
      </c>
      <c r="I1034" s="40">
        <f t="shared" si="43"/>
        <v>7560</v>
      </c>
      <c r="J1034" s="40">
        <f t="shared" si="44"/>
        <v>330</v>
      </c>
      <c r="K1034" s="1">
        <v>4910</v>
      </c>
      <c r="L1034" s="1">
        <v>290</v>
      </c>
      <c r="M1034">
        <f t="shared" si="45"/>
        <v>2690</v>
      </c>
      <c r="N1034" s="1">
        <v>0.24110000000000001</v>
      </c>
      <c r="O1034" s="1">
        <v>90</v>
      </c>
      <c r="P1034" s="24">
        <v>0.1036</v>
      </c>
      <c r="Q1034" s="31">
        <f>C1034-N1034</f>
        <v>0</v>
      </c>
      <c r="R1034" s="41">
        <f>D1034-O1034</f>
        <v>0</v>
      </c>
      <c r="S1034" s="41">
        <f>E1034-P1034</f>
        <v>-1.4999999999999999E-2</v>
      </c>
    </row>
    <row r="1035" spans="1:19" x14ac:dyDescent="0.15">
      <c r="A1035" s="1">
        <v>6</v>
      </c>
      <c r="B1035" s="1">
        <v>12</v>
      </c>
      <c r="C1035" s="10">
        <v>0.24109999999999998</v>
      </c>
      <c r="D1035" s="5">
        <v>90</v>
      </c>
      <c r="E1035" s="10">
        <v>9.3599999999999989E-2</v>
      </c>
      <c r="F1035" s="5">
        <v>6660</v>
      </c>
      <c r="G1035" s="5">
        <v>320</v>
      </c>
      <c r="I1035" s="40">
        <f t="shared" si="43"/>
        <v>6660</v>
      </c>
      <c r="J1035" s="40">
        <f t="shared" si="44"/>
        <v>320</v>
      </c>
      <c r="K1035" s="1">
        <v>4320</v>
      </c>
      <c r="L1035" s="1">
        <v>280</v>
      </c>
      <c r="M1035">
        <f t="shared" si="45"/>
        <v>2380</v>
      </c>
      <c r="N1035" s="1">
        <v>0.24110000000000001</v>
      </c>
      <c r="O1035" s="1">
        <v>90</v>
      </c>
      <c r="P1035" s="24">
        <v>0.1086</v>
      </c>
      <c r="Q1035" s="31">
        <f>C1035-N1035</f>
        <v>0</v>
      </c>
      <c r="R1035" s="41">
        <f>D1035-O1035</f>
        <v>0</v>
      </c>
      <c r="S1035" s="41">
        <f>E1035-P1035</f>
        <v>-1.5000000000000013E-2</v>
      </c>
    </row>
    <row r="1036" spans="1:19" x14ac:dyDescent="0.15">
      <c r="A1036" s="1">
        <v>6</v>
      </c>
      <c r="B1036" s="1">
        <v>12</v>
      </c>
      <c r="C1036" s="10">
        <v>0.24109999999999998</v>
      </c>
      <c r="D1036" s="5">
        <v>90</v>
      </c>
      <c r="E1036" s="10">
        <v>9.8599999999999993E-2</v>
      </c>
      <c r="F1036" s="5">
        <v>5880</v>
      </c>
      <c r="G1036" s="5">
        <v>310</v>
      </c>
      <c r="I1036" s="40">
        <f t="shared" si="43"/>
        <v>5880</v>
      </c>
      <c r="J1036" s="40">
        <f t="shared" si="44"/>
        <v>310</v>
      </c>
      <c r="K1036" s="1">
        <v>3560</v>
      </c>
      <c r="L1036" s="1">
        <v>270</v>
      </c>
      <c r="M1036">
        <f t="shared" si="45"/>
        <v>2360</v>
      </c>
      <c r="N1036" s="1">
        <v>0.24110000000000001</v>
      </c>
      <c r="O1036" s="1">
        <v>90</v>
      </c>
      <c r="P1036" s="24">
        <v>0.11360000000000001</v>
      </c>
      <c r="Q1036" s="31">
        <f>C1036-N1036</f>
        <v>0</v>
      </c>
      <c r="R1036" s="41">
        <f>D1036-O1036</f>
        <v>0</v>
      </c>
      <c r="S1036" s="41">
        <f>E1036-P1036</f>
        <v>-1.5000000000000013E-2</v>
      </c>
    </row>
    <row r="1037" spans="1:19" x14ac:dyDescent="0.15">
      <c r="A1037" s="1">
        <v>6</v>
      </c>
      <c r="B1037" s="1">
        <v>12</v>
      </c>
      <c r="C1037" s="10">
        <v>0.24109999999999998</v>
      </c>
      <c r="D1037" s="5">
        <v>90</v>
      </c>
      <c r="E1037" s="10">
        <v>0.1036</v>
      </c>
      <c r="F1037" s="5">
        <v>4910</v>
      </c>
      <c r="G1037" s="5">
        <v>290</v>
      </c>
      <c r="I1037" s="40">
        <f t="shared" si="43"/>
        <v>4910</v>
      </c>
      <c r="J1037" s="40">
        <f t="shared" si="44"/>
        <v>290</v>
      </c>
      <c r="K1037" s="1">
        <v>3130</v>
      </c>
      <c r="L1037" s="1">
        <v>260</v>
      </c>
      <c r="M1037">
        <f t="shared" si="45"/>
        <v>1810</v>
      </c>
      <c r="N1037" s="1">
        <v>0.24110000000000001</v>
      </c>
      <c r="O1037" s="1">
        <v>90</v>
      </c>
      <c r="P1037" s="24">
        <v>0.1186</v>
      </c>
      <c r="Q1037" s="31">
        <f>C1037-N1037</f>
        <v>0</v>
      </c>
      <c r="R1037" s="41">
        <f>D1037-O1037</f>
        <v>0</v>
      </c>
      <c r="S1037" s="41">
        <f>E1037-P1037</f>
        <v>-1.4999999999999999E-2</v>
      </c>
    </row>
    <row r="1038" spans="1:19" x14ac:dyDescent="0.15">
      <c r="A1038" s="1">
        <v>6</v>
      </c>
      <c r="B1038" s="1">
        <v>12</v>
      </c>
      <c r="C1038" s="10">
        <v>0.24109999999999998</v>
      </c>
      <c r="D1038" s="5">
        <v>90</v>
      </c>
      <c r="E1038" s="10">
        <v>0.10859999999999999</v>
      </c>
      <c r="F1038" s="5">
        <v>4320</v>
      </c>
      <c r="G1038" s="5">
        <v>280</v>
      </c>
      <c r="I1038" s="40">
        <f t="shared" si="43"/>
        <v>4320</v>
      </c>
      <c r="J1038" s="40">
        <f t="shared" si="44"/>
        <v>280</v>
      </c>
      <c r="K1038" s="1">
        <v>2630</v>
      </c>
      <c r="L1038" s="1">
        <v>260</v>
      </c>
      <c r="M1038">
        <f t="shared" si="45"/>
        <v>1710</v>
      </c>
      <c r="N1038" s="1">
        <v>0.24110000000000001</v>
      </c>
      <c r="O1038" s="1">
        <v>90</v>
      </c>
      <c r="P1038" s="24">
        <v>0.1236</v>
      </c>
      <c r="Q1038" s="31">
        <f>C1038-N1038</f>
        <v>0</v>
      </c>
      <c r="R1038" s="41">
        <f>D1038-O1038</f>
        <v>0</v>
      </c>
      <c r="S1038" s="41">
        <f>E1038-P1038</f>
        <v>-1.5000000000000013E-2</v>
      </c>
    </row>
    <row r="1039" spans="1:19" x14ac:dyDescent="0.15">
      <c r="A1039" s="1">
        <v>6</v>
      </c>
      <c r="B1039" s="1">
        <v>12</v>
      </c>
      <c r="C1039" s="10">
        <v>0.24109999999999998</v>
      </c>
      <c r="D1039" s="5">
        <v>90</v>
      </c>
      <c r="E1039" s="10">
        <v>0.11359999999999999</v>
      </c>
      <c r="F1039" s="5">
        <v>3560</v>
      </c>
      <c r="G1039" s="5">
        <v>270</v>
      </c>
      <c r="I1039" s="40">
        <f t="shared" si="43"/>
        <v>3560</v>
      </c>
      <c r="J1039" s="40">
        <f t="shared" si="44"/>
        <v>270</v>
      </c>
      <c r="K1039" s="1">
        <v>2450</v>
      </c>
      <c r="L1039" s="1">
        <v>280</v>
      </c>
      <c r="M1039">
        <f t="shared" si="45"/>
        <v>1100</v>
      </c>
      <c r="N1039" s="1">
        <v>0.24110000000000001</v>
      </c>
      <c r="O1039" s="1">
        <v>90</v>
      </c>
      <c r="P1039" s="24">
        <v>0.12859999999999999</v>
      </c>
      <c r="Q1039" s="31">
        <f>C1039-N1039</f>
        <v>0</v>
      </c>
      <c r="R1039" s="41">
        <f>D1039-O1039</f>
        <v>0</v>
      </c>
      <c r="S1039" s="41">
        <f>E1039-P1039</f>
        <v>-1.4999999999999999E-2</v>
      </c>
    </row>
    <row r="1040" spans="1:19" x14ac:dyDescent="0.15">
      <c r="A1040" s="1">
        <v>6</v>
      </c>
      <c r="B1040" s="1">
        <v>12</v>
      </c>
      <c r="C1040" s="10">
        <v>0.24109999999999998</v>
      </c>
      <c r="D1040" s="5">
        <v>90</v>
      </c>
      <c r="E1040" s="10">
        <v>0.1186</v>
      </c>
      <c r="F1040" s="5">
        <v>3130</v>
      </c>
      <c r="G1040" s="5">
        <v>260</v>
      </c>
      <c r="I1040" s="40">
        <f t="shared" si="43"/>
        <v>3130</v>
      </c>
      <c r="J1040" s="40">
        <f t="shared" si="44"/>
        <v>260</v>
      </c>
      <c r="K1040" s="1">
        <v>2070</v>
      </c>
      <c r="L1040" s="1">
        <v>280</v>
      </c>
      <c r="M1040">
        <f t="shared" si="45"/>
        <v>1040</v>
      </c>
      <c r="N1040" s="1">
        <v>0.24110000000000001</v>
      </c>
      <c r="O1040" s="1">
        <v>90</v>
      </c>
      <c r="P1040" s="24">
        <v>0.1336</v>
      </c>
      <c r="Q1040" s="31">
        <f>C1040-N1040</f>
        <v>0</v>
      </c>
      <c r="R1040" s="41">
        <f>D1040-O1040</f>
        <v>0</v>
      </c>
      <c r="S1040" s="41">
        <f>E1040-P1040</f>
        <v>-1.4999999999999999E-2</v>
      </c>
    </row>
    <row r="1041" spans="1:19" ht="14" thickBot="1" x14ac:dyDescent="0.2">
      <c r="A1041" s="1">
        <v>6</v>
      </c>
      <c r="B1041" s="1">
        <v>12</v>
      </c>
      <c r="C1041" s="10">
        <v>0.24109999999999998</v>
      </c>
      <c r="D1041" s="5">
        <v>90</v>
      </c>
      <c r="E1041" s="10">
        <v>0.12359999999999999</v>
      </c>
      <c r="F1041" s="5">
        <v>2630</v>
      </c>
      <c r="G1041" s="5">
        <v>260</v>
      </c>
      <c r="I1041" s="40">
        <f t="shared" si="43"/>
        <v>2630</v>
      </c>
      <c r="J1041" s="40">
        <f t="shared" si="44"/>
        <v>260</v>
      </c>
      <c r="K1041" s="1">
        <v>1990</v>
      </c>
      <c r="L1041" s="1">
        <v>310</v>
      </c>
      <c r="M1041">
        <f t="shared" si="45"/>
        <v>590</v>
      </c>
      <c r="N1041" s="1">
        <v>0.24110000000000001</v>
      </c>
      <c r="O1041" s="1">
        <v>90</v>
      </c>
      <c r="P1041" s="44">
        <v>0.1386</v>
      </c>
      <c r="Q1041" s="31">
        <f>C1041-N1041</f>
        <v>0</v>
      </c>
      <c r="R1041" s="41">
        <f>D1041-O1041</f>
        <v>0</v>
      </c>
      <c r="S1041" s="41">
        <f>E1041-P1041</f>
        <v>-1.5000000000000013E-2</v>
      </c>
    </row>
    <row r="1042" spans="1:19" ht="14" thickTop="1" x14ac:dyDescent="0.15">
      <c r="A1042" s="1">
        <v>6</v>
      </c>
      <c r="B1042" s="1">
        <v>12</v>
      </c>
      <c r="C1042" s="10">
        <v>0.24109999999999998</v>
      </c>
      <c r="D1042" s="5">
        <v>90</v>
      </c>
      <c r="E1042" s="10">
        <v>0.12859999999999999</v>
      </c>
      <c r="F1042" s="5">
        <v>2460</v>
      </c>
      <c r="G1042" s="5">
        <v>280</v>
      </c>
      <c r="I1042" s="40">
        <f t="shared" si="43"/>
        <v>2460</v>
      </c>
      <c r="J1042" s="40">
        <f t="shared" si="44"/>
        <v>280</v>
      </c>
      <c r="K1042" s="1">
        <v>1750</v>
      </c>
      <c r="L1042" s="1">
        <v>110</v>
      </c>
      <c r="M1042">
        <f t="shared" si="45"/>
        <v>880</v>
      </c>
      <c r="N1042" s="1">
        <v>0.19989999999999999</v>
      </c>
      <c r="O1042" s="1">
        <v>90</v>
      </c>
      <c r="P1042" s="24">
        <v>4.8999999999999998E-3</v>
      </c>
      <c r="Q1042" s="31">
        <f>C1042-N1042</f>
        <v>4.1199999999999987E-2</v>
      </c>
      <c r="R1042" s="41">
        <f>D1042-O1042</f>
        <v>0</v>
      </c>
      <c r="S1042" s="41">
        <f>E1042-P1042</f>
        <v>0.12369999999999999</v>
      </c>
    </row>
    <row r="1043" spans="1:19" x14ac:dyDescent="0.15">
      <c r="A1043" s="1">
        <v>6</v>
      </c>
      <c r="B1043" s="1">
        <v>12</v>
      </c>
      <c r="C1043" s="10">
        <v>0.24109999999999998</v>
      </c>
      <c r="D1043" s="5">
        <v>90</v>
      </c>
      <c r="E1043" s="10">
        <v>0.1336</v>
      </c>
      <c r="F1043" s="5">
        <v>2070</v>
      </c>
      <c r="G1043" s="5">
        <v>280</v>
      </c>
      <c r="I1043" s="40">
        <f t="shared" si="43"/>
        <v>2070</v>
      </c>
      <c r="J1043" s="40">
        <f t="shared" si="44"/>
        <v>280</v>
      </c>
      <c r="K1043" s="1">
        <v>20370</v>
      </c>
      <c r="L1043" s="1">
        <v>810</v>
      </c>
      <c r="M1043">
        <f t="shared" si="45"/>
        <v>-18830</v>
      </c>
      <c r="N1043" s="1">
        <v>0.19989999999999999</v>
      </c>
      <c r="O1043" s="1">
        <v>90</v>
      </c>
      <c r="P1043" s="24">
        <v>9.9000000000000008E-3</v>
      </c>
      <c r="Q1043" s="31">
        <f>C1043-N1043</f>
        <v>4.1199999999999987E-2</v>
      </c>
      <c r="R1043" s="41">
        <f>D1043-O1043</f>
        <v>0</v>
      </c>
      <c r="S1043" s="41">
        <f>E1043-P1043</f>
        <v>0.12369999999999999</v>
      </c>
    </row>
    <row r="1044" spans="1:19" x14ac:dyDescent="0.15">
      <c r="A1044" s="1">
        <v>6</v>
      </c>
      <c r="B1044" s="1">
        <v>12</v>
      </c>
      <c r="C1044" s="10">
        <v>0.24109999999999998</v>
      </c>
      <c r="D1044" s="5">
        <v>90</v>
      </c>
      <c r="E1044" s="10">
        <v>0.1386</v>
      </c>
      <c r="F1044" s="5">
        <v>1990</v>
      </c>
      <c r="G1044" s="5">
        <v>310</v>
      </c>
      <c r="I1044" s="40">
        <f t="shared" si="43"/>
        <v>1990</v>
      </c>
      <c r="J1044" s="40">
        <f t="shared" si="44"/>
        <v>310</v>
      </c>
      <c r="K1044" s="1">
        <v>12140</v>
      </c>
      <c r="L1044" s="1">
        <v>470</v>
      </c>
      <c r="M1044">
        <f t="shared" si="45"/>
        <v>-10310</v>
      </c>
      <c r="N1044" s="1">
        <v>0.19989999999999999</v>
      </c>
      <c r="O1044" s="1">
        <v>90</v>
      </c>
      <c r="P1044" s="24">
        <v>1.49E-2</v>
      </c>
      <c r="Q1044" s="31">
        <f>C1044-N1044</f>
        <v>4.1199999999999987E-2</v>
      </c>
      <c r="R1044" s="41">
        <f>D1044-O1044</f>
        <v>0</v>
      </c>
      <c r="S1044" s="41">
        <f>E1044-P1044</f>
        <v>0.1237</v>
      </c>
    </row>
    <row r="1045" spans="1:19" x14ac:dyDescent="0.15">
      <c r="A1045" s="1">
        <v>6</v>
      </c>
      <c r="B1045" s="1">
        <v>12</v>
      </c>
      <c r="C1045" s="10">
        <v>0.19989999999999999</v>
      </c>
      <c r="D1045" s="5">
        <v>90</v>
      </c>
      <c r="E1045" s="10">
        <v>4.9000000000000007E-3</v>
      </c>
      <c r="F1045" s="5">
        <v>1750</v>
      </c>
      <c r="G1045" s="5">
        <v>110</v>
      </c>
      <c r="I1045" s="40">
        <f t="shared" si="43"/>
        <v>1750</v>
      </c>
      <c r="J1045" s="40">
        <f t="shared" si="44"/>
        <v>110</v>
      </c>
      <c r="K1045" s="1">
        <v>9460</v>
      </c>
      <c r="L1045" s="1">
        <v>420</v>
      </c>
      <c r="M1045">
        <f t="shared" si="45"/>
        <v>-8020</v>
      </c>
      <c r="N1045" s="1">
        <v>0.19989999999999999</v>
      </c>
      <c r="O1045" s="1">
        <v>90</v>
      </c>
      <c r="P1045" s="24">
        <v>1.9900000000000001E-2</v>
      </c>
      <c r="Q1045" s="31">
        <f>C1045-N1045</f>
        <v>0</v>
      </c>
      <c r="R1045" s="41">
        <f>D1045-O1045</f>
        <v>0</v>
      </c>
      <c r="S1045" s="41">
        <f>E1045-P1045</f>
        <v>-1.4999999999999999E-2</v>
      </c>
    </row>
    <row r="1046" spans="1:19" x14ac:dyDescent="0.15">
      <c r="A1046" s="1">
        <v>6</v>
      </c>
      <c r="B1046" s="1">
        <v>12</v>
      </c>
      <c r="C1046" s="10">
        <v>0.19989999999999999</v>
      </c>
      <c r="D1046" s="5">
        <v>90</v>
      </c>
      <c r="E1046" s="10">
        <v>9.9000000000000008E-3</v>
      </c>
      <c r="F1046" s="5">
        <v>20370</v>
      </c>
      <c r="G1046" s="5">
        <v>810</v>
      </c>
      <c r="I1046" s="40">
        <f t="shared" si="43"/>
        <v>20370</v>
      </c>
      <c r="J1046" s="40">
        <f t="shared" si="44"/>
        <v>810</v>
      </c>
      <c r="K1046" s="1">
        <v>11500</v>
      </c>
      <c r="L1046" s="1">
        <v>490</v>
      </c>
      <c r="M1046">
        <f t="shared" si="45"/>
        <v>9190</v>
      </c>
      <c r="N1046" s="1">
        <v>0.19989999999999999</v>
      </c>
      <c r="O1046" s="1">
        <v>90</v>
      </c>
      <c r="P1046" s="24">
        <v>2.4899999999999999E-2</v>
      </c>
      <c r="Q1046" s="31">
        <f>C1046-N1046</f>
        <v>0</v>
      </c>
      <c r="R1046" s="41">
        <f>D1046-O1046</f>
        <v>0</v>
      </c>
      <c r="S1046" s="41">
        <f>E1046-P1046</f>
        <v>-1.4999999999999998E-2</v>
      </c>
    </row>
    <row r="1047" spans="1:19" x14ac:dyDescent="0.15">
      <c r="A1047" s="1">
        <v>6</v>
      </c>
      <c r="B1047" s="1">
        <v>12</v>
      </c>
      <c r="C1047" s="10">
        <v>0.19989999999999999</v>
      </c>
      <c r="D1047" s="5">
        <v>90</v>
      </c>
      <c r="E1047" s="10">
        <v>1.49E-2</v>
      </c>
      <c r="F1047" s="5">
        <v>12140</v>
      </c>
      <c r="G1047" s="5">
        <v>470</v>
      </c>
      <c r="I1047" s="40">
        <f t="shared" si="43"/>
        <v>12140</v>
      </c>
      <c r="J1047" s="40">
        <f t="shared" si="44"/>
        <v>470</v>
      </c>
      <c r="K1047" s="1">
        <v>11750</v>
      </c>
      <c r="L1047" s="1">
        <v>520</v>
      </c>
      <c r="M1047">
        <f t="shared" si="45"/>
        <v>340</v>
      </c>
      <c r="N1047" s="1">
        <v>0.19989999999999999</v>
      </c>
      <c r="O1047" s="1">
        <v>90</v>
      </c>
      <c r="P1047" s="24">
        <v>2.9899999999999999E-2</v>
      </c>
      <c r="Q1047" s="31">
        <f>C1047-N1047</f>
        <v>0</v>
      </c>
      <c r="R1047" s="41">
        <f>D1047-O1047</f>
        <v>0</v>
      </c>
      <c r="S1047" s="41">
        <f>E1047-P1047</f>
        <v>-1.4999999999999999E-2</v>
      </c>
    </row>
    <row r="1048" spans="1:19" x14ac:dyDescent="0.15">
      <c r="A1048" s="1">
        <v>6</v>
      </c>
      <c r="B1048" s="1">
        <v>12</v>
      </c>
      <c r="C1048" s="10">
        <v>0.19989999999999999</v>
      </c>
      <c r="D1048" s="5">
        <v>90</v>
      </c>
      <c r="E1048" s="10">
        <v>1.9899999999999998E-2</v>
      </c>
      <c r="F1048" s="5">
        <v>9460</v>
      </c>
      <c r="G1048" s="5">
        <v>420</v>
      </c>
      <c r="I1048" s="40">
        <f t="shared" si="43"/>
        <v>9460</v>
      </c>
      <c r="J1048" s="40">
        <f t="shared" si="44"/>
        <v>420</v>
      </c>
      <c r="K1048" s="1">
        <v>12570</v>
      </c>
      <c r="L1048" s="1">
        <v>540</v>
      </c>
      <c r="M1048">
        <f t="shared" si="45"/>
        <v>-3230</v>
      </c>
      <c r="N1048" s="1">
        <v>0.19989999999999999</v>
      </c>
      <c r="O1048" s="1">
        <v>90</v>
      </c>
      <c r="P1048" s="24">
        <v>3.49E-2</v>
      </c>
      <c r="Q1048" s="31">
        <f>C1048-N1048</f>
        <v>0</v>
      </c>
      <c r="R1048" s="41">
        <f>D1048-O1048</f>
        <v>0</v>
      </c>
      <c r="S1048" s="41">
        <f>E1048-P1048</f>
        <v>-1.5000000000000003E-2</v>
      </c>
    </row>
    <row r="1049" spans="1:19" x14ac:dyDescent="0.15">
      <c r="A1049" s="1">
        <v>6</v>
      </c>
      <c r="B1049" s="1">
        <v>12</v>
      </c>
      <c r="C1049" s="10">
        <v>0.19989999999999999</v>
      </c>
      <c r="D1049" s="5">
        <v>90</v>
      </c>
      <c r="E1049" s="10">
        <v>2.4899999999999999E-2</v>
      </c>
      <c r="F1049" s="5">
        <v>11500</v>
      </c>
      <c r="G1049" s="5">
        <v>490</v>
      </c>
      <c r="I1049" s="40">
        <f t="shared" si="43"/>
        <v>11500</v>
      </c>
      <c r="J1049" s="40">
        <f t="shared" si="44"/>
        <v>490</v>
      </c>
      <c r="K1049" s="1">
        <v>14300</v>
      </c>
      <c r="L1049" s="1">
        <v>630</v>
      </c>
      <c r="M1049">
        <f t="shared" si="45"/>
        <v>-2940</v>
      </c>
      <c r="N1049" s="1">
        <v>0.19989999999999999</v>
      </c>
      <c r="O1049" s="1">
        <v>90</v>
      </c>
      <c r="P1049" s="24">
        <v>3.9899999999999998E-2</v>
      </c>
      <c r="Q1049" s="31">
        <f>C1049-N1049</f>
        <v>0</v>
      </c>
      <c r="R1049" s="41">
        <f>D1049-O1049</f>
        <v>0</v>
      </c>
      <c r="S1049" s="41">
        <f>E1049-P1049</f>
        <v>-1.4999999999999999E-2</v>
      </c>
    </row>
    <row r="1050" spans="1:19" x14ac:dyDescent="0.15">
      <c r="A1050" s="1">
        <v>6</v>
      </c>
      <c r="B1050" s="1">
        <v>12</v>
      </c>
      <c r="C1050" s="10">
        <v>0.19989999999999999</v>
      </c>
      <c r="D1050" s="5">
        <v>90</v>
      </c>
      <c r="E1050" s="10">
        <v>2.9899999999999999E-2</v>
      </c>
      <c r="F1050" s="5">
        <v>11750</v>
      </c>
      <c r="G1050" s="5">
        <v>520</v>
      </c>
      <c r="I1050" s="40">
        <f t="shared" si="43"/>
        <v>11750</v>
      </c>
      <c r="J1050" s="40">
        <f t="shared" si="44"/>
        <v>520</v>
      </c>
      <c r="K1050" s="1">
        <v>15130</v>
      </c>
      <c r="L1050" s="1">
        <v>670</v>
      </c>
      <c r="M1050">
        <f t="shared" si="45"/>
        <v>-3530</v>
      </c>
      <c r="N1050" s="1">
        <v>0.19989999999999999</v>
      </c>
      <c r="O1050" s="1">
        <v>90</v>
      </c>
      <c r="P1050" s="24">
        <v>4.4900000000000002E-2</v>
      </c>
      <c r="Q1050" s="31">
        <f>C1050-N1050</f>
        <v>0</v>
      </c>
      <c r="R1050" s="41">
        <f>D1050-O1050</f>
        <v>0</v>
      </c>
      <c r="S1050" s="41">
        <f>E1050-P1050</f>
        <v>-1.5000000000000003E-2</v>
      </c>
    </row>
    <row r="1051" spans="1:19" x14ac:dyDescent="0.15">
      <c r="A1051" s="1">
        <v>6</v>
      </c>
      <c r="B1051" s="1">
        <v>12</v>
      </c>
      <c r="C1051" s="10">
        <v>0.19989999999999999</v>
      </c>
      <c r="D1051" s="5">
        <v>90</v>
      </c>
      <c r="E1051" s="10">
        <v>3.49E-2</v>
      </c>
      <c r="F1051" s="5">
        <v>12570</v>
      </c>
      <c r="G1051" s="5">
        <v>540</v>
      </c>
      <c r="I1051" s="40">
        <f t="shared" si="43"/>
        <v>12570</v>
      </c>
      <c r="J1051" s="40">
        <f t="shared" si="44"/>
        <v>540</v>
      </c>
      <c r="K1051" s="1">
        <v>15350</v>
      </c>
      <c r="L1051" s="1">
        <v>670</v>
      </c>
      <c r="M1051">
        <f t="shared" si="45"/>
        <v>-2910</v>
      </c>
      <c r="N1051" s="1">
        <v>0.19989999999999999</v>
      </c>
      <c r="O1051" s="1">
        <v>90</v>
      </c>
      <c r="P1051" s="24">
        <v>4.99E-2</v>
      </c>
      <c r="Q1051" s="31">
        <f>C1051-N1051</f>
        <v>0</v>
      </c>
      <c r="R1051" s="41">
        <f>D1051-O1051</f>
        <v>0</v>
      </c>
      <c r="S1051" s="41">
        <f>E1051-P1051</f>
        <v>-1.4999999999999999E-2</v>
      </c>
    </row>
    <row r="1052" spans="1:19" x14ac:dyDescent="0.15">
      <c r="A1052" s="1">
        <v>6</v>
      </c>
      <c r="B1052" s="1">
        <v>12</v>
      </c>
      <c r="C1052" s="10">
        <v>0.19989999999999999</v>
      </c>
      <c r="D1052" s="5">
        <v>90</v>
      </c>
      <c r="E1052" s="10">
        <v>3.9899999999999998E-2</v>
      </c>
      <c r="F1052" s="5">
        <v>14300</v>
      </c>
      <c r="G1052" s="5">
        <v>630</v>
      </c>
      <c r="I1052" s="40">
        <f t="shared" si="43"/>
        <v>14300</v>
      </c>
      <c r="J1052" s="40">
        <f t="shared" si="44"/>
        <v>630</v>
      </c>
      <c r="K1052" s="1">
        <v>15280</v>
      </c>
      <c r="L1052" s="1">
        <v>700</v>
      </c>
      <c r="M1052">
        <f t="shared" si="45"/>
        <v>-1050</v>
      </c>
      <c r="N1052" s="1">
        <v>0.19989999999999999</v>
      </c>
      <c r="O1052" s="1">
        <v>90</v>
      </c>
      <c r="P1052" s="24">
        <v>5.4899999999999997E-2</v>
      </c>
      <c r="Q1052" s="31">
        <f>C1052-N1052</f>
        <v>0</v>
      </c>
      <c r="R1052" s="41">
        <f>D1052-O1052</f>
        <v>0</v>
      </c>
      <c r="S1052" s="41">
        <f>E1052-P1052</f>
        <v>-1.4999999999999999E-2</v>
      </c>
    </row>
    <row r="1053" spans="1:19" x14ac:dyDescent="0.15">
      <c r="A1053" s="1">
        <v>6</v>
      </c>
      <c r="B1053" s="1">
        <v>12</v>
      </c>
      <c r="C1053" s="10">
        <v>0.19989999999999999</v>
      </c>
      <c r="D1053" s="5">
        <v>90</v>
      </c>
      <c r="E1053" s="10">
        <v>4.4899999999999995E-2</v>
      </c>
      <c r="F1053" s="5">
        <v>15130</v>
      </c>
      <c r="G1053" s="5">
        <v>670</v>
      </c>
      <c r="I1053" s="40">
        <f t="shared" si="43"/>
        <v>15130</v>
      </c>
      <c r="J1053" s="40">
        <f t="shared" si="44"/>
        <v>670</v>
      </c>
      <c r="K1053" s="1">
        <v>13750</v>
      </c>
      <c r="L1053" s="1">
        <v>680</v>
      </c>
      <c r="M1053">
        <f t="shared" si="45"/>
        <v>1370</v>
      </c>
      <c r="N1053" s="1">
        <v>0.19989999999999999</v>
      </c>
      <c r="O1053" s="1">
        <v>90</v>
      </c>
      <c r="P1053" s="24">
        <v>5.9900000000000002E-2</v>
      </c>
      <c r="Q1053" s="31">
        <f>C1053-N1053</f>
        <v>0</v>
      </c>
      <c r="R1053" s="41">
        <f>D1053-O1053</f>
        <v>0</v>
      </c>
      <c r="S1053" s="41">
        <f>E1053-P1053</f>
        <v>-1.5000000000000006E-2</v>
      </c>
    </row>
    <row r="1054" spans="1:19" x14ac:dyDescent="0.15">
      <c r="A1054" s="1">
        <v>6</v>
      </c>
      <c r="B1054" s="1">
        <v>12</v>
      </c>
      <c r="C1054" s="10">
        <v>0.19989999999999999</v>
      </c>
      <c r="D1054" s="5">
        <v>90</v>
      </c>
      <c r="E1054" s="10">
        <v>4.99E-2</v>
      </c>
      <c r="F1054" s="5">
        <v>15350</v>
      </c>
      <c r="G1054" s="5">
        <v>670</v>
      </c>
      <c r="I1054" s="40">
        <f t="shared" si="43"/>
        <v>15350</v>
      </c>
      <c r="J1054" s="40">
        <f t="shared" si="44"/>
        <v>670</v>
      </c>
      <c r="K1054" s="1">
        <v>12280</v>
      </c>
      <c r="L1054" s="1">
        <v>650</v>
      </c>
      <c r="M1054">
        <f t="shared" si="45"/>
        <v>3090</v>
      </c>
      <c r="N1054" s="1">
        <v>0.19989999999999999</v>
      </c>
      <c r="O1054" s="1">
        <v>90</v>
      </c>
      <c r="P1054" s="24">
        <v>6.4899999999999999E-2</v>
      </c>
      <c r="Q1054" s="31">
        <f>C1054-N1054</f>
        <v>0</v>
      </c>
      <c r="R1054" s="41">
        <f>D1054-O1054</f>
        <v>0</v>
      </c>
      <c r="S1054" s="41">
        <f>E1054-P1054</f>
        <v>-1.4999999999999999E-2</v>
      </c>
    </row>
    <row r="1055" spans="1:19" x14ac:dyDescent="0.15">
      <c r="A1055" s="1">
        <v>6</v>
      </c>
      <c r="B1055" s="1">
        <v>12</v>
      </c>
      <c r="C1055" s="10">
        <v>0.19989999999999999</v>
      </c>
      <c r="D1055" s="5">
        <v>90</v>
      </c>
      <c r="E1055" s="10">
        <v>5.4899999999999997E-2</v>
      </c>
      <c r="F1055" s="5">
        <v>15280</v>
      </c>
      <c r="G1055" s="5">
        <v>700</v>
      </c>
      <c r="I1055" s="40">
        <f t="shared" si="43"/>
        <v>15280</v>
      </c>
      <c r="J1055" s="40">
        <f t="shared" si="44"/>
        <v>700</v>
      </c>
      <c r="K1055" s="1">
        <v>10840</v>
      </c>
      <c r="L1055" s="1">
        <v>630</v>
      </c>
      <c r="M1055">
        <f t="shared" si="45"/>
        <v>4510</v>
      </c>
      <c r="N1055" s="1">
        <v>0.19989999999999999</v>
      </c>
      <c r="O1055" s="1">
        <v>90</v>
      </c>
      <c r="P1055" s="24">
        <v>6.9900000000000004E-2</v>
      </c>
      <c r="Q1055" s="31">
        <f>C1055-N1055</f>
        <v>0</v>
      </c>
      <c r="R1055" s="41">
        <f>D1055-O1055</f>
        <v>0</v>
      </c>
      <c r="S1055" s="41">
        <f>E1055-P1055</f>
        <v>-1.5000000000000006E-2</v>
      </c>
    </row>
    <row r="1056" spans="1:19" x14ac:dyDescent="0.15">
      <c r="A1056" s="1">
        <v>6</v>
      </c>
      <c r="B1056" s="1">
        <v>12</v>
      </c>
      <c r="C1056" s="10">
        <v>0.19989999999999999</v>
      </c>
      <c r="D1056" s="5">
        <v>90</v>
      </c>
      <c r="E1056" s="10">
        <v>5.9900000000000002E-2</v>
      </c>
      <c r="F1056" s="5">
        <v>13750</v>
      </c>
      <c r="G1056" s="5">
        <v>680</v>
      </c>
      <c r="I1056" s="40">
        <f t="shared" si="43"/>
        <v>13750</v>
      </c>
      <c r="J1056" s="40">
        <f t="shared" si="44"/>
        <v>680</v>
      </c>
      <c r="K1056" s="1">
        <v>9560</v>
      </c>
      <c r="L1056" s="1">
        <v>620</v>
      </c>
      <c r="M1056">
        <f t="shared" si="45"/>
        <v>4250</v>
      </c>
      <c r="N1056" s="1">
        <v>0.19989999999999999</v>
      </c>
      <c r="O1056" s="1">
        <v>90</v>
      </c>
      <c r="P1056" s="24">
        <v>7.4899999999999994E-2</v>
      </c>
      <c r="Q1056" s="31">
        <f>C1056-N1056</f>
        <v>0</v>
      </c>
      <c r="R1056" s="41">
        <f>D1056-O1056</f>
        <v>0</v>
      </c>
      <c r="S1056" s="41">
        <f>E1056-P1056</f>
        <v>-1.4999999999999993E-2</v>
      </c>
    </row>
    <row r="1057" spans="1:19" x14ac:dyDescent="0.15">
      <c r="A1057" s="1">
        <v>6</v>
      </c>
      <c r="B1057" s="1">
        <v>12</v>
      </c>
      <c r="C1057" s="10">
        <v>0.19989999999999999</v>
      </c>
      <c r="D1057" s="5">
        <v>90</v>
      </c>
      <c r="E1057" s="10">
        <v>6.4899999999999999E-2</v>
      </c>
      <c r="F1057" s="5">
        <v>12280</v>
      </c>
      <c r="G1057" s="5">
        <v>650</v>
      </c>
      <c r="I1057" s="40">
        <f t="shared" si="43"/>
        <v>12280</v>
      </c>
      <c r="J1057" s="40">
        <f t="shared" si="44"/>
        <v>650</v>
      </c>
      <c r="K1057" s="1">
        <v>7970</v>
      </c>
      <c r="L1057" s="1">
        <v>570</v>
      </c>
      <c r="M1057">
        <f t="shared" si="45"/>
        <v>4390</v>
      </c>
      <c r="N1057" s="1">
        <v>0.19989999999999999</v>
      </c>
      <c r="O1057" s="1">
        <v>90</v>
      </c>
      <c r="P1057" s="24">
        <v>7.9899999999999999E-2</v>
      </c>
      <c r="Q1057" s="31">
        <f>C1057-N1057</f>
        <v>0</v>
      </c>
      <c r="R1057" s="41">
        <f>D1057-O1057</f>
        <v>0</v>
      </c>
      <c r="S1057" s="41">
        <f>E1057-P1057</f>
        <v>-1.4999999999999999E-2</v>
      </c>
    </row>
    <row r="1058" spans="1:19" x14ac:dyDescent="0.15">
      <c r="A1058" s="1">
        <v>6</v>
      </c>
      <c r="B1058" s="1">
        <v>12</v>
      </c>
      <c r="C1058" s="10">
        <v>0.19989999999999999</v>
      </c>
      <c r="D1058" s="5">
        <v>90</v>
      </c>
      <c r="E1058" s="10">
        <v>6.9900000000000004E-2</v>
      </c>
      <c r="F1058" s="5">
        <v>10840</v>
      </c>
      <c r="G1058" s="5">
        <v>630</v>
      </c>
      <c r="I1058" s="40">
        <f t="shared" si="43"/>
        <v>10840</v>
      </c>
      <c r="J1058" s="40">
        <f t="shared" si="44"/>
        <v>630</v>
      </c>
      <c r="K1058" s="1">
        <v>6050</v>
      </c>
      <c r="L1058" s="1">
        <v>560</v>
      </c>
      <c r="M1058">
        <f t="shared" si="45"/>
        <v>4860</v>
      </c>
      <c r="N1058" s="1">
        <v>0.19989999999999999</v>
      </c>
      <c r="O1058" s="1">
        <v>90</v>
      </c>
      <c r="P1058" s="24">
        <v>8.4900000000000003E-2</v>
      </c>
      <c r="Q1058" s="31">
        <f>C1058-N1058</f>
        <v>0</v>
      </c>
      <c r="R1058" s="41">
        <f>D1058-O1058</f>
        <v>0</v>
      </c>
      <c r="S1058" s="41">
        <f>E1058-P1058</f>
        <v>-1.4999999999999999E-2</v>
      </c>
    </row>
    <row r="1059" spans="1:19" x14ac:dyDescent="0.15">
      <c r="A1059" s="1">
        <v>6</v>
      </c>
      <c r="B1059" s="1">
        <v>12</v>
      </c>
      <c r="C1059" s="10">
        <v>0.19989999999999999</v>
      </c>
      <c r="D1059" s="5">
        <v>90</v>
      </c>
      <c r="E1059" s="10">
        <v>7.4900000000000008E-2</v>
      </c>
      <c r="F1059" s="5">
        <v>9560</v>
      </c>
      <c r="G1059" s="5">
        <v>620</v>
      </c>
      <c r="I1059" s="40">
        <f t="shared" si="43"/>
        <v>9560</v>
      </c>
      <c r="J1059" s="40">
        <f t="shared" si="44"/>
        <v>620</v>
      </c>
      <c r="K1059" s="1">
        <v>5340</v>
      </c>
      <c r="L1059" s="1">
        <v>670</v>
      </c>
      <c r="M1059">
        <f t="shared" si="45"/>
        <v>4170</v>
      </c>
      <c r="N1059" s="1">
        <v>0.19989999999999999</v>
      </c>
      <c r="O1059" s="1">
        <v>90</v>
      </c>
      <c r="P1059" s="24">
        <v>8.9899999999999994E-2</v>
      </c>
      <c r="Q1059" s="31">
        <f>C1059-N1059</f>
        <v>0</v>
      </c>
      <c r="R1059" s="41">
        <f>D1059-O1059</f>
        <v>0</v>
      </c>
      <c r="S1059" s="41">
        <f>E1059-P1059</f>
        <v>-1.4999999999999986E-2</v>
      </c>
    </row>
    <row r="1060" spans="1:19" x14ac:dyDescent="0.15">
      <c r="A1060" s="1">
        <v>6</v>
      </c>
      <c r="B1060" s="1">
        <v>12</v>
      </c>
      <c r="C1060" s="10">
        <v>0.19989999999999999</v>
      </c>
      <c r="D1060" s="5">
        <v>90</v>
      </c>
      <c r="E1060" s="10">
        <v>7.9899999999999999E-2</v>
      </c>
      <c r="F1060" s="5">
        <v>7970</v>
      </c>
      <c r="G1060" s="5">
        <v>570</v>
      </c>
      <c r="I1060" s="40">
        <f t="shared" si="43"/>
        <v>7970</v>
      </c>
      <c r="J1060" s="40">
        <f t="shared" si="44"/>
        <v>570</v>
      </c>
      <c r="K1060" s="1">
        <v>4560</v>
      </c>
      <c r="L1060" s="1">
        <v>570</v>
      </c>
      <c r="M1060">
        <f t="shared" si="45"/>
        <v>3410</v>
      </c>
      <c r="N1060" s="1">
        <v>0.19989999999999999</v>
      </c>
      <c r="O1060" s="1">
        <v>90</v>
      </c>
      <c r="P1060" s="24">
        <v>9.4899999999999998E-2</v>
      </c>
      <c r="Q1060" s="31">
        <f>C1060-N1060</f>
        <v>0</v>
      </c>
      <c r="R1060" s="41">
        <f>D1060-O1060</f>
        <v>0</v>
      </c>
      <c r="S1060" s="41">
        <f>E1060-P1060</f>
        <v>-1.4999999999999999E-2</v>
      </c>
    </row>
    <row r="1061" spans="1:19" ht="14" thickBot="1" x14ac:dyDescent="0.2">
      <c r="A1061" s="1">
        <v>6</v>
      </c>
      <c r="B1061" s="1">
        <v>12</v>
      </c>
      <c r="C1061" s="10">
        <v>0.19989999999999999</v>
      </c>
      <c r="D1061" s="5">
        <v>90</v>
      </c>
      <c r="E1061" s="10">
        <v>8.4900000000000003E-2</v>
      </c>
      <c r="F1061" s="5">
        <v>6050</v>
      </c>
      <c r="G1061" s="5">
        <v>560</v>
      </c>
      <c r="I1061" s="40">
        <f t="shared" si="43"/>
        <v>6050</v>
      </c>
      <c r="J1061" s="40">
        <f t="shared" si="44"/>
        <v>560</v>
      </c>
      <c r="K1061" s="1">
        <v>3700</v>
      </c>
      <c r="L1061" s="1">
        <v>570</v>
      </c>
      <c r="M1061">
        <f t="shared" si="45"/>
        <v>2340</v>
      </c>
      <c r="N1061" s="1">
        <v>0.19989999999999999</v>
      </c>
      <c r="O1061" s="1">
        <v>90</v>
      </c>
      <c r="P1061" s="44">
        <v>9.9900000000000003E-2</v>
      </c>
      <c r="Q1061" s="31">
        <f>C1061-N1061</f>
        <v>0</v>
      </c>
      <c r="R1061" s="41">
        <f>D1061-O1061</f>
        <v>0</v>
      </c>
      <c r="S1061" s="41">
        <f>E1061-P1061</f>
        <v>-1.4999999999999999E-2</v>
      </c>
    </row>
    <row r="1062" spans="1:19" ht="14" thickTop="1" x14ac:dyDescent="0.15">
      <c r="A1062" s="1">
        <v>6</v>
      </c>
      <c r="B1062" s="1">
        <v>12</v>
      </c>
      <c r="C1062" s="10">
        <v>0.19989999999999999</v>
      </c>
      <c r="D1062" s="5">
        <v>90</v>
      </c>
      <c r="E1062" s="10">
        <v>8.9900000000000008E-2</v>
      </c>
      <c r="F1062" s="5">
        <v>5340</v>
      </c>
      <c r="G1062" s="5">
        <v>570</v>
      </c>
      <c r="I1062" s="40">
        <f t="shared" si="43"/>
        <v>5340</v>
      </c>
      <c r="J1062" s="40">
        <f t="shared" si="44"/>
        <v>570</v>
      </c>
      <c r="K1062" s="1">
        <v>122300</v>
      </c>
      <c r="L1062" s="1">
        <v>5450</v>
      </c>
      <c r="M1062">
        <f t="shared" si="45"/>
        <v>-121840</v>
      </c>
      <c r="N1062" s="1">
        <v>0.15970000000000001</v>
      </c>
      <c r="O1062" s="1">
        <v>90</v>
      </c>
      <c r="P1062" s="24">
        <v>2.2000000000000001E-3</v>
      </c>
      <c r="Q1062" s="31">
        <f>C1062-N1062</f>
        <v>4.0199999999999986E-2</v>
      </c>
      <c r="R1062" s="41">
        <f>D1062-O1062</f>
        <v>0</v>
      </c>
      <c r="S1062" s="41">
        <f>E1062-P1062</f>
        <v>8.7700000000000014E-2</v>
      </c>
    </row>
    <row r="1063" spans="1:19" x14ac:dyDescent="0.15">
      <c r="A1063" s="1">
        <v>6</v>
      </c>
      <c r="B1063" s="1">
        <v>12</v>
      </c>
      <c r="C1063" s="10">
        <v>0.19989999999999999</v>
      </c>
      <c r="D1063" s="5">
        <v>90</v>
      </c>
      <c r="E1063" s="10">
        <v>9.4900000000000012E-2</v>
      </c>
      <c r="F1063" s="5">
        <v>4560</v>
      </c>
      <c r="G1063" s="5">
        <v>570</v>
      </c>
      <c r="I1063" s="40">
        <f t="shared" si="43"/>
        <v>4560</v>
      </c>
      <c r="J1063" s="40">
        <f t="shared" si="44"/>
        <v>570</v>
      </c>
      <c r="K1063" s="1">
        <v>45470</v>
      </c>
      <c r="L1063" s="1">
        <v>2170</v>
      </c>
      <c r="M1063">
        <f t="shared" si="45"/>
        <v>-42510</v>
      </c>
      <c r="N1063" s="1">
        <v>0.15970000000000001</v>
      </c>
      <c r="O1063" s="1">
        <v>90</v>
      </c>
      <c r="P1063" s="24">
        <v>7.1999999999999998E-3</v>
      </c>
      <c r="Q1063" s="31">
        <f>C1063-N1063</f>
        <v>4.0199999999999986E-2</v>
      </c>
      <c r="R1063" s="41">
        <f>D1063-O1063</f>
        <v>0</v>
      </c>
      <c r="S1063" s="41">
        <f>E1063-P1063</f>
        <v>8.7700000000000014E-2</v>
      </c>
    </row>
    <row r="1064" spans="1:19" x14ac:dyDescent="0.15">
      <c r="A1064" s="1">
        <v>6</v>
      </c>
      <c r="B1064" s="1">
        <v>12</v>
      </c>
      <c r="C1064" s="10">
        <v>0.19989999999999999</v>
      </c>
      <c r="D1064" s="5">
        <v>90</v>
      </c>
      <c r="E1064" s="10">
        <v>9.9900000000000003E-2</v>
      </c>
      <c r="F1064" s="5">
        <v>3700</v>
      </c>
      <c r="G1064" s="5">
        <v>570</v>
      </c>
      <c r="I1064" s="40">
        <f t="shared" si="43"/>
        <v>3700</v>
      </c>
      <c r="J1064" s="40">
        <f t="shared" si="44"/>
        <v>570</v>
      </c>
      <c r="K1064" s="1">
        <v>22240</v>
      </c>
      <c r="L1064" s="1">
        <v>1400</v>
      </c>
      <c r="M1064">
        <f t="shared" si="45"/>
        <v>-19370</v>
      </c>
      <c r="N1064" s="1">
        <v>0.15970000000000001</v>
      </c>
      <c r="O1064" s="1">
        <v>90</v>
      </c>
      <c r="P1064" s="24">
        <v>1.2200000000000001E-2</v>
      </c>
      <c r="Q1064" s="31">
        <f>C1064-N1064</f>
        <v>4.0199999999999986E-2</v>
      </c>
      <c r="R1064" s="41">
        <f>D1064-O1064</f>
        <v>0</v>
      </c>
      <c r="S1064" s="41">
        <f>E1064-P1064</f>
        <v>8.77E-2</v>
      </c>
    </row>
    <row r="1065" spans="1:19" x14ac:dyDescent="0.15">
      <c r="A1065" s="1">
        <v>6</v>
      </c>
      <c r="B1065" s="1">
        <v>12</v>
      </c>
      <c r="C1065" s="10">
        <v>0.15969999999999998</v>
      </c>
      <c r="D1065" s="5">
        <v>90</v>
      </c>
      <c r="E1065" s="10">
        <v>2.2000000000000001E-3</v>
      </c>
      <c r="F1065" s="5">
        <v>122300</v>
      </c>
      <c r="G1065" s="5">
        <v>5450</v>
      </c>
      <c r="I1065" s="40">
        <f t="shared" si="43"/>
        <v>122300</v>
      </c>
      <c r="J1065" s="40">
        <f t="shared" si="44"/>
        <v>5450</v>
      </c>
      <c r="K1065" s="1">
        <v>13940</v>
      </c>
      <c r="L1065" s="1">
        <v>1140</v>
      </c>
      <c r="M1065">
        <f t="shared" si="45"/>
        <v>112670</v>
      </c>
      <c r="N1065" s="1">
        <v>0.15970000000000001</v>
      </c>
      <c r="O1065" s="1">
        <v>90</v>
      </c>
      <c r="P1065" s="24">
        <v>1.72E-2</v>
      </c>
      <c r="Q1065" s="31">
        <f>C1065-N1065</f>
        <v>0</v>
      </c>
      <c r="R1065" s="41">
        <f>D1065-O1065</f>
        <v>0</v>
      </c>
      <c r="S1065" s="41">
        <f>E1065-P1065</f>
        <v>-1.4999999999999999E-2</v>
      </c>
    </row>
    <row r="1066" spans="1:19" x14ac:dyDescent="0.15">
      <c r="A1066" s="1">
        <v>6</v>
      </c>
      <c r="B1066" s="1">
        <v>12</v>
      </c>
      <c r="C1066" s="10">
        <v>0.15969999999999998</v>
      </c>
      <c r="D1066" s="5">
        <v>90</v>
      </c>
      <c r="E1066" s="10">
        <v>7.1999999999999998E-3</v>
      </c>
      <c r="F1066" s="5">
        <v>45470</v>
      </c>
      <c r="G1066" s="5">
        <v>2170</v>
      </c>
      <c r="I1066" s="40">
        <f t="shared" si="43"/>
        <v>45470</v>
      </c>
      <c r="J1066" s="40">
        <f t="shared" si="44"/>
        <v>2170</v>
      </c>
      <c r="K1066" s="1">
        <v>19770</v>
      </c>
      <c r="L1066" s="1">
        <v>1330</v>
      </c>
      <c r="M1066">
        <f t="shared" si="45"/>
        <v>26540</v>
      </c>
      <c r="N1066" s="1">
        <v>0.15970000000000001</v>
      </c>
      <c r="O1066" s="1">
        <v>90</v>
      </c>
      <c r="P1066" s="24">
        <v>2.2200000000000001E-2</v>
      </c>
      <c r="Q1066" s="31">
        <f>C1066-N1066</f>
        <v>0</v>
      </c>
      <c r="R1066" s="41">
        <f>D1066-O1066</f>
        <v>0</v>
      </c>
      <c r="S1066" s="41">
        <f>E1066-P1066</f>
        <v>-1.5000000000000001E-2</v>
      </c>
    </row>
    <row r="1067" spans="1:19" x14ac:dyDescent="0.15">
      <c r="A1067" s="1">
        <v>6</v>
      </c>
      <c r="B1067" s="1">
        <v>12</v>
      </c>
      <c r="C1067" s="10">
        <v>0.15969999999999998</v>
      </c>
      <c r="D1067" s="5">
        <v>90</v>
      </c>
      <c r="E1067" s="10">
        <v>1.2199999999999999E-2</v>
      </c>
      <c r="F1067" s="5">
        <v>22240</v>
      </c>
      <c r="G1067" s="5">
        <v>1400</v>
      </c>
      <c r="I1067" s="40">
        <f t="shared" si="43"/>
        <v>22240</v>
      </c>
      <c r="J1067" s="40">
        <f t="shared" si="44"/>
        <v>1400</v>
      </c>
      <c r="K1067" s="1">
        <v>22000</v>
      </c>
      <c r="L1067" s="1">
        <v>1360</v>
      </c>
      <c r="M1067">
        <f t="shared" si="45"/>
        <v>280</v>
      </c>
      <c r="N1067" s="1">
        <v>0.15970000000000001</v>
      </c>
      <c r="O1067" s="1">
        <v>90</v>
      </c>
      <c r="P1067" s="24">
        <v>2.7199999999999998E-2</v>
      </c>
      <c r="Q1067" s="31">
        <f>C1067-N1067</f>
        <v>0</v>
      </c>
      <c r="R1067" s="41">
        <f>D1067-O1067</f>
        <v>0</v>
      </c>
      <c r="S1067" s="41">
        <f>E1067-P1067</f>
        <v>-1.4999999999999999E-2</v>
      </c>
    </row>
    <row r="1068" spans="1:19" x14ac:dyDescent="0.15">
      <c r="A1068" s="1">
        <v>6</v>
      </c>
      <c r="B1068" s="1">
        <v>12</v>
      </c>
      <c r="C1068" s="10">
        <v>0.15969999999999998</v>
      </c>
      <c r="D1068" s="5">
        <v>90</v>
      </c>
      <c r="E1068" s="10">
        <v>1.72E-2</v>
      </c>
      <c r="F1068" s="5">
        <v>13940</v>
      </c>
      <c r="G1068" s="5">
        <v>1140</v>
      </c>
      <c r="I1068" s="40">
        <f t="shared" si="43"/>
        <v>13940</v>
      </c>
      <c r="J1068" s="40">
        <f t="shared" si="44"/>
        <v>1140</v>
      </c>
      <c r="K1068" s="1">
        <v>23400</v>
      </c>
      <c r="L1068" s="1">
        <v>1470</v>
      </c>
      <c r="M1068">
        <f t="shared" si="45"/>
        <v>-9790</v>
      </c>
      <c r="N1068" s="1">
        <v>0.15970000000000001</v>
      </c>
      <c r="O1068" s="1">
        <v>90</v>
      </c>
      <c r="P1068" s="24">
        <v>3.2199999999999999E-2</v>
      </c>
      <c r="Q1068" s="31">
        <f>C1068-N1068</f>
        <v>0</v>
      </c>
      <c r="R1068" s="41">
        <f>D1068-O1068</f>
        <v>0</v>
      </c>
      <c r="S1068" s="41">
        <f>E1068-P1068</f>
        <v>-1.4999999999999999E-2</v>
      </c>
    </row>
    <row r="1069" spans="1:19" x14ac:dyDescent="0.15">
      <c r="A1069" s="1">
        <v>6</v>
      </c>
      <c r="B1069" s="1">
        <v>12</v>
      </c>
      <c r="C1069" s="10">
        <v>0.15969999999999998</v>
      </c>
      <c r="D1069" s="5">
        <v>90</v>
      </c>
      <c r="E1069" s="10">
        <v>2.2200000000000001E-2</v>
      </c>
      <c r="F1069" s="5">
        <v>19770</v>
      </c>
      <c r="G1069" s="5">
        <v>1330</v>
      </c>
      <c r="I1069" s="40">
        <f t="shared" si="43"/>
        <v>19770</v>
      </c>
      <c r="J1069" s="40">
        <f t="shared" si="44"/>
        <v>1330</v>
      </c>
      <c r="K1069" s="1">
        <v>22540</v>
      </c>
      <c r="L1069" s="1">
        <v>1420</v>
      </c>
      <c r="M1069">
        <f t="shared" si="45"/>
        <v>-2860</v>
      </c>
      <c r="N1069" s="1">
        <v>0.15970000000000001</v>
      </c>
      <c r="O1069" s="1">
        <v>90</v>
      </c>
      <c r="P1069" s="24">
        <v>3.7199999999999997E-2</v>
      </c>
      <c r="Q1069" s="31">
        <f>C1069-N1069</f>
        <v>0</v>
      </c>
      <c r="R1069" s="41">
        <f>D1069-O1069</f>
        <v>0</v>
      </c>
      <c r="S1069" s="41">
        <f>E1069-P1069</f>
        <v>-1.4999999999999996E-2</v>
      </c>
    </row>
    <row r="1070" spans="1:19" x14ac:dyDescent="0.15">
      <c r="A1070" s="1">
        <v>6</v>
      </c>
      <c r="B1070" s="1">
        <v>12</v>
      </c>
      <c r="C1070" s="10">
        <v>0.15969999999999998</v>
      </c>
      <c r="D1070" s="5">
        <v>90</v>
      </c>
      <c r="E1070" s="10">
        <v>2.7199999999999998E-2</v>
      </c>
      <c r="F1070" s="5">
        <v>22000</v>
      </c>
      <c r="G1070" s="5">
        <v>1360</v>
      </c>
      <c r="I1070" s="40">
        <f t="shared" si="43"/>
        <v>22000</v>
      </c>
      <c r="J1070" s="40">
        <f t="shared" si="44"/>
        <v>1360</v>
      </c>
      <c r="K1070" s="1">
        <v>21370</v>
      </c>
      <c r="L1070" s="1">
        <v>1400</v>
      </c>
      <c r="M1070">
        <f t="shared" si="45"/>
        <v>590</v>
      </c>
      <c r="N1070" s="1">
        <v>0.15970000000000001</v>
      </c>
      <c r="O1070" s="1">
        <v>90</v>
      </c>
      <c r="P1070" s="24">
        <v>4.2200000000000001E-2</v>
      </c>
      <c r="Q1070" s="31">
        <f>C1070-N1070</f>
        <v>0</v>
      </c>
      <c r="R1070" s="41">
        <f>D1070-O1070</f>
        <v>0</v>
      </c>
      <c r="S1070" s="41">
        <f>E1070-P1070</f>
        <v>-1.5000000000000003E-2</v>
      </c>
    </row>
    <row r="1071" spans="1:19" x14ac:dyDescent="0.15">
      <c r="A1071" s="1">
        <v>6</v>
      </c>
      <c r="B1071" s="1">
        <v>12</v>
      </c>
      <c r="C1071" s="10">
        <v>0.15969999999999998</v>
      </c>
      <c r="D1071" s="5">
        <v>90</v>
      </c>
      <c r="E1071" s="10">
        <v>3.2199999999999999E-2</v>
      </c>
      <c r="F1071" s="5">
        <v>23400</v>
      </c>
      <c r="G1071" s="5">
        <v>1470</v>
      </c>
      <c r="I1071" s="40">
        <f t="shared" si="43"/>
        <v>23400</v>
      </c>
      <c r="J1071" s="40">
        <f t="shared" si="44"/>
        <v>1470</v>
      </c>
      <c r="K1071" s="1">
        <v>19390</v>
      </c>
      <c r="L1071" s="1">
        <v>1380</v>
      </c>
      <c r="M1071">
        <f t="shared" si="45"/>
        <v>4100</v>
      </c>
      <c r="N1071" s="1">
        <v>0.15970000000000001</v>
      </c>
      <c r="O1071" s="1">
        <v>90</v>
      </c>
      <c r="P1071" s="24">
        <v>4.7199999999999999E-2</v>
      </c>
      <c r="Q1071" s="31">
        <f>C1071-N1071</f>
        <v>0</v>
      </c>
      <c r="R1071" s="41">
        <f>D1071-O1071</f>
        <v>0</v>
      </c>
      <c r="S1071" s="41">
        <f>E1071-P1071</f>
        <v>-1.4999999999999999E-2</v>
      </c>
    </row>
    <row r="1072" spans="1:19" x14ac:dyDescent="0.15">
      <c r="A1072" s="1">
        <v>6</v>
      </c>
      <c r="B1072" s="1">
        <v>12</v>
      </c>
      <c r="C1072" s="10">
        <v>0.15969999999999998</v>
      </c>
      <c r="D1072" s="5">
        <v>90</v>
      </c>
      <c r="E1072" s="10">
        <v>3.7200000000000004E-2</v>
      </c>
      <c r="F1072" s="5">
        <v>22540</v>
      </c>
      <c r="G1072" s="5">
        <v>1420</v>
      </c>
      <c r="I1072" s="40">
        <f t="shared" si="43"/>
        <v>22540</v>
      </c>
      <c r="J1072" s="40">
        <f t="shared" si="44"/>
        <v>1420</v>
      </c>
      <c r="K1072" s="1">
        <v>17230</v>
      </c>
      <c r="L1072" s="1">
        <v>1350</v>
      </c>
      <c r="M1072">
        <f t="shared" si="45"/>
        <v>5380</v>
      </c>
      <c r="N1072" s="1">
        <v>0.15970000000000001</v>
      </c>
      <c r="O1072" s="1">
        <v>90</v>
      </c>
      <c r="P1072" s="24">
        <v>5.2200000000000003E-2</v>
      </c>
      <c r="Q1072" s="31">
        <f>C1072-N1072</f>
        <v>0</v>
      </c>
      <c r="R1072" s="41">
        <f>D1072-O1072</f>
        <v>0</v>
      </c>
      <c r="S1072" s="41">
        <f>E1072-P1072</f>
        <v>-1.4999999999999999E-2</v>
      </c>
    </row>
    <row r="1073" spans="1:19" x14ac:dyDescent="0.15">
      <c r="A1073" s="1">
        <v>6</v>
      </c>
      <c r="B1073" s="1">
        <v>12</v>
      </c>
      <c r="C1073" s="10">
        <v>0.15969999999999998</v>
      </c>
      <c r="D1073" s="5">
        <v>90</v>
      </c>
      <c r="E1073" s="10">
        <v>4.2200000000000001E-2</v>
      </c>
      <c r="F1073" s="5">
        <v>21370</v>
      </c>
      <c r="G1073" s="5">
        <v>1400</v>
      </c>
      <c r="I1073" s="40">
        <f t="shared" si="43"/>
        <v>21370</v>
      </c>
      <c r="J1073" s="40">
        <f t="shared" si="44"/>
        <v>1400</v>
      </c>
      <c r="K1073" s="1">
        <v>14640</v>
      </c>
      <c r="L1073" s="1">
        <v>1310</v>
      </c>
      <c r="M1073">
        <f t="shared" si="45"/>
        <v>6820</v>
      </c>
      <c r="N1073" s="1">
        <v>0.15970000000000001</v>
      </c>
      <c r="O1073" s="1">
        <v>90</v>
      </c>
      <c r="P1073" s="24">
        <v>5.7200000000000001E-2</v>
      </c>
      <c r="Q1073" s="31">
        <f>C1073-N1073</f>
        <v>0</v>
      </c>
      <c r="R1073" s="41">
        <f>D1073-O1073</f>
        <v>0</v>
      </c>
      <c r="S1073" s="41">
        <f>E1073-P1073</f>
        <v>-1.4999999999999999E-2</v>
      </c>
    </row>
    <row r="1074" spans="1:19" ht="14" thickBot="1" x14ac:dyDescent="0.2">
      <c r="A1074" s="1">
        <v>6</v>
      </c>
      <c r="B1074" s="1">
        <v>12</v>
      </c>
      <c r="C1074" s="10">
        <v>0.15969999999999998</v>
      </c>
      <c r="D1074" s="5">
        <v>90</v>
      </c>
      <c r="E1074" s="10">
        <v>4.7200000000000006E-2</v>
      </c>
      <c r="F1074" s="5">
        <v>19390</v>
      </c>
      <c r="G1074" s="5">
        <v>1380</v>
      </c>
      <c r="I1074" s="40">
        <f t="shared" si="43"/>
        <v>19390</v>
      </c>
      <c r="J1074" s="40">
        <f t="shared" si="44"/>
        <v>1380</v>
      </c>
      <c r="K1074" s="1">
        <v>12000</v>
      </c>
      <c r="L1074" s="1">
        <v>1270</v>
      </c>
      <c r="M1074">
        <f t="shared" si="45"/>
        <v>7500</v>
      </c>
      <c r="N1074" s="1">
        <v>0.15970000000000001</v>
      </c>
      <c r="O1074" s="1">
        <v>90</v>
      </c>
      <c r="P1074" s="44">
        <v>6.2199999999999998E-2</v>
      </c>
      <c r="Q1074" s="31">
        <f>C1074-N1074</f>
        <v>0</v>
      </c>
      <c r="R1074" s="41">
        <f>D1074-O1074</f>
        <v>0</v>
      </c>
      <c r="S1074" s="41">
        <f>E1074-P1074</f>
        <v>-1.4999999999999993E-2</v>
      </c>
    </row>
    <row r="1075" spans="1:19" ht="14" thickTop="1" x14ac:dyDescent="0.15">
      <c r="A1075" s="1">
        <v>6</v>
      </c>
      <c r="B1075" s="1">
        <v>12</v>
      </c>
      <c r="C1075" s="10">
        <v>0.15969999999999998</v>
      </c>
      <c r="D1075" s="5">
        <v>90</v>
      </c>
      <c r="E1075" s="10">
        <v>5.2200000000000003E-2</v>
      </c>
      <c r="F1075" s="5">
        <v>17230</v>
      </c>
      <c r="G1075" s="5">
        <v>1350</v>
      </c>
      <c r="I1075" s="40">
        <f t="shared" si="43"/>
        <v>17230</v>
      </c>
      <c r="J1075" s="40">
        <f t="shared" si="44"/>
        <v>1350</v>
      </c>
      <c r="K1075" s="1">
        <v>86760</v>
      </c>
      <c r="L1075" s="1">
        <v>9860</v>
      </c>
      <c r="M1075">
        <f t="shared" si="45"/>
        <v>-78040</v>
      </c>
      <c r="N1075" s="1">
        <v>0.1196</v>
      </c>
      <c r="O1075" s="1">
        <v>90</v>
      </c>
      <c r="P1075" s="24">
        <v>7.1000000000000004E-3</v>
      </c>
      <c r="Q1075" s="31">
        <f>C1075-N1075</f>
        <v>4.0099999999999983E-2</v>
      </c>
      <c r="R1075" s="41">
        <f>D1075-O1075</f>
        <v>0</v>
      </c>
      <c r="S1075" s="41">
        <f>E1075-P1075</f>
        <v>4.5100000000000001E-2</v>
      </c>
    </row>
    <row r="1076" spans="1:19" x14ac:dyDescent="0.15">
      <c r="A1076" s="1">
        <v>6</v>
      </c>
      <c r="B1076" s="1">
        <v>12</v>
      </c>
      <c r="C1076" s="10">
        <v>0.15969999999999998</v>
      </c>
      <c r="D1076" s="5">
        <v>90</v>
      </c>
      <c r="E1076" s="10">
        <v>5.7200000000000001E-2</v>
      </c>
      <c r="F1076" s="5">
        <v>14640</v>
      </c>
      <c r="G1076" s="5">
        <v>1310</v>
      </c>
      <c r="I1076" s="40">
        <f t="shared" si="43"/>
        <v>14640</v>
      </c>
      <c r="J1076" s="40">
        <f t="shared" si="44"/>
        <v>1310</v>
      </c>
      <c r="K1076" s="1">
        <v>26350</v>
      </c>
      <c r="L1076" s="1">
        <v>5890</v>
      </c>
      <c r="M1076">
        <f t="shared" si="45"/>
        <v>-16290</v>
      </c>
      <c r="N1076" s="1">
        <v>0.1196</v>
      </c>
      <c r="O1076" s="1">
        <v>90</v>
      </c>
      <c r="P1076" s="24">
        <v>1.21E-2</v>
      </c>
      <c r="Q1076" s="31">
        <f>C1076-N1076</f>
        <v>4.0099999999999983E-2</v>
      </c>
      <c r="R1076" s="41">
        <f>D1076-O1076</f>
        <v>0</v>
      </c>
      <c r="S1076" s="41">
        <f>E1076-P1076</f>
        <v>4.5100000000000001E-2</v>
      </c>
    </row>
    <row r="1077" spans="1:19" x14ac:dyDescent="0.15">
      <c r="A1077" s="1">
        <v>6</v>
      </c>
      <c r="B1077" s="1">
        <v>12</v>
      </c>
      <c r="C1077" s="10">
        <v>0.15969999999999998</v>
      </c>
      <c r="D1077" s="5">
        <v>90</v>
      </c>
      <c r="E1077" s="10">
        <v>6.2200000000000005E-2</v>
      </c>
      <c r="F1077" s="5">
        <v>12000</v>
      </c>
      <c r="G1077" s="5">
        <v>1270</v>
      </c>
      <c r="I1077" s="40">
        <f t="shared" si="43"/>
        <v>12000</v>
      </c>
      <c r="J1077" s="40">
        <f t="shared" si="44"/>
        <v>1270</v>
      </c>
      <c r="K1077" s="1">
        <v>25810</v>
      </c>
      <c r="L1077" s="1">
        <v>4670</v>
      </c>
      <c r="M1077">
        <f t="shared" si="45"/>
        <v>-17210</v>
      </c>
      <c r="N1077" s="1">
        <v>0.1196</v>
      </c>
      <c r="O1077" s="1">
        <v>90</v>
      </c>
      <c r="P1077" s="24">
        <v>1.7100000000000001E-2</v>
      </c>
      <c r="Q1077" s="31">
        <f>C1077-N1077</f>
        <v>4.0099999999999983E-2</v>
      </c>
      <c r="R1077" s="41">
        <f>D1077-O1077</f>
        <v>0</v>
      </c>
      <c r="S1077" s="41">
        <f>E1077-P1077</f>
        <v>4.5100000000000001E-2</v>
      </c>
    </row>
    <row r="1078" spans="1:19" ht="14" thickBot="1" x14ac:dyDescent="0.2">
      <c r="A1078" s="1">
        <v>6</v>
      </c>
      <c r="B1078" s="1">
        <v>12</v>
      </c>
      <c r="C1078" s="10">
        <v>0.1196</v>
      </c>
      <c r="D1078" s="5">
        <v>90</v>
      </c>
      <c r="E1078" s="10">
        <v>7.0999999999999995E-3</v>
      </c>
      <c r="F1078" s="5">
        <v>86760</v>
      </c>
      <c r="G1078" s="5">
        <v>9860</v>
      </c>
      <c r="I1078" s="40">
        <f t="shared" si="43"/>
        <v>86760</v>
      </c>
      <c r="J1078" s="40">
        <f t="shared" si="44"/>
        <v>9860</v>
      </c>
      <c r="K1078" s="1">
        <v>40060</v>
      </c>
      <c r="L1078" s="1">
        <v>4770</v>
      </c>
      <c r="M1078">
        <f t="shared" si="45"/>
        <v>51790</v>
      </c>
      <c r="N1078" s="1">
        <v>0.1196</v>
      </c>
      <c r="O1078" s="1">
        <v>90</v>
      </c>
      <c r="P1078" s="44">
        <v>2.2100000000000002E-2</v>
      </c>
      <c r="Q1078" s="31">
        <f>C1078-N1078</f>
        <v>0</v>
      </c>
      <c r="R1078" s="41">
        <f>D1078-O1078</f>
        <v>0</v>
      </c>
      <c r="S1078" s="41">
        <f>E1078-P1078</f>
        <v>-1.5000000000000003E-2</v>
      </c>
    </row>
    <row r="1079" spans="1:19" ht="14" thickTop="1" x14ac:dyDescent="0.15">
      <c r="A1079" s="1">
        <v>6</v>
      </c>
      <c r="B1079" s="1">
        <v>12</v>
      </c>
      <c r="C1079" s="10">
        <v>0.1196</v>
      </c>
      <c r="D1079" s="5">
        <v>90</v>
      </c>
      <c r="E1079" s="10">
        <v>1.21E-2</v>
      </c>
      <c r="F1079" s="5">
        <v>26350</v>
      </c>
      <c r="G1079" s="5">
        <v>5890</v>
      </c>
      <c r="I1079" s="40">
        <f t="shared" si="43"/>
        <v>26350</v>
      </c>
      <c r="J1079" s="40">
        <f t="shared" si="44"/>
        <v>5890</v>
      </c>
      <c r="K1079" s="1">
        <v>10</v>
      </c>
      <c r="L1079" s="1">
        <v>2</v>
      </c>
      <c r="M1079">
        <f t="shared" si="45"/>
        <v>32228</v>
      </c>
      <c r="N1079" s="1">
        <v>0.56000000000000005</v>
      </c>
      <c r="O1079" s="1">
        <v>145</v>
      </c>
      <c r="P1079" s="24">
        <v>0.1925</v>
      </c>
      <c r="Q1079" s="31">
        <f>C1079-N1079</f>
        <v>-0.44040000000000007</v>
      </c>
      <c r="R1079" s="41">
        <f>D1079-O1079</f>
        <v>-55</v>
      </c>
      <c r="S1079" s="41">
        <f>E1079-P1079</f>
        <v>-0.1804</v>
      </c>
    </row>
    <row r="1080" spans="1:19" x14ac:dyDescent="0.15">
      <c r="A1080" s="1">
        <v>6</v>
      </c>
      <c r="B1080" s="1">
        <v>12</v>
      </c>
      <c r="C1080" s="10">
        <v>0.1196</v>
      </c>
      <c r="D1080" s="5">
        <v>90</v>
      </c>
      <c r="E1080" s="10">
        <v>1.7100000000000001E-2</v>
      </c>
      <c r="F1080" s="5">
        <v>25810</v>
      </c>
      <c r="G1080" s="5">
        <v>4670</v>
      </c>
      <c r="I1080" s="40">
        <f t="shared" si="43"/>
        <v>25810</v>
      </c>
      <c r="J1080" s="40">
        <f t="shared" si="44"/>
        <v>4670</v>
      </c>
      <c r="K1080" s="1">
        <v>16</v>
      </c>
      <c r="L1080" s="1">
        <v>3</v>
      </c>
      <c r="M1080">
        <f t="shared" si="45"/>
        <v>30461</v>
      </c>
      <c r="N1080" s="1">
        <v>0.56000000000000005</v>
      </c>
      <c r="O1080" s="1">
        <v>145</v>
      </c>
      <c r="P1080" s="24">
        <v>0.20250000000000001</v>
      </c>
      <c r="Q1080" s="31">
        <f>C1080-N1080</f>
        <v>-0.44040000000000007</v>
      </c>
      <c r="R1080" s="41">
        <f>D1080-O1080</f>
        <v>-55</v>
      </c>
      <c r="S1080" s="41">
        <f>E1080-P1080</f>
        <v>-0.18540000000000001</v>
      </c>
    </row>
    <row r="1081" spans="1:19" x14ac:dyDescent="0.15">
      <c r="A1081" s="1">
        <v>6</v>
      </c>
      <c r="B1081" s="1">
        <v>12</v>
      </c>
      <c r="C1081" s="10">
        <v>0.1196</v>
      </c>
      <c r="D1081" s="5">
        <v>90</v>
      </c>
      <c r="E1081" s="10">
        <v>2.2100000000000002E-2</v>
      </c>
      <c r="F1081" s="5">
        <v>40060</v>
      </c>
      <c r="G1081" s="5">
        <v>4770</v>
      </c>
      <c r="I1081" s="40">
        <f t="shared" ref="I1081:I1144" si="46">F1081</f>
        <v>40060</v>
      </c>
      <c r="J1081" s="40">
        <f t="shared" ref="J1081:J1144" si="47">G1081</f>
        <v>4770</v>
      </c>
      <c r="K1081" s="1">
        <v>23</v>
      </c>
      <c r="L1081" s="1">
        <v>1</v>
      </c>
      <c r="M1081">
        <f t="shared" si="45"/>
        <v>44806</v>
      </c>
      <c r="N1081" s="1">
        <v>0.56000000000000005</v>
      </c>
      <c r="O1081" s="1">
        <v>145</v>
      </c>
      <c r="P1081" s="24">
        <v>0.21249999999999999</v>
      </c>
      <c r="Q1081" s="31">
        <f>C1081-N1081</f>
        <v>-0.44040000000000007</v>
      </c>
      <c r="R1081" s="41">
        <f>D1081-O1081</f>
        <v>-55</v>
      </c>
      <c r="S1081" s="41">
        <f>E1081-P1081</f>
        <v>-0.19039999999999999</v>
      </c>
    </row>
    <row r="1082" spans="1:19" x14ac:dyDescent="0.15">
      <c r="A1082" s="1">
        <v>6</v>
      </c>
      <c r="B1082" s="1">
        <v>12</v>
      </c>
      <c r="C1082" s="10">
        <v>0.56000000000000005</v>
      </c>
      <c r="D1082" s="5">
        <v>145</v>
      </c>
      <c r="E1082" s="10">
        <v>0.1925</v>
      </c>
      <c r="F1082" s="5">
        <v>10</v>
      </c>
      <c r="G1082" s="5">
        <v>2</v>
      </c>
      <c r="I1082" s="40">
        <f t="shared" si="46"/>
        <v>10</v>
      </c>
      <c r="J1082" s="40">
        <f t="shared" si="47"/>
        <v>2</v>
      </c>
      <c r="K1082" s="1">
        <v>34</v>
      </c>
      <c r="L1082" s="1">
        <v>2</v>
      </c>
      <c r="M1082">
        <f t="shared" si="45"/>
        <v>-24</v>
      </c>
      <c r="N1082" s="1">
        <v>0.56000000000000005</v>
      </c>
      <c r="O1082" s="1">
        <v>145</v>
      </c>
      <c r="P1082" s="24">
        <v>0.2225</v>
      </c>
      <c r="Q1082" s="31">
        <f>C1082-N1082</f>
        <v>0</v>
      </c>
      <c r="R1082" s="41">
        <f>D1082-O1082</f>
        <v>0</v>
      </c>
      <c r="S1082" s="41">
        <f>E1082-P1082</f>
        <v>-0.03</v>
      </c>
    </row>
    <row r="1083" spans="1:19" x14ac:dyDescent="0.15">
      <c r="A1083" s="1">
        <v>6</v>
      </c>
      <c r="B1083" s="1">
        <v>12</v>
      </c>
      <c r="C1083" s="10">
        <v>0.56000000000000005</v>
      </c>
      <c r="D1083" s="5">
        <v>145</v>
      </c>
      <c r="E1083" s="10">
        <v>0.20250000000000001</v>
      </c>
      <c r="F1083" s="5">
        <v>16</v>
      </c>
      <c r="G1083" s="5">
        <v>3</v>
      </c>
      <c r="I1083" s="40">
        <f t="shared" si="46"/>
        <v>16</v>
      </c>
      <c r="J1083" s="40">
        <f t="shared" si="47"/>
        <v>3</v>
      </c>
      <c r="K1083" s="1">
        <v>49</v>
      </c>
      <c r="L1083" s="1">
        <v>3</v>
      </c>
      <c r="M1083">
        <f t="shared" si="45"/>
        <v>-33</v>
      </c>
      <c r="N1083" s="1">
        <v>0.56000000000000005</v>
      </c>
      <c r="O1083" s="1">
        <v>145</v>
      </c>
      <c r="P1083" s="24">
        <v>0.23250000000000001</v>
      </c>
      <c r="Q1083" s="31">
        <f>C1083-N1083</f>
        <v>0</v>
      </c>
      <c r="R1083" s="41">
        <f>D1083-O1083</f>
        <v>0</v>
      </c>
      <c r="S1083" s="41">
        <f>E1083-P1083</f>
        <v>-0.03</v>
      </c>
    </row>
    <row r="1084" spans="1:19" x14ac:dyDescent="0.15">
      <c r="A1084" s="1">
        <v>6</v>
      </c>
      <c r="B1084" s="1">
        <v>12</v>
      </c>
      <c r="C1084" s="10">
        <v>0.56000000000000005</v>
      </c>
      <c r="D1084" s="5">
        <v>145</v>
      </c>
      <c r="E1084" s="10">
        <v>0.21249999999999999</v>
      </c>
      <c r="F1084" s="5">
        <v>23</v>
      </c>
      <c r="G1084" s="5">
        <v>1</v>
      </c>
      <c r="I1084" s="40">
        <f t="shared" si="46"/>
        <v>23</v>
      </c>
      <c r="J1084" s="40">
        <f t="shared" si="47"/>
        <v>1</v>
      </c>
      <c r="K1084" s="1">
        <v>66</v>
      </c>
      <c r="L1084" s="1">
        <v>3</v>
      </c>
      <c r="M1084">
        <f t="shared" si="45"/>
        <v>-45</v>
      </c>
      <c r="N1084" s="1">
        <v>0.56000000000000005</v>
      </c>
      <c r="O1084" s="1">
        <v>145</v>
      </c>
      <c r="P1084" s="24">
        <v>0.24249999999999999</v>
      </c>
      <c r="Q1084" s="31">
        <f>C1084-N1084</f>
        <v>0</v>
      </c>
      <c r="R1084" s="41">
        <f>D1084-O1084</f>
        <v>0</v>
      </c>
      <c r="S1084" s="41">
        <f>E1084-P1084</f>
        <v>-0.03</v>
      </c>
    </row>
    <row r="1085" spans="1:19" x14ac:dyDescent="0.15">
      <c r="A1085" s="1">
        <v>6</v>
      </c>
      <c r="B1085" s="1">
        <v>12</v>
      </c>
      <c r="C1085" s="10">
        <v>0.56000000000000005</v>
      </c>
      <c r="D1085" s="5">
        <v>145</v>
      </c>
      <c r="E1085" s="10">
        <v>0.2225</v>
      </c>
      <c r="F1085" s="5">
        <v>34</v>
      </c>
      <c r="G1085" s="5">
        <v>2</v>
      </c>
      <c r="I1085" s="40">
        <f t="shared" si="46"/>
        <v>34</v>
      </c>
      <c r="J1085" s="40">
        <f t="shared" si="47"/>
        <v>2</v>
      </c>
      <c r="K1085" s="1">
        <v>92</v>
      </c>
      <c r="L1085" s="1">
        <v>4</v>
      </c>
      <c r="M1085">
        <f t="shared" si="45"/>
        <v>-60</v>
      </c>
      <c r="N1085" s="1">
        <v>0.56000000000000005</v>
      </c>
      <c r="O1085" s="1">
        <v>145</v>
      </c>
      <c r="P1085" s="24">
        <v>0.2525</v>
      </c>
      <c r="Q1085" s="31">
        <f>C1085-N1085</f>
        <v>0</v>
      </c>
      <c r="R1085" s="41">
        <f>D1085-O1085</f>
        <v>0</v>
      </c>
      <c r="S1085" s="41">
        <f>E1085-P1085</f>
        <v>-0.03</v>
      </c>
    </row>
    <row r="1086" spans="1:19" x14ac:dyDescent="0.15">
      <c r="A1086" s="1">
        <v>6</v>
      </c>
      <c r="B1086" s="1">
        <v>12</v>
      </c>
      <c r="C1086" s="10">
        <v>0.56000000000000005</v>
      </c>
      <c r="D1086" s="5">
        <v>145</v>
      </c>
      <c r="E1086" s="10">
        <v>0.23250000000000001</v>
      </c>
      <c r="F1086" s="5">
        <v>49</v>
      </c>
      <c r="G1086" s="5">
        <v>3</v>
      </c>
      <c r="I1086" s="40">
        <f t="shared" si="46"/>
        <v>49</v>
      </c>
      <c r="J1086" s="40">
        <f t="shared" si="47"/>
        <v>3</v>
      </c>
      <c r="K1086" s="1">
        <v>123</v>
      </c>
      <c r="L1086" s="1">
        <v>5</v>
      </c>
      <c r="M1086">
        <f t="shared" si="45"/>
        <v>-76</v>
      </c>
      <c r="N1086" s="1">
        <v>0.56000000000000005</v>
      </c>
      <c r="O1086" s="1">
        <v>145</v>
      </c>
      <c r="P1086" s="24">
        <v>0.26250000000000001</v>
      </c>
      <c r="Q1086" s="31">
        <f>C1086-N1086</f>
        <v>0</v>
      </c>
      <c r="R1086" s="41">
        <f>D1086-O1086</f>
        <v>0</v>
      </c>
      <c r="S1086" s="41">
        <f>E1086-P1086</f>
        <v>-0.03</v>
      </c>
    </row>
    <row r="1087" spans="1:19" x14ac:dyDescent="0.15">
      <c r="A1087" s="1">
        <v>6</v>
      </c>
      <c r="B1087" s="1">
        <v>12</v>
      </c>
      <c r="C1087" s="10">
        <v>0.56000000000000005</v>
      </c>
      <c r="D1087" s="5">
        <v>145</v>
      </c>
      <c r="E1087" s="10">
        <v>0.24249999999999999</v>
      </c>
      <c r="F1087" s="5">
        <v>66</v>
      </c>
      <c r="G1087" s="5">
        <v>3</v>
      </c>
      <c r="I1087" s="40">
        <f t="shared" si="46"/>
        <v>66</v>
      </c>
      <c r="J1087" s="40">
        <f t="shared" si="47"/>
        <v>3</v>
      </c>
      <c r="K1087" s="1">
        <v>151</v>
      </c>
      <c r="L1087" s="1">
        <v>7</v>
      </c>
      <c r="M1087">
        <f t="shared" si="45"/>
        <v>-89</v>
      </c>
      <c r="N1087" s="1">
        <v>0.56000000000000005</v>
      </c>
      <c r="O1087" s="1">
        <v>145</v>
      </c>
      <c r="P1087" s="24">
        <v>0.27250000000000002</v>
      </c>
      <c r="Q1087" s="31">
        <f>C1087-N1087</f>
        <v>0</v>
      </c>
      <c r="R1087" s="41">
        <f>D1087-O1087</f>
        <v>0</v>
      </c>
      <c r="S1087" s="41">
        <f>E1087-P1087</f>
        <v>-3.0000000000000027E-2</v>
      </c>
    </row>
    <row r="1088" spans="1:19" x14ac:dyDescent="0.15">
      <c r="A1088" s="1">
        <v>6</v>
      </c>
      <c r="B1088" s="1">
        <v>12</v>
      </c>
      <c r="C1088" s="10">
        <v>0.56000000000000005</v>
      </c>
      <c r="D1088" s="5">
        <v>145</v>
      </c>
      <c r="E1088" s="10">
        <v>0.2525</v>
      </c>
      <c r="F1088" s="5">
        <v>92</v>
      </c>
      <c r="G1088" s="5">
        <v>4</v>
      </c>
      <c r="I1088" s="40">
        <f t="shared" si="46"/>
        <v>92</v>
      </c>
      <c r="J1088" s="40">
        <f t="shared" si="47"/>
        <v>4</v>
      </c>
      <c r="K1088" s="1">
        <v>171</v>
      </c>
      <c r="L1088" s="1">
        <v>7</v>
      </c>
      <c r="M1088">
        <f t="shared" si="45"/>
        <v>-82</v>
      </c>
      <c r="N1088" s="1">
        <v>0.56000000000000005</v>
      </c>
      <c r="O1088" s="1">
        <v>145</v>
      </c>
      <c r="P1088" s="24">
        <v>0.28249999999999997</v>
      </c>
      <c r="Q1088" s="31">
        <f>C1088-N1088</f>
        <v>0</v>
      </c>
      <c r="R1088" s="41">
        <f>D1088-O1088</f>
        <v>0</v>
      </c>
      <c r="S1088" s="41">
        <f>E1088-P1088</f>
        <v>-2.9999999999999971E-2</v>
      </c>
    </row>
    <row r="1089" spans="1:19" x14ac:dyDescent="0.15">
      <c r="A1089" s="1">
        <v>6</v>
      </c>
      <c r="B1089" s="1">
        <v>12</v>
      </c>
      <c r="C1089" s="10">
        <v>0.56000000000000005</v>
      </c>
      <c r="D1089" s="5">
        <v>145</v>
      </c>
      <c r="E1089" s="10">
        <v>0.26250000000000001</v>
      </c>
      <c r="F1089" s="5">
        <v>123</v>
      </c>
      <c r="G1089" s="5">
        <v>5</v>
      </c>
      <c r="I1089" s="40">
        <f t="shared" si="46"/>
        <v>123</v>
      </c>
      <c r="J1089" s="40">
        <f t="shared" si="47"/>
        <v>5</v>
      </c>
      <c r="K1089" s="1">
        <v>185</v>
      </c>
      <c r="L1089" s="1">
        <v>10</v>
      </c>
      <c r="M1089">
        <f t="shared" si="45"/>
        <v>-67</v>
      </c>
      <c r="N1089" s="1">
        <v>0.56000000000000005</v>
      </c>
      <c r="O1089" s="1">
        <v>145</v>
      </c>
      <c r="P1089" s="24">
        <v>0.29249999999999998</v>
      </c>
      <c r="Q1089" s="31">
        <f>C1089-N1089</f>
        <v>0</v>
      </c>
      <c r="R1089" s="41">
        <f>D1089-O1089</f>
        <v>0</v>
      </c>
      <c r="S1089" s="41">
        <f>E1089-P1089</f>
        <v>-2.9999999999999971E-2</v>
      </c>
    </row>
    <row r="1090" spans="1:19" x14ac:dyDescent="0.15">
      <c r="A1090" s="1">
        <v>6</v>
      </c>
      <c r="B1090" s="1">
        <v>12</v>
      </c>
      <c r="C1090" s="10">
        <v>0.56000000000000005</v>
      </c>
      <c r="D1090" s="5">
        <v>145</v>
      </c>
      <c r="E1090" s="10">
        <v>0.27250000000000002</v>
      </c>
      <c r="F1090" s="5">
        <v>151</v>
      </c>
      <c r="G1090" s="5">
        <v>7</v>
      </c>
      <c r="I1090" s="40">
        <f t="shared" si="46"/>
        <v>151</v>
      </c>
      <c r="J1090" s="40">
        <f t="shared" si="47"/>
        <v>7</v>
      </c>
      <c r="K1090" s="1">
        <v>211</v>
      </c>
      <c r="L1090" s="1">
        <v>11</v>
      </c>
      <c r="M1090">
        <f t="shared" si="45"/>
        <v>-64</v>
      </c>
      <c r="N1090" s="1">
        <v>0.56000000000000005</v>
      </c>
      <c r="O1090" s="1">
        <v>145</v>
      </c>
      <c r="P1090" s="24">
        <v>0.30249999999999999</v>
      </c>
      <c r="Q1090" s="31">
        <f>C1090-N1090</f>
        <v>0</v>
      </c>
      <c r="R1090" s="41">
        <f>D1090-O1090</f>
        <v>0</v>
      </c>
      <c r="S1090" s="41">
        <f>E1090-P1090</f>
        <v>-2.9999999999999971E-2</v>
      </c>
    </row>
    <row r="1091" spans="1:19" x14ac:dyDescent="0.15">
      <c r="A1091" s="1">
        <v>6</v>
      </c>
      <c r="B1091" s="1">
        <v>12</v>
      </c>
      <c r="C1091" s="10">
        <v>0.56000000000000005</v>
      </c>
      <c r="D1091" s="5">
        <v>145</v>
      </c>
      <c r="E1091" s="10">
        <v>0.28249999999999997</v>
      </c>
      <c r="F1091" s="5">
        <v>171</v>
      </c>
      <c r="G1091" s="5">
        <v>7</v>
      </c>
      <c r="I1091" s="40">
        <f t="shared" si="46"/>
        <v>171</v>
      </c>
      <c r="J1091" s="40">
        <f t="shared" si="47"/>
        <v>7</v>
      </c>
      <c r="K1091" s="1">
        <v>220</v>
      </c>
      <c r="L1091" s="1">
        <v>12</v>
      </c>
      <c r="M1091">
        <f t="shared" ref="M1091:M1154" si="48">I1091+J1091-K1091-L1091</f>
        <v>-54</v>
      </c>
      <c r="N1091" s="1">
        <v>0.56000000000000005</v>
      </c>
      <c r="O1091" s="1">
        <v>145</v>
      </c>
      <c r="P1091" s="24">
        <v>0.3125</v>
      </c>
      <c r="Q1091" s="31">
        <f>C1091-N1091</f>
        <v>0</v>
      </c>
      <c r="R1091" s="41">
        <f>D1091-O1091</f>
        <v>0</v>
      </c>
      <c r="S1091" s="41">
        <f>E1091-P1091</f>
        <v>-3.0000000000000027E-2</v>
      </c>
    </row>
    <row r="1092" spans="1:19" x14ac:dyDescent="0.15">
      <c r="A1092" s="1">
        <v>6</v>
      </c>
      <c r="B1092" s="1">
        <v>12</v>
      </c>
      <c r="C1092" s="10">
        <v>0.56000000000000005</v>
      </c>
      <c r="D1092" s="5">
        <v>145</v>
      </c>
      <c r="E1092" s="10">
        <v>0.29249999999999998</v>
      </c>
      <c r="F1092" s="5">
        <v>185</v>
      </c>
      <c r="G1092" s="5">
        <v>10</v>
      </c>
      <c r="I1092" s="40">
        <f t="shared" si="46"/>
        <v>185</v>
      </c>
      <c r="J1092" s="40">
        <f t="shared" si="47"/>
        <v>10</v>
      </c>
      <c r="K1092" s="1">
        <v>234</v>
      </c>
      <c r="L1092" s="1">
        <v>13</v>
      </c>
      <c r="M1092">
        <f t="shared" si="48"/>
        <v>-52</v>
      </c>
      <c r="N1092" s="1">
        <v>0.56000000000000005</v>
      </c>
      <c r="O1092" s="1">
        <v>145</v>
      </c>
      <c r="P1092" s="24">
        <v>0.32250000000000001</v>
      </c>
      <c r="Q1092" s="31">
        <f>C1092-N1092</f>
        <v>0</v>
      </c>
      <c r="R1092" s="41">
        <f>D1092-O1092</f>
        <v>0</v>
      </c>
      <c r="S1092" s="41">
        <f>E1092-P1092</f>
        <v>-3.0000000000000027E-2</v>
      </c>
    </row>
    <row r="1093" spans="1:19" x14ac:dyDescent="0.15">
      <c r="A1093" s="1">
        <v>6</v>
      </c>
      <c r="B1093" s="1">
        <v>12</v>
      </c>
      <c r="C1093" s="10">
        <v>0.56000000000000005</v>
      </c>
      <c r="D1093" s="5">
        <v>145</v>
      </c>
      <c r="E1093" s="10">
        <v>0.30249999999999999</v>
      </c>
      <c r="F1093" s="5">
        <v>211</v>
      </c>
      <c r="G1093" s="5">
        <v>11</v>
      </c>
      <c r="I1093" s="40">
        <f t="shared" si="46"/>
        <v>211</v>
      </c>
      <c r="J1093" s="40">
        <f t="shared" si="47"/>
        <v>11</v>
      </c>
      <c r="K1093" s="1">
        <v>241</v>
      </c>
      <c r="L1093" s="1">
        <v>13</v>
      </c>
      <c r="M1093">
        <f t="shared" si="48"/>
        <v>-32</v>
      </c>
      <c r="N1093" s="1">
        <v>0.56000000000000005</v>
      </c>
      <c r="O1093" s="1">
        <v>145</v>
      </c>
      <c r="P1093" s="24">
        <v>0.33250000000000002</v>
      </c>
      <c r="Q1093" s="31">
        <f>C1093-N1093</f>
        <v>0</v>
      </c>
      <c r="R1093" s="41">
        <f>D1093-O1093</f>
        <v>0</v>
      </c>
      <c r="S1093" s="41">
        <f>E1093-P1093</f>
        <v>-3.0000000000000027E-2</v>
      </c>
    </row>
    <row r="1094" spans="1:19" x14ac:dyDescent="0.15">
      <c r="A1094" s="1">
        <v>6</v>
      </c>
      <c r="B1094" s="1">
        <v>12</v>
      </c>
      <c r="C1094" s="10">
        <v>0.56000000000000005</v>
      </c>
      <c r="D1094" s="5">
        <v>145</v>
      </c>
      <c r="E1094" s="10">
        <v>0.3125</v>
      </c>
      <c r="F1094" s="5">
        <v>220</v>
      </c>
      <c r="G1094" s="5">
        <v>12</v>
      </c>
      <c r="I1094" s="40">
        <f t="shared" si="46"/>
        <v>220</v>
      </c>
      <c r="J1094" s="40">
        <f t="shared" si="47"/>
        <v>12</v>
      </c>
      <c r="K1094" s="1">
        <v>236</v>
      </c>
      <c r="L1094" s="1">
        <v>14</v>
      </c>
      <c r="M1094">
        <f t="shared" si="48"/>
        <v>-18</v>
      </c>
      <c r="N1094" s="1">
        <v>0.56000000000000005</v>
      </c>
      <c r="O1094" s="1">
        <v>145</v>
      </c>
      <c r="P1094" s="24">
        <v>0.34250000000000003</v>
      </c>
      <c r="Q1094" s="31">
        <f>C1094-N1094</f>
        <v>0</v>
      </c>
      <c r="R1094" s="41">
        <f>D1094-O1094</f>
        <v>0</v>
      </c>
      <c r="S1094" s="41">
        <f>E1094-P1094</f>
        <v>-3.0000000000000027E-2</v>
      </c>
    </row>
    <row r="1095" spans="1:19" x14ac:dyDescent="0.15">
      <c r="A1095" s="1">
        <v>6</v>
      </c>
      <c r="B1095" s="1">
        <v>12</v>
      </c>
      <c r="C1095" s="10">
        <v>0.56000000000000005</v>
      </c>
      <c r="D1095" s="5">
        <v>145</v>
      </c>
      <c r="E1095" s="10">
        <v>0.32250000000000001</v>
      </c>
      <c r="F1095" s="5">
        <v>234</v>
      </c>
      <c r="G1095" s="5">
        <v>13</v>
      </c>
      <c r="I1095" s="40">
        <f t="shared" si="46"/>
        <v>234</v>
      </c>
      <c r="J1095" s="40">
        <f t="shared" si="47"/>
        <v>13</v>
      </c>
      <c r="K1095" s="1">
        <v>217</v>
      </c>
      <c r="L1095" s="1">
        <v>13</v>
      </c>
      <c r="M1095">
        <f t="shared" si="48"/>
        <v>17</v>
      </c>
      <c r="N1095" s="1">
        <v>0.56000000000000005</v>
      </c>
      <c r="O1095" s="1">
        <v>145</v>
      </c>
      <c r="P1095" s="24">
        <v>0.35249999999999998</v>
      </c>
      <c r="Q1095" s="31">
        <f>C1095-N1095</f>
        <v>0</v>
      </c>
      <c r="R1095" s="41">
        <f>D1095-O1095</f>
        <v>0</v>
      </c>
      <c r="S1095" s="41">
        <f>E1095-P1095</f>
        <v>-2.9999999999999971E-2</v>
      </c>
    </row>
    <row r="1096" spans="1:19" x14ac:dyDescent="0.15">
      <c r="A1096" s="1">
        <v>6</v>
      </c>
      <c r="B1096" s="1">
        <v>12</v>
      </c>
      <c r="C1096" s="10">
        <v>0.56000000000000005</v>
      </c>
      <c r="D1096" s="5">
        <v>145</v>
      </c>
      <c r="E1096" s="10">
        <v>0.33250000000000002</v>
      </c>
      <c r="F1096" s="5">
        <v>241</v>
      </c>
      <c r="G1096" s="5">
        <v>13</v>
      </c>
      <c r="I1096" s="40">
        <f t="shared" si="46"/>
        <v>241</v>
      </c>
      <c r="J1096" s="40">
        <f t="shared" si="47"/>
        <v>13</v>
      </c>
      <c r="K1096" s="1">
        <v>207</v>
      </c>
      <c r="L1096" s="1">
        <v>14</v>
      </c>
      <c r="M1096">
        <f t="shared" si="48"/>
        <v>33</v>
      </c>
      <c r="N1096" s="1">
        <v>0.56000000000000005</v>
      </c>
      <c r="O1096" s="1">
        <v>145</v>
      </c>
      <c r="P1096" s="24">
        <v>0.36249999999999999</v>
      </c>
      <c r="Q1096" s="31">
        <f>C1096-N1096</f>
        <v>0</v>
      </c>
      <c r="R1096" s="41">
        <f>D1096-O1096</f>
        <v>0</v>
      </c>
      <c r="S1096" s="41">
        <f>E1096-P1096</f>
        <v>-2.9999999999999971E-2</v>
      </c>
    </row>
    <row r="1097" spans="1:19" x14ac:dyDescent="0.15">
      <c r="A1097" s="1">
        <v>6</v>
      </c>
      <c r="B1097" s="1">
        <v>12</v>
      </c>
      <c r="C1097" s="10">
        <v>0.56000000000000005</v>
      </c>
      <c r="D1097" s="5">
        <v>145</v>
      </c>
      <c r="E1097" s="10">
        <v>0.34250000000000003</v>
      </c>
      <c r="F1097" s="5">
        <v>236</v>
      </c>
      <c r="G1097" s="5">
        <v>14</v>
      </c>
      <c r="I1097" s="40">
        <f t="shared" si="46"/>
        <v>236</v>
      </c>
      <c r="J1097" s="40">
        <f t="shared" si="47"/>
        <v>14</v>
      </c>
      <c r="K1097" s="1">
        <v>205</v>
      </c>
      <c r="L1097" s="1">
        <v>14</v>
      </c>
      <c r="M1097">
        <f t="shared" si="48"/>
        <v>31</v>
      </c>
      <c r="N1097" s="1">
        <v>0.56000000000000005</v>
      </c>
      <c r="O1097" s="1">
        <v>145</v>
      </c>
      <c r="P1097" s="24">
        <v>0.3725</v>
      </c>
      <c r="Q1097" s="31">
        <f>C1097-N1097</f>
        <v>0</v>
      </c>
      <c r="R1097" s="41">
        <f>D1097-O1097</f>
        <v>0</v>
      </c>
      <c r="S1097" s="41">
        <f>E1097-P1097</f>
        <v>-2.9999999999999971E-2</v>
      </c>
    </row>
    <row r="1098" spans="1:19" x14ac:dyDescent="0.15">
      <c r="A1098" s="1">
        <v>6</v>
      </c>
      <c r="B1098" s="1">
        <v>12</v>
      </c>
      <c r="C1098" s="10">
        <v>0.56000000000000005</v>
      </c>
      <c r="D1098" s="5">
        <v>145</v>
      </c>
      <c r="E1098" s="10">
        <v>0.35249999999999998</v>
      </c>
      <c r="F1098" s="5">
        <v>217</v>
      </c>
      <c r="G1098" s="5">
        <v>13</v>
      </c>
      <c r="I1098" s="40">
        <f t="shared" si="46"/>
        <v>217</v>
      </c>
      <c r="J1098" s="40">
        <f t="shared" si="47"/>
        <v>13</v>
      </c>
      <c r="K1098" s="1">
        <v>215</v>
      </c>
      <c r="L1098" s="1">
        <v>14</v>
      </c>
      <c r="M1098">
        <f t="shared" si="48"/>
        <v>1</v>
      </c>
      <c r="N1098" s="1">
        <v>0.56000000000000005</v>
      </c>
      <c r="O1098" s="1">
        <v>145</v>
      </c>
      <c r="P1098" s="24">
        <v>0.38250000000000001</v>
      </c>
      <c r="Q1098" s="31">
        <f>C1098-N1098</f>
        <v>0</v>
      </c>
      <c r="R1098" s="41">
        <f>D1098-O1098</f>
        <v>0</v>
      </c>
      <c r="S1098" s="41">
        <f>E1098-P1098</f>
        <v>-3.0000000000000027E-2</v>
      </c>
    </row>
    <row r="1099" spans="1:19" x14ac:dyDescent="0.15">
      <c r="A1099" s="1">
        <v>6</v>
      </c>
      <c r="B1099" s="1">
        <v>12</v>
      </c>
      <c r="C1099" s="10">
        <v>0.56000000000000005</v>
      </c>
      <c r="D1099" s="5">
        <v>145</v>
      </c>
      <c r="E1099" s="10">
        <v>0.36249999999999999</v>
      </c>
      <c r="F1099" s="5">
        <v>207</v>
      </c>
      <c r="G1099" s="5">
        <v>14</v>
      </c>
      <c r="I1099" s="40">
        <f t="shared" si="46"/>
        <v>207</v>
      </c>
      <c r="J1099" s="40">
        <f t="shared" si="47"/>
        <v>14</v>
      </c>
      <c r="K1099" s="1">
        <v>235</v>
      </c>
      <c r="L1099" s="1">
        <v>17</v>
      </c>
      <c r="M1099">
        <f t="shared" si="48"/>
        <v>-31</v>
      </c>
      <c r="N1099" s="1">
        <v>0.56000000000000005</v>
      </c>
      <c r="O1099" s="1">
        <v>145</v>
      </c>
      <c r="P1099" s="24">
        <v>0.39250000000000002</v>
      </c>
      <c r="Q1099" s="31">
        <f>C1099-N1099</f>
        <v>0</v>
      </c>
      <c r="R1099" s="41">
        <f>D1099-O1099</f>
        <v>0</v>
      </c>
      <c r="S1099" s="41">
        <f>E1099-P1099</f>
        <v>-3.0000000000000027E-2</v>
      </c>
    </row>
    <row r="1100" spans="1:19" x14ac:dyDescent="0.15">
      <c r="A1100" s="1">
        <v>6</v>
      </c>
      <c r="B1100" s="1">
        <v>12</v>
      </c>
      <c r="C1100" s="10">
        <v>0.56000000000000005</v>
      </c>
      <c r="D1100" s="5">
        <v>145</v>
      </c>
      <c r="E1100" s="10">
        <v>0.3725</v>
      </c>
      <c r="F1100" s="5">
        <v>205</v>
      </c>
      <c r="G1100" s="5">
        <v>14</v>
      </c>
      <c r="I1100" s="40">
        <f t="shared" si="46"/>
        <v>205</v>
      </c>
      <c r="J1100" s="40">
        <f t="shared" si="47"/>
        <v>14</v>
      </c>
      <c r="K1100" s="1">
        <v>258</v>
      </c>
      <c r="L1100" s="1">
        <v>19</v>
      </c>
      <c r="M1100">
        <f t="shared" si="48"/>
        <v>-58</v>
      </c>
      <c r="N1100" s="1">
        <v>0.56000000000000005</v>
      </c>
      <c r="O1100" s="1">
        <v>145</v>
      </c>
      <c r="P1100" s="24">
        <v>0.40250000000000002</v>
      </c>
      <c r="Q1100" s="31">
        <f>C1100-N1100</f>
        <v>0</v>
      </c>
      <c r="R1100" s="41">
        <f>D1100-O1100</f>
        <v>0</v>
      </c>
      <c r="S1100" s="41">
        <f>E1100-P1100</f>
        <v>-3.0000000000000027E-2</v>
      </c>
    </row>
    <row r="1101" spans="1:19" x14ac:dyDescent="0.15">
      <c r="A1101" s="1">
        <v>6</v>
      </c>
      <c r="B1101" s="1">
        <v>12</v>
      </c>
      <c r="C1101" s="10">
        <v>0.56000000000000005</v>
      </c>
      <c r="D1101" s="5">
        <v>145</v>
      </c>
      <c r="E1101" s="10">
        <v>0.38250000000000001</v>
      </c>
      <c r="F1101" s="5">
        <v>215</v>
      </c>
      <c r="G1101" s="5">
        <v>14</v>
      </c>
      <c r="I1101" s="40">
        <f t="shared" si="46"/>
        <v>215</v>
      </c>
      <c r="J1101" s="40">
        <f t="shared" si="47"/>
        <v>14</v>
      </c>
      <c r="K1101" s="1">
        <v>290</v>
      </c>
      <c r="L1101" s="1">
        <v>20</v>
      </c>
      <c r="M1101">
        <f t="shared" si="48"/>
        <v>-81</v>
      </c>
      <c r="N1101" s="1">
        <v>0.56000000000000005</v>
      </c>
      <c r="O1101" s="1">
        <v>145</v>
      </c>
      <c r="P1101" s="24">
        <v>0.41249999999999998</v>
      </c>
      <c r="Q1101" s="31">
        <f>C1101-N1101</f>
        <v>0</v>
      </c>
      <c r="R1101" s="41">
        <f>D1101-O1101</f>
        <v>0</v>
      </c>
      <c r="S1101" s="41">
        <f>E1101-P1101</f>
        <v>-2.9999999999999971E-2</v>
      </c>
    </row>
    <row r="1102" spans="1:19" x14ac:dyDescent="0.15">
      <c r="A1102" s="1">
        <v>6</v>
      </c>
      <c r="B1102" s="1">
        <v>12</v>
      </c>
      <c r="C1102" s="10">
        <v>0.56000000000000005</v>
      </c>
      <c r="D1102" s="5">
        <v>145</v>
      </c>
      <c r="E1102" s="10">
        <v>0.39250000000000002</v>
      </c>
      <c r="F1102" s="5">
        <v>235</v>
      </c>
      <c r="G1102" s="5">
        <v>17</v>
      </c>
      <c r="I1102" s="40">
        <f t="shared" si="46"/>
        <v>235</v>
      </c>
      <c r="J1102" s="40">
        <f t="shared" si="47"/>
        <v>17</v>
      </c>
      <c r="K1102" s="1">
        <v>331</v>
      </c>
      <c r="L1102" s="1">
        <v>25</v>
      </c>
      <c r="M1102">
        <f t="shared" si="48"/>
        <v>-104</v>
      </c>
      <c r="N1102" s="1">
        <v>0.56000000000000005</v>
      </c>
      <c r="O1102" s="1">
        <v>145</v>
      </c>
      <c r="P1102" s="24">
        <v>0.42249999999999999</v>
      </c>
      <c r="Q1102" s="31">
        <f>C1102-N1102</f>
        <v>0</v>
      </c>
      <c r="R1102" s="41">
        <f>D1102-O1102</f>
        <v>0</v>
      </c>
      <c r="S1102" s="41">
        <f>E1102-P1102</f>
        <v>-2.9999999999999971E-2</v>
      </c>
    </row>
    <row r="1103" spans="1:19" x14ac:dyDescent="0.15">
      <c r="A1103" s="1">
        <v>6</v>
      </c>
      <c r="B1103" s="1">
        <v>12</v>
      </c>
      <c r="C1103" s="10">
        <v>0.56000000000000005</v>
      </c>
      <c r="D1103" s="5">
        <v>145</v>
      </c>
      <c r="E1103" s="10">
        <v>0.40250000000000002</v>
      </c>
      <c r="F1103" s="5">
        <v>258</v>
      </c>
      <c r="G1103" s="5">
        <v>19</v>
      </c>
      <c r="I1103" s="40">
        <f t="shared" si="46"/>
        <v>258</v>
      </c>
      <c r="J1103" s="40">
        <f t="shared" si="47"/>
        <v>19</v>
      </c>
      <c r="K1103" s="1">
        <v>361</v>
      </c>
      <c r="L1103" s="1">
        <v>28</v>
      </c>
      <c r="M1103">
        <f t="shared" si="48"/>
        <v>-112</v>
      </c>
      <c r="N1103" s="1">
        <v>0.56000000000000005</v>
      </c>
      <c r="O1103" s="1">
        <v>145</v>
      </c>
      <c r="P1103" s="24">
        <v>0.4325</v>
      </c>
      <c r="Q1103" s="31">
        <f>C1103-N1103</f>
        <v>0</v>
      </c>
      <c r="R1103" s="41">
        <f>D1103-O1103</f>
        <v>0</v>
      </c>
      <c r="S1103" s="41">
        <f>E1103-P1103</f>
        <v>-2.9999999999999971E-2</v>
      </c>
    </row>
    <row r="1104" spans="1:19" x14ac:dyDescent="0.15">
      <c r="A1104" s="1">
        <v>6</v>
      </c>
      <c r="B1104" s="1">
        <v>12</v>
      </c>
      <c r="C1104" s="10">
        <v>0.56000000000000005</v>
      </c>
      <c r="D1104" s="5">
        <v>145</v>
      </c>
      <c r="E1104" s="10">
        <v>0.41249999999999998</v>
      </c>
      <c r="F1104" s="5">
        <v>290</v>
      </c>
      <c r="G1104" s="5">
        <v>20</v>
      </c>
      <c r="I1104" s="40">
        <f t="shared" si="46"/>
        <v>290</v>
      </c>
      <c r="J1104" s="40">
        <f t="shared" si="47"/>
        <v>20</v>
      </c>
      <c r="K1104" s="1">
        <v>405</v>
      </c>
      <c r="L1104" s="1">
        <v>34</v>
      </c>
      <c r="M1104">
        <f t="shared" si="48"/>
        <v>-129</v>
      </c>
      <c r="N1104" s="1">
        <v>0.56000000000000005</v>
      </c>
      <c r="O1104" s="1">
        <v>145</v>
      </c>
      <c r="P1104" s="24">
        <v>0.4425</v>
      </c>
      <c r="Q1104" s="31">
        <f>C1104-N1104</f>
        <v>0</v>
      </c>
      <c r="R1104" s="41">
        <f>D1104-O1104</f>
        <v>0</v>
      </c>
      <c r="S1104" s="41">
        <f>E1104-P1104</f>
        <v>-3.0000000000000027E-2</v>
      </c>
    </row>
    <row r="1105" spans="1:19" x14ac:dyDescent="0.15">
      <c r="A1105" s="1">
        <v>6</v>
      </c>
      <c r="B1105" s="1">
        <v>12</v>
      </c>
      <c r="C1105" s="10">
        <v>0.56000000000000005</v>
      </c>
      <c r="D1105" s="5">
        <v>145</v>
      </c>
      <c r="E1105" s="10">
        <v>0.42249999999999999</v>
      </c>
      <c r="F1105" s="5">
        <v>331</v>
      </c>
      <c r="G1105" s="5">
        <v>25</v>
      </c>
      <c r="I1105" s="40">
        <f t="shared" si="46"/>
        <v>331</v>
      </c>
      <c r="J1105" s="40">
        <f t="shared" si="47"/>
        <v>25</v>
      </c>
      <c r="K1105" s="1">
        <v>401</v>
      </c>
      <c r="L1105" s="1">
        <v>37</v>
      </c>
      <c r="M1105">
        <f t="shared" si="48"/>
        <v>-82</v>
      </c>
      <c r="N1105" s="1">
        <v>0.56000000000000005</v>
      </c>
      <c r="O1105" s="1">
        <v>145</v>
      </c>
      <c r="P1105" s="24">
        <v>0.45250000000000001</v>
      </c>
      <c r="Q1105" s="31">
        <f>C1105-N1105</f>
        <v>0</v>
      </c>
      <c r="R1105" s="41">
        <f>D1105-O1105</f>
        <v>0</v>
      </c>
      <c r="S1105" s="41">
        <f>E1105-P1105</f>
        <v>-3.0000000000000027E-2</v>
      </c>
    </row>
    <row r="1106" spans="1:19" ht="14" thickBot="1" x14ac:dyDescent="0.2">
      <c r="A1106" s="1">
        <v>6</v>
      </c>
      <c r="B1106" s="1">
        <v>12</v>
      </c>
      <c r="C1106" s="10">
        <v>0.56000000000000005</v>
      </c>
      <c r="D1106" s="5">
        <v>145</v>
      </c>
      <c r="E1106" s="10">
        <v>0.4325</v>
      </c>
      <c r="F1106" s="5">
        <v>361</v>
      </c>
      <c r="G1106" s="5">
        <v>28</v>
      </c>
      <c r="I1106" s="40">
        <f t="shared" si="46"/>
        <v>361</v>
      </c>
      <c r="J1106" s="40">
        <f t="shared" si="47"/>
        <v>28</v>
      </c>
      <c r="K1106" s="1">
        <v>421</v>
      </c>
      <c r="L1106" s="1">
        <v>43</v>
      </c>
      <c r="M1106">
        <f t="shared" si="48"/>
        <v>-75</v>
      </c>
      <c r="N1106" s="1">
        <v>0.56000000000000005</v>
      </c>
      <c r="O1106" s="1">
        <v>145</v>
      </c>
      <c r="P1106" s="44">
        <v>0.46250000000000002</v>
      </c>
      <c r="Q1106" s="31">
        <f>C1106-N1106</f>
        <v>0</v>
      </c>
      <c r="R1106" s="41">
        <f>D1106-O1106</f>
        <v>0</v>
      </c>
      <c r="S1106" s="41">
        <f>E1106-P1106</f>
        <v>-3.0000000000000027E-2</v>
      </c>
    </row>
    <row r="1107" spans="1:19" ht="14" thickTop="1" x14ac:dyDescent="0.15">
      <c r="A1107" s="1">
        <v>6</v>
      </c>
      <c r="B1107" s="1">
        <v>12</v>
      </c>
      <c r="C1107" s="10">
        <v>0.56000000000000005</v>
      </c>
      <c r="D1107" s="5">
        <v>145</v>
      </c>
      <c r="E1107" s="10">
        <v>0.4425</v>
      </c>
      <c r="F1107" s="5">
        <v>406</v>
      </c>
      <c r="G1107" s="5">
        <v>34</v>
      </c>
      <c r="I1107" s="40">
        <f t="shared" si="46"/>
        <v>406</v>
      </c>
      <c r="J1107" s="40">
        <f t="shared" si="47"/>
        <v>34</v>
      </c>
      <c r="K1107" s="1">
        <v>9</v>
      </c>
      <c r="L1107" s="1">
        <v>1</v>
      </c>
      <c r="M1107">
        <f t="shared" si="48"/>
        <v>430</v>
      </c>
      <c r="N1107" s="1">
        <v>0.47939999999999999</v>
      </c>
      <c r="O1107" s="1">
        <v>145</v>
      </c>
      <c r="P1107" s="24">
        <v>0.12189999999999999</v>
      </c>
      <c r="Q1107" s="31">
        <f>C1107-N1107</f>
        <v>8.060000000000006E-2</v>
      </c>
      <c r="R1107" s="41">
        <f>D1107-O1107</f>
        <v>0</v>
      </c>
      <c r="S1107" s="41">
        <f>E1107-P1107</f>
        <v>0.3206</v>
      </c>
    </row>
    <row r="1108" spans="1:19" x14ac:dyDescent="0.15">
      <c r="A1108" s="1">
        <v>6</v>
      </c>
      <c r="B1108" s="1">
        <v>12</v>
      </c>
      <c r="C1108" s="10">
        <v>0.56000000000000005</v>
      </c>
      <c r="D1108" s="5">
        <v>145</v>
      </c>
      <c r="E1108" s="10">
        <v>0.45250000000000001</v>
      </c>
      <c r="F1108" s="5">
        <v>401</v>
      </c>
      <c r="G1108" s="5">
        <v>37</v>
      </c>
      <c r="I1108" s="40">
        <f t="shared" si="46"/>
        <v>401</v>
      </c>
      <c r="J1108" s="40">
        <f t="shared" si="47"/>
        <v>37</v>
      </c>
      <c r="K1108" s="1">
        <v>9</v>
      </c>
      <c r="L1108" s="1">
        <v>1</v>
      </c>
      <c r="M1108">
        <f t="shared" si="48"/>
        <v>428</v>
      </c>
      <c r="N1108" s="1">
        <v>0.47939999999999999</v>
      </c>
      <c r="O1108" s="1">
        <v>145</v>
      </c>
      <c r="P1108" s="24">
        <v>0.13189999999999999</v>
      </c>
      <c r="Q1108" s="31">
        <f>C1108-N1108</f>
        <v>8.060000000000006E-2</v>
      </c>
      <c r="R1108" s="41">
        <f>D1108-O1108</f>
        <v>0</v>
      </c>
      <c r="S1108" s="41">
        <f>E1108-P1108</f>
        <v>0.3206</v>
      </c>
    </row>
    <row r="1109" spans="1:19" x14ac:dyDescent="0.15">
      <c r="A1109" s="1">
        <v>6</v>
      </c>
      <c r="B1109" s="1">
        <v>12</v>
      </c>
      <c r="C1109" s="10">
        <v>0.56000000000000005</v>
      </c>
      <c r="D1109" s="5">
        <v>145</v>
      </c>
      <c r="E1109" s="10">
        <v>0.46250000000000002</v>
      </c>
      <c r="F1109" s="5">
        <v>421</v>
      </c>
      <c r="G1109" s="5">
        <v>43</v>
      </c>
      <c r="I1109" s="40">
        <f t="shared" si="46"/>
        <v>421</v>
      </c>
      <c r="J1109" s="40">
        <f t="shared" si="47"/>
        <v>43</v>
      </c>
      <c r="K1109" s="1">
        <v>20</v>
      </c>
      <c r="L1109" s="1">
        <v>2</v>
      </c>
      <c r="M1109">
        <f t="shared" si="48"/>
        <v>442</v>
      </c>
      <c r="N1109" s="1">
        <v>0.47939999999999999</v>
      </c>
      <c r="O1109" s="1">
        <v>145</v>
      </c>
      <c r="P1109" s="24">
        <v>0.1419</v>
      </c>
      <c r="Q1109" s="31">
        <f>C1109-N1109</f>
        <v>8.060000000000006E-2</v>
      </c>
      <c r="R1109" s="41">
        <f>D1109-O1109</f>
        <v>0</v>
      </c>
      <c r="S1109" s="41">
        <f>E1109-P1109</f>
        <v>0.3206</v>
      </c>
    </row>
    <row r="1110" spans="1:19" x14ac:dyDescent="0.15">
      <c r="A1110" s="1">
        <v>6</v>
      </c>
      <c r="B1110" s="1">
        <v>12</v>
      </c>
      <c r="C1110" s="10">
        <v>0.47939999999999999</v>
      </c>
      <c r="D1110" s="5">
        <v>145</v>
      </c>
      <c r="E1110" s="10">
        <v>0.12190000000000001</v>
      </c>
      <c r="F1110" s="5">
        <v>9</v>
      </c>
      <c r="G1110" s="5">
        <v>1</v>
      </c>
      <c r="I1110" s="40">
        <f t="shared" si="46"/>
        <v>9</v>
      </c>
      <c r="J1110" s="40">
        <f t="shared" si="47"/>
        <v>1</v>
      </c>
      <c r="K1110" s="1">
        <v>27</v>
      </c>
      <c r="L1110" s="1">
        <v>3</v>
      </c>
      <c r="M1110">
        <f t="shared" si="48"/>
        <v>-20</v>
      </c>
      <c r="N1110" s="1">
        <v>0.47939999999999999</v>
      </c>
      <c r="O1110" s="1">
        <v>145</v>
      </c>
      <c r="P1110" s="24">
        <v>0.15190000000000001</v>
      </c>
      <c r="Q1110" s="31">
        <f>C1110-N1110</f>
        <v>0</v>
      </c>
      <c r="R1110" s="41">
        <f>D1110-O1110</f>
        <v>0</v>
      </c>
      <c r="S1110" s="41">
        <f>E1110-P1110</f>
        <v>-0.03</v>
      </c>
    </row>
    <row r="1111" spans="1:19" x14ac:dyDescent="0.15">
      <c r="A1111" s="1">
        <v>6</v>
      </c>
      <c r="B1111" s="1">
        <v>12</v>
      </c>
      <c r="C1111" s="10">
        <v>0.47939999999999999</v>
      </c>
      <c r="D1111" s="5">
        <v>145</v>
      </c>
      <c r="E1111" s="10">
        <v>0.13190000000000002</v>
      </c>
      <c r="F1111" s="5">
        <v>9</v>
      </c>
      <c r="G1111" s="5">
        <v>1</v>
      </c>
      <c r="I1111" s="40">
        <f t="shared" si="46"/>
        <v>9</v>
      </c>
      <c r="J1111" s="40">
        <f t="shared" si="47"/>
        <v>1</v>
      </c>
      <c r="K1111" s="1">
        <v>55</v>
      </c>
      <c r="L1111" s="1">
        <v>3</v>
      </c>
      <c r="M1111">
        <f t="shared" si="48"/>
        <v>-48</v>
      </c>
      <c r="N1111" s="1">
        <v>0.47939999999999999</v>
      </c>
      <c r="O1111" s="1">
        <v>145</v>
      </c>
      <c r="P1111" s="24">
        <v>0.16189999999999999</v>
      </c>
      <c r="Q1111" s="31">
        <f>C1111-N1111</f>
        <v>0</v>
      </c>
      <c r="R1111" s="41">
        <f>D1111-O1111</f>
        <v>0</v>
      </c>
      <c r="S1111" s="41">
        <f>E1111-P1111</f>
        <v>-2.9999999999999971E-2</v>
      </c>
    </row>
    <row r="1112" spans="1:19" x14ac:dyDescent="0.15">
      <c r="A1112" s="1">
        <v>6</v>
      </c>
      <c r="B1112" s="1">
        <v>12</v>
      </c>
      <c r="C1112" s="10">
        <v>0.47939999999999999</v>
      </c>
      <c r="D1112" s="5">
        <v>145</v>
      </c>
      <c r="E1112" s="10">
        <v>0.1419</v>
      </c>
      <c r="F1112" s="5">
        <v>20</v>
      </c>
      <c r="G1112" s="5">
        <v>2</v>
      </c>
      <c r="I1112" s="40">
        <f t="shared" si="46"/>
        <v>20</v>
      </c>
      <c r="J1112" s="40">
        <f t="shared" si="47"/>
        <v>2</v>
      </c>
      <c r="K1112" s="1">
        <v>81</v>
      </c>
      <c r="L1112" s="1">
        <v>4</v>
      </c>
      <c r="M1112">
        <f t="shared" si="48"/>
        <v>-63</v>
      </c>
      <c r="N1112" s="1">
        <v>0.47939999999999999</v>
      </c>
      <c r="O1112" s="1">
        <v>145</v>
      </c>
      <c r="P1112" s="24">
        <v>0.1719</v>
      </c>
      <c r="Q1112" s="31">
        <f>C1112-N1112</f>
        <v>0</v>
      </c>
      <c r="R1112" s="41">
        <f>D1112-O1112</f>
        <v>0</v>
      </c>
      <c r="S1112" s="41">
        <f>E1112-P1112</f>
        <v>-0.03</v>
      </c>
    </row>
    <row r="1113" spans="1:19" x14ac:dyDescent="0.15">
      <c r="A1113" s="1">
        <v>6</v>
      </c>
      <c r="B1113" s="1">
        <v>12</v>
      </c>
      <c r="C1113" s="10">
        <v>0.47939999999999999</v>
      </c>
      <c r="D1113" s="5">
        <v>145</v>
      </c>
      <c r="E1113" s="10">
        <v>0.15190000000000001</v>
      </c>
      <c r="F1113" s="5">
        <v>27</v>
      </c>
      <c r="G1113" s="5">
        <v>3</v>
      </c>
      <c r="I1113" s="40">
        <f t="shared" si="46"/>
        <v>27</v>
      </c>
      <c r="J1113" s="40">
        <f t="shared" si="47"/>
        <v>3</v>
      </c>
      <c r="K1113" s="1">
        <v>111</v>
      </c>
      <c r="L1113" s="1">
        <v>5</v>
      </c>
      <c r="M1113">
        <f t="shared" si="48"/>
        <v>-86</v>
      </c>
      <c r="N1113" s="1">
        <v>0.47939999999999999</v>
      </c>
      <c r="O1113" s="1">
        <v>145</v>
      </c>
      <c r="P1113" s="24">
        <v>0.18190000000000001</v>
      </c>
      <c r="Q1113" s="31">
        <f>C1113-N1113</f>
        <v>0</v>
      </c>
      <c r="R1113" s="41">
        <f>D1113-O1113</f>
        <v>0</v>
      </c>
      <c r="S1113" s="41">
        <f>E1113-P1113</f>
        <v>-0.03</v>
      </c>
    </row>
    <row r="1114" spans="1:19" x14ac:dyDescent="0.15">
      <c r="A1114" s="1">
        <v>6</v>
      </c>
      <c r="B1114" s="1">
        <v>12</v>
      </c>
      <c r="C1114" s="10">
        <v>0.47939999999999999</v>
      </c>
      <c r="D1114" s="5">
        <v>145</v>
      </c>
      <c r="E1114" s="10">
        <v>0.16190000000000002</v>
      </c>
      <c r="F1114" s="5">
        <v>55</v>
      </c>
      <c r="G1114" s="5">
        <v>3</v>
      </c>
      <c r="I1114" s="40">
        <f t="shared" si="46"/>
        <v>55</v>
      </c>
      <c r="J1114" s="40">
        <f t="shared" si="47"/>
        <v>3</v>
      </c>
      <c r="K1114" s="1">
        <v>157</v>
      </c>
      <c r="L1114" s="1">
        <v>6</v>
      </c>
      <c r="M1114">
        <f t="shared" si="48"/>
        <v>-105</v>
      </c>
      <c r="N1114" s="1">
        <v>0.47939999999999999</v>
      </c>
      <c r="O1114" s="1">
        <v>145</v>
      </c>
      <c r="P1114" s="24">
        <v>0.19189999999999999</v>
      </c>
      <c r="Q1114" s="31">
        <f>C1114-N1114</f>
        <v>0</v>
      </c>
      <c r="R1114" s="41">
        <f>D1114-O1114</f>
        <v>0</v>
      </c>
      <c r="S1114" s="41">
        <f>E1114-P1114</f>
        <v>-2.9999999999999971E-2</v>
      </c>
    </row>
    <row r="1115" spans="1:19" x14ac:dyDescent="0.15">
      <c r="A1115" s="1">
        <v>6</v>
      </c>
      <c r="B1115" s="1">
        <v>12</v>
      </c>
      <c r="C1115" s="10">
        <v>0.47939999999999999</v>
      </c>
      <c r="D1115" s="5">
        <v>145</v>
      </c>
      <c r="E1115" s="10">
        <v>0.1719</v>
      </c>
      <c r="F1115" s="5">
        <v>81</v>
      </c>
      <c r="G1115" s="5">
        <v>4</v>
      </c>
      <c r="I1115" s="40">
        <f t="shared" si="46"/>
        <v>81</v>
      </c>
      <c r="J1115" s="40">
        <f t="shared" si="47"/>
        <v>4</v>
      </c>
      <c r="K1115" s="1">
        <v>201</v>
      </c>
      <c r="L1115" s="1">
        <v>10</v>
      </c>
      <c r="M1115">
        <f t="shared" si="48"/>
        <v>-126</v>
      </c>
      <c r="N1115" s="1">
        <v>0.47939999999999999</v>
      </c>
      <c r="O1115" s="1">
        <v>145</v>
      </c>
      <c r="P1115" s="24">
        <v>0.2019</v>
      </c>
      <c r="Q1115" s="31">
        <f>C1115-N1115</f>
        <v>0</v>
      </c>
      <c r="R1115" s="41">
        <f>D1115-O1115</f>
        <v>0</v>
      </c>
      <c r="S1115" s="41">
        <f>E1115-P1115</f>
        <v>-0.03</v>
      </c>
    </row>
    <row r="1116" spans="1:19" x14ac:dyDescent="0.15">
      <c r="A1116" s="1">
        <v>6</v>
      </c>
      <c r="B1116" s="1">
        <v>12</v>
      </c>
      <c r="C1116" s="10">
        <v>0.47939999999999999</v>
      </c>
      <c r="D1116" s="5">
        <v>145</v>
      </c>
      <c r="E1116" s="10">
        <v>0.18190000000000001</v>
      </c>
      <c r="F1116" s="5">
        <v>111</v>
      </c>
      <c r="G1116" s="5">
        <v>5</v>
      </c>
      <c r="I1116" s="40">
        <f t="shared" si="46"/>
        <v>111</v>
      </c>
      <c r="J1116" s="40">
        <f t="shared" si="47"/>
        <v>5</v>
      </c>
      <c r="K1116" s="1">
        <v>260</v>
      </c>
      <c r="L1116" s="1">
        <v>13</v>
      </c>
      <c r="M1116">
        <f t="shared" si="48"/>
        <v>-157</v>
      </c>
      <c r="N1116" s="1">
        <v>0.47939999999999999</v>
      </c>
      <c r="O1116" s="1">
        <v>145</v>
      </c>
      <c r="P1116" s="24">
        <v>0.21190000000000001</v>
      </c>
      <c r="Q1116" s="31">
        <f>C1116-N1116</f>
        <v>0</v>
      </c>
      <c r="R1116" s="41">
        <f>D1116-O1116</f>
        <v>0</v>
      </c>
      <c r="S1116" s="41">
        <f>E1116-P1116</f>
        <v>-0.03</v>
      </c>
    </row>
    <row r="1117" spans="1:19" x14ac:dyDescent="0.15">
      <c r="A1117" s="1">
        <v>6</v>
      </c>
      <c r="B1117" s="1">
        <v>12</v>
      </c>
      <c r="C1117" s="10">
        <v>0.47939999999999999</v>
      </c>
      <c r="D1117" s="5">
        <v>145</v>
      </c>
      <c r="E1117" s="10">
        <v>0.19190000000000002</v>
      </c>
      <c r="F1117" s="5">
        <v>157</v>
      </c>
      <c r="G1117" s="5">
        <v>6</v>
      </c>
      <c r="I1117" s="40">
        <f t="shared" si="46"/>
        <v>157</v>
      </c>
      <c r="J1117" s="40">
        <f t="shared" si="47"/>
        <v>6</v>
      </c>
      <c r="K1117" s="1">
        <v>290</v>
      </c>
      <c r="L1117" s="1">
        <v>15</v>
      </c>
      <c r="M1117">
        <f t="shared" si="48"/>
        <v>-142</v>
      </c>
      <c r="N1117" s="1">
        <v>0.47939999999999999</v>
      </c>
      <c r="O1117" s="1">
        <v>145</v>
      </c>
      <c r="P1117" s="24">
        <v>0.22189999999999999</v>
      </c>
      <c r="Q1117" s="31">
        <f>C1117-N1117</f>
        <v>0</v>
      </c>
      <c r="R1117" s="41">
        <f>D1117-O1117</f>
        <v>0</v>
      </c>
      <c r="S1117" s="41">
        <f>E1117-P1117</f>
        <v>-2.9999999999999971E-2</v>
      </c>
    </row>
    <row r="1118" spans="1:19" x14ac:dyDescent="0.15">
      <c r="A1118" s="1">
        <v>6</v>
      </c>
      <c r="B1118" s="1">
        <v>12</v>
      </c>
      <c r="C1118" s="10">
        <v>0.47939999999999999</v>
      </c>
      <c r="D1118" s="5">
        <v>145</v>
      </c>
      <c r="E1118" s="10">
        <v>0.2019</v>
      </c>
      <c r="F1118" s="5">
        <v>201</v>
      </c>
      <c r="G1118" s="5">
        <v>10</v>
      </c>
      <c r="I1118" s="40">
        <f t="shared" si="46"/>
        <v>201</v>
      </c>
      <c r="J1118" s="40">
        <f t="shared" si="47"/>
        <v>10</v>
      </c>
      <c r="K1118" s="1">
        <v>315</v>
      </c>
      <c r="L1118" s="1">
        <v>16</v>
      </c>
      <c r="M1118">
        <f t="shared" si="48"/>
        <v>-120</v>
      </c>
      <c r="N1118" s="1">
        <v>0.47939999999999999</v>
      </c>
      <c r="O1118" s="1">
        <v>145</v>
      </c>
      <c r="P1118" s="24">
        <v>0.2319</v>
      </c>
      <c r="Q1118" s="31">
        <f>C1118-N1118</f>
        <v>0</v>
      </c>
      <c r="R1118" s="41">
        <f>D1118-O1118</f>
        <v>0</v>
      </c>
      <c r="S1118" s="41">
        <f>E1118-P1118</f>
        <v>-0.03</v>
      </c>
    </row>
    <row r="1119" spans="1:19" x14ac:dyDescent="0.15">
      <c r="A1119" s="1">
        <v>6</v>
      </c>
      <c r="B1119" s="1">
        <v>12</v>
      </c>
      <c r="C1119" s="10">
        <v>0.47939999999999999</v>
      </c>
      <c r="D1119" s="5">
        <v>145</v>
      </c>
      <c r="E1119" s="10">
        <v>0.21190000000000001</v>
      </c>
      <c r="F1119" s="5">
        <v>260</v>
      </c>
      <c r="G1119" s="5">
        <v>13</v>
      </c>
      <c r="I1119" s="40">
        <f t="shared" si="46"/>
        <v>260</v>
      </c>
      <c r="J1119" s="40">
        <f t="shared" si="47"/>
        <v>13</v>
      </c>
      <c r="K1119" s="1">
        <v>371</v>
      </c>
      <c r="L1119" s="1">
        <v>18</v>
      </c>
      <c r="M1119">
        <f t="shared" si="48"/>
        <v>-116</v>
      </c>
      <c r="N1119" s="1">
        <v>0.47939999999999999</v>
      </c>
      <c r="O1119" s="1">
        <v>145</v>
      </c>
      <c r="P1119" s="24">
        <v>0.2419</v>
      </c>
      <c r="Q1119" s="31">
        <f>C1119-N1119</f>
        <v>0</v>
      </c>
      <c r="R1119" s="41">
        <f>D1119-O1119</f>
        <v>0</v>
      </c>
      <c r="S1119" s="41">
        <f>E1119-P1119</f>
        <v>-0.03</v>
      </c>
    </row>
    <row r="1120" spans="1:19" x14ac:dyDescent="0.15">
      <c r="A1120" s="1">
        <v>6</v>
      </c>
      <c r="B1120" s="1">
        <v>12</v>
      </c>
      <c r="C1120" s="10">
        <v>0.47939999999999999</v>
      </c>
      <c r="D1120" s="5">
        <v>145</v>
      </c>
      <c r="E1120" s="10">
        <v>0.22190000000000001</v>
      </c>
      <c r="F1120" s="5">
        <v>290</v>
      </c>
      <c r="G1120" s="5">
        <v>15</v>
      </c>
      <c r="I1120" s="40">
        <f t="shared" si="46"/>
        <v>290</v>
      </c>
      <c r="J1120" s="40">
        <f t="shared" si="47"/>
        <v>15</v>
      </c>
      <c r="K1120" s="1">
        <v>400</v>
      </c>
      <c r="L1120" s="1">
        <v>15</v>
      </c>
      <c r="M1120">
        <f t="shared" si="48"/>
        <v>-110</v>
      </c>
      <c r="N1120" s="1">
        <v>0.47939999999999999</v>
      </c>
      <c r="O1120" s="1">
        <v>145</v>
      </c>
      <c r="P1120" s="24">
        <v>0.25190000000000001</v>
      </c>
      <c r="Q1120" s="31">
        <f>C1120-N1120</f>
        <v>0</v>
      </c>
      <c r="R1120" s="41">
        <f>D1120-O1120</f>
        <v>0</v>
      </c>
      <c r="S1120" s="41">
        <f>E1120-P1120</f>
        <v>-0.03</v>
      </c>
    </row>
    <row r="1121" spans="1:19" x14ac:dyDescent="0.15">
      <c r="A1121" s="1">
        <v>6</v>
      </c>
      <c r="B1121" s="1">
        <v>12</v>
      </c>
      <c r="C1121" s="10">
        <v>0.47939999999999999</v>
      </c>
      <c r="D1121" s="5">
        <v>145</v>
      </c>
      <c r="E1121" s="10">
        <v>0.2319</v>
      </c>
      <c r="F1121" s="5">
        <v>315</v>
      </c>
      <c r="G1121" s="5">
        <v>16</v>
      </c>
      <c r="I1121" s="40">
        <f t="shared" si="46"/>
        <v>315</v>
      </c>
      <c r="J1121" s="40">
        <f t="shared" si="47"/>
        <v>16</v>
      </c>
      <c r="K1121" s="1">
        <v>418</v>
      </c>
      <c r="L1121" s="1">
        <v>18</v>
      </c>
      <c r="M1121">
        <f t="shared" si="48"/>
        <v>-105</v>
      </c>
      <c r="N1121" s="1">
        <v>0.47939999999999999</v>
      </c>
      <c r="O1121" s="1">
        <v>145</v>
      </c>
      <c r="P1121" s="24">
        <v>0.26190000000000002</v>
      </c>
      <c r="Q1121" s="31">
        <f>C1121-N1121</f>
        <v>0</v>
      </c>
      <c r="R1121" s="41">
        <f>D1121-O1121</f>
        <v>0</v>
      </c>
      <c r="S1121" s="41">
        <f>E1121-P1121</f>
        <v>-3.0000000000000027E-2</v>
      </c>
    </row>
    <row r="1122" spans="1:19" x14ac:dyDescent="0.15">
      <c r="A1122" s="1">
        <v>6</v>
      </c>
      <c r="B1122" s="1">
        <v>12</v>
      </c>
      <c r="C1122" s="10">
        <v>0.47939999999999999</v>
      </c>
      <c r="D1122" s="5">
        <v>145</v>
      </c>
      <c r="E1122" s="10">
        <v>0.2419</v>
      </c>
      <c r="F1122" s="5">
        <v>371</v>
      </c>
      <c r="G1122" s="5">
        <v>18</v>
      </c>
      <c r="I1122" s="40">
        <f t="shared" si="46"/>
        <v>371</v>
      </c>
      <c r="J1122" s="40">
        <f t="shared" si="47"/>
        <v>18</v>
      </c>
      <c r="K1122" s="1">
        <v>424</v>
      </c>
      <c r="L1122" s="1">
        <v>19</v>
      </c>
      <c r="M1122">
        <f t="shared" si="48"/>
        <v>-54</v>
      </c>
      <c r="N1122" s="1">
        <v>0.47939999999999999</v>
      </c>
      <c r="O1122" s="1">
        <v>145</v>
      </c>
      <c r="P1122" s="24">
        <v>0.27189999999999998</v>
      </c>
      <c r="Q1122" s="31">
        <f>C1122-N1122</f>
        <v>0</v>
      </c>
      <c r="R1122" s="41">
        <f>D1122-O1122</f>
        <v>0</v>
      </c>
      <c r="S1122" s="41">
        <f>E1122-P1122</f>
        <v>-2.9999999999999971E-2</v>
      </c>
    </row>
    <row r="1123" spans="1:19" x14ac:dyDescent="0.15">
      <c r="A1123" s="1">
        <v>6</v>
      </c>
      <c r="B1123" s="1">
        <v>12</v>
      </c>
      <c r="C1123" s="10">
        <v>0.47939999999999999</v>
      </c>
      <c r="D1123" s="5">
        <v>145</v>
      </c>
      <c r="E1123" s="10">
        <v>0.25190000000000001</v>
      </c>
      <c r="F1123" s="5">
        <v>400</v>
      </c>
      <c r="G1123" s="5">
        <v>15</v>
      </c>
      <c r="I1123" s="40">
        <f t="shared" si="46"/>
        <v>400</v>
      </c>
      <c r="J1123" s="40">
        <f t="shared" si="47"/>
        <v>15</v>
      </c>
      <c r="K1123" s="1">
        <v>426</v>
      </c>
      <c r="L1123" s="1">
        <v>19</v>
      </c>
      <c r="M1123">
        <f t="shared" si="48"/>
        <v>-30</v>
      </c>
      <c r="N1123" s="1">
        <v>0.47939999999999999</v>
      </c>
      <c r="O1123" s="1">
        <v>145</v>
      </c>
      <c r="P1123" s="24">
        <v>0.28189999999999998</v>
      </c>
      <c r="Q1123" s="31">
        <f>C1123-N1123</f>
        <v>0</v>
      </c>
      <c r="R1123" s="41">
        <f>D1123-O1123</f>
        <v>0</v>
      </c>
      <c r="S1123" s="41">
        <f>E1123-P1123</f>
        <v>-2.9999999999999971E-2</v>
      </c>
    </row>
    <row r="1124" spans="1:19" x14ac:dyDescent="0.15">
      <c r="A1124" s="1">
        <v>6</v>
      </c>
      <c r="B1124" s="1">
        <v>12</v>
      </c>
      <c r="C1124" s="10">
        <v>0.47939999999999999</v>
      </c>
      <c r="D1124" s="5">
        <v>145</v>
      </c>
      <c r="E1124" s="10">
        <v>0.26189999999999997</v>
      </c>
      <c r="F1124" s="5">
        <v>418</v>
      </c>
      <c r="G1124" s="5">
        <v>18</v>
      </c>
      <c r="I1124" s="40">
        <f t="shared" si="46"/>
        <v>418</v>
      </c>
      <c r="J1124" s="40">
        <f t="shared" si="47"/>
        <v>18</v>
      </c>
      <c r="K1124" s="1">
        <v>390</v>
      </c>
      <c r="L1124" s="1">
        <v>18</v>
      </c>
      <c r="M1124">
        <f t="shared" si="48"/>
        <v>28</v>
      </c>
      <c r="N1124" s="1">
        <v>0.47939999999999999</v>
      </c>
      <c r="O1124" s="1">
        <v>145</v>
      </c>
      <c r="P1124" s="24">
        <v>0.29189999999999999</v>
      </c>
      <c r="Q1124" s="31">
        <f>C1124-N1124</f>
        <v>0</v>
      </c>
      <c r="R1124" s="41">
        <f>D1124-O1124</f>
        <v>0</v>
      </c>
      <c r="S1124" s="41">
        <f>E1124-P1124</f>
        <v>-3.0000000000000027E-2</v>
      </c>
    </row>
    <row r="1125" spans="1:19" x14ac:dyDescent="0.15">
      <c r="A1125" s="1">
        <v>6</v>
      </c>
      <c r="B1125" s="1">
        <v>12</v>
      </c>
      <c r="C1125" s="10">
        <v>0.47939999999999999</v>
      </c>
      <c r="D1125" s="5">
        <v>145</v>
      </c>
      <c r="E1125" s="10">
        <v>0.27189999999999998</v>
      </c>
      <c r="F1125" s="5">
        <v>424</v>
      </c>
      <c r="G1125" s="5">
        <v>19</v>
      </c>
      <c r="I1125" s="40">
        <f t="shared" si="46"/>
        <v>424</v>
      </c>
      <c r="J1125" s="40">
        <f t="shared" si="47"/>
        <v>19</v>
      </c>
      <c r="K1125" s="1">
        <v>380</v>
      </c>
      <c r="L1125" s="1">
        <v>21</v>
      </c>
      <c r="M1125">
        <f t="shared" si="48"/>
        <v>42</v>
      </c>
      <c r="N1125" s="1">
        <v>0.47939999999999999</v>
      </c>
      <c r="O1125" s="1">
        <v>145</v>
      </c>
      <c r="P1125" s="24">
        <v>0.3019</v>
      </c>
      <c r="Q1125" s="31">
        <f>C1125-N1125</f>
        <v>0</v>
      </c>
      <c r="R1125" s="41">
        <f>D1125-O1125</f>
        <v>0</v>
      </c>
      <c r="S1125" s="41">
        <f>E1125-P1125</f>
        <v>-3.0000000000000027E-2</v>
      </c>
    </row>
    <row r="1126" spans="1:19" x14ac:dyDescent="0.15">
      <c r="A1126" s="1">
        <v>6</v>
      </c>
      <c r="B1126" s="1">
        <v>12</v>
      </c>
      <c r="C1126" s="10">
        <v>0.47939999999999999</v>
      </c>
      <c r="D1126" s="5">
        <v>145</v>
      </c>
      <c r="E1126" s="10">
        <v>0.28189999999999998</v>
      </c>
      <c r="F1126" s="5">
        <v>426</v>
      </c>
      <c r="G1126" s="5">
        <v>19</v>
      </c>
      <c r="I1126" s="40">
        <f t="shared" si="46"/>
        <v>426</v>
      </c>
      <c r="J1126" s="40">
        <f t="shared" si="47"/>
        <v>19</v>
      </c>
      <c r="K1126" s="1">
        <v>373</v>
      </c>
      <c r="L1126" s="1">
        <v>21</v>
      </c>
      <c r="M1126">
        <f t="shared" si="48"/>
        <v>51</v>
      </c>
      <c r="N1126" s="1">
        <v>0.47939999999999999</v>
      </c>
      <c r="O1126" s="1">
        <v>145</v>
      </c>
      <c r="P1126" s="24">
        <v>0.31190000000000001</v>
      </c>
      <c r="Q1126" s="31">
        <f>C1126-N1126</f>
        <v>0</v>
      </c>
      <c r="R1126" s="41">
        <f>D1126-O1126</f>
        <v>0</v>
      </c>
      <c r="S1126" s="41">
        <f>E1126-P1126</f>
        <v>-3.0000000000000027E-2</v>
      </c>
    </row>
    <row r="1127" spans="1:19" x14ac:dyDescent="0.15">
      <c r="A1127" s="1">
        <v>6</v>
      </c>
      <c r="B1127" s="1">
        <v>12</v>
      </c>
      <c r="C1127" s="10">
        <v>0.47939999999999999</v>
      </c>
      <c r="D1127" s="5">
        <v>145</v>
      </c>
      <c r="E1127" s="10">
        <v>0.29189999999999999</v>
      </c>
      <c r="F1127" s="5">
        <v>390</v>
      </c>
      <c r="G1127" s="5">
        <v>18</v>
      </c>
      <c r="I1127" s="40">
        <f t="shared" si="46"/>
        <v>390</v>
      </c>
      <c r="J1127" s="40">
        <f t="shared" si="47"/>
        <v>18</v>
      </c>
      <c r="K1127" s="1">
        <v>416</v>
      </c>
      <c r="L1127" s="1">
        <v>22</v>
      </c>
      <c r="M1127">
        <f t="shared" si="48"/>
        <v>-30</v>
      </c>
      <c r="N1127" s="1">
        <v>0.47939999999999999</v>
      </c>
      <c r="O1127" s="1">
        <v>145</v>
      </c>
      <c r="P1127" s="24">
        <v>0.31290000000000001</v>
      </c>
      <c r="Q1127" s="31">
        <f>C1127-N1127</f>
        <v>0</v>
      </c>
      <c r="R1127" s="41">
        <f>D1127-O1127</f>
        <v>0</v>
      </c>
      <c r="S1127" s="41">
        <f>E1127-P1127</f>
        <v>-2.1000000000000019E-2</v>
      </c>
    </row>
    <row r="1128" spans="1:19" x14ac:dyDescent="0.15">
      <c r="A1128" s="1">
        <v>6</v>
      </c>
      <c r="B1128" s="1">
        <v>12</v>
      </c>
      <c r="C1128" s="10">
        <v>0.47939999999999999</v>
      </c>
      <c r="D1128" s="5">
        <v>145</v>
      </c>
      <c r="E1128" s="10">
        <v>0.3019</v>
      </c>
      <c r="F1128" s="5">
        <v>380</v>
      </c>
      <c r="G1128" s="5">
        <v>21</v>
      </c>
      <c r="I1128" s="40">
        <f t="shared" si="46"/>
        <v>380</v>
      </c>
      <c r="J1128" s="40">
        <f t="shared" si="47"/>
        <v>21</v>
      </c>
      <c r="K1128" s="1">
        <v>381</v>
      </c>
      <c r="L1128" s="1">
        <v>22</v>
      </c>
      <c r="M1128">
        <f t="shared" si="48"/>
        <v>-2</v>
      </c>
      <c r="N1128" s="1">
        <v>0.47939999999999999</v>
      </c>
      <c r="O1128" s="1">
        <v>145</v>
      </c>
      <c r="P1128" s="24">
        <v>0.33189999999999997</v>
      </c>
      <c r="Q1128" s="31">
        <f>C1128-N1128</f>
        <v>0</v>
      </c>
      <c r="R1128" s="41">
        <f>D1128-O1128</f>
        <v>0</v>
      </c>
      <c r="S1128" s="41">
        <f>E1128-P1128</f>
        <v>-2.9999999999999971E-2</v>
      </c>
    </row>
    <row r="1129" spans="1:19" x14ac:dyDescent="0.15">
      <c r="A1129" s="1">
        <v>6</v>
      </c>
      <c r="B1129" s="1">
        <v>12</v>
      </c>
      <c r="C1129" s="10">
        <v>0.47939999999999999</v>
      </c>
      <c r="D1129" s="5">
        <v>145</v>
      </c>
      <c r="E1129" s="10">
        <v>0.31189999999999996</v>
      </c>
      <c r="F1129" s="5">
        <v>373</v>
      </c>
      <c r="G1129" s="5">
        <v>21</v>
      </c>
      <c r="I1129" s="40">
        <f t="shared" si="46"/>
        <v>373</v>
      </c>
      <c r="J1129" s="40">
        <f t="shared" si="47"/>
        <v>21</v>
      </c>
      <c r="K1129" s="1">
        <v>442</v>
      </c>
      <c r="L1129" s="1">
        <v>28</v>
      </c>
      <c r="M1129">
        <f t="shared" si="48"/>
        <v>-76</v>
      </c>
      <c r="N1129" s="1">
        <v>0.47939999999999999</v>
      </c>
      <c r="O1129" s="1">
        <v>145</v>
      </c>
      <c r="P1129" s="24">
        <v>0.34189999999999998</v>
      </c>
      <c r="Q1129" s="31">
        <f>C1129-N1129</f>
        <v>0</v>
      </c>
      <c r="R1129" s="41">
        <f>D1129-O1129</f>
        <v>0</v>
      </c>
      <c r="S1129" s="41">
        <f>E1129-P1129</f>
        <v>-3.0000000000000027E-2</v>
      </c>
    </row>
    <row r="1130" spans="1:19" x14ac:dyDescent="0.15">
      <c r="A1130" s="1">
        <v>6</v>
      </c>
      <c r="B1130" s="1">
        <v>12</v>
      </c>
      <c r="C1130" s="10">
        <v>0.47939999999999999</v>
      </c>
      <c r="D1130" s="5">
        <v>145</v>
      </c>
      <c r="E1130" s="10">
        <v>0.32189999999999996</v>
      </c>
      <c r="F1130" s="5">
        <v>416</v>
      </c>
      <c r="G1130" s="5">
        <v>22</v>
      </c>
      <c r="I1130" s="40">
        <f t="shared" si="46"/>
        <v>416</v>
      </c>
      <c r="J1130" s="40">
        <f t="shared" si="47"/>
        <v>22</v>
      </c>
      <c r="K1130" s="1">
        <v>466</v>
      </c>
      <c r="L1130" s="1">
        <v>29</v>
      </c>
      <c r="M1130">
        <f t="shared" si="48"/>
        <v>-57</v>
      </c>
      <c r="N1130" s="1">
        <v>0.47939999999999999</v>
      </c>
      <c r="O1130" s="1">
        <v>145</v>
      </c>
      <c r="P1130" s="24">
        <v>0.35189999999999999</v>
      </c>
      <c r="Q1130" s="31">
        <f>C1130-N1130</f>
        <v>0</v>
      </c>
      <c r="R1130" s="41">
        <f>D1130-O1130</f>
        <v>0</v>
      </c>
      <c r="S1130" s="41">
        <f>E1130-P1130</f>
        <v>-3.0000000000000027E-2</v>
      </c>
    </row>
    <row r="1131" spans="1:19" x14ac:dyDescent="0.15">
      <c r="A1131" s="1">
        <v>6</v>
      </c>
      <c r="B1131" s="1">
        <v>12</v>
      </c>
      <c r="C1131" s="10">
        <v>0.47939999999999999</v>
      </c>
      <c r="D1131" s="5">
        <v>145</v>
      </c>
      <c r="E1131" s="10">
        <v>0.33189999999999997</v>
      </c>
      <c r="F1131" s="5">
        <v>381</v>
      </c>
      <c r="G1131" s="5">
        <v>22</v>
      </c>
      <c r="I1131" s="40">
        <f t="shared" si="46"/>
        <v>381</v>
      </c>
      <c r="J1131" s="40">
        <f t="shared" si="47"/>
        <v>22</v>
      </c>
      <c r="K1131" s="1">
        <v>507</v>
      </c>
      <c r="L1131" s="1">
        <v>31</v>
      </c>
      <c r="M1131">
        <f t="shared" si="48"/>
        <v>-135</v>
      </c>
      <c r="N1131" s="1">
        <v>0.47939999999999999</v>
      </c>
      <c r="O1131" s="1">
        <v>145</v>
      </c>
      <c r="P1131" s="24">
        <v>0.3619</v>
      </c>
      <c r="Q1131" s="31">
        <f>C1131-N1131</f>
        <v>0</v>
      </c>
      <c r="R1131" s="41">
        <f>D1131-O1131</f>
        <v>0</v>
      </c>
      <c r="S1131" s="41">
        <f>E1131-P1131</f>
        <v>-3.0000000000000027E-2</v>
      </c>
    </row>
    <row r="1132" spans="1:19" ht="14" thickBot="1" x14ac:dyDescent="0.2">
      <c r="A1132" s="1">
        <v>6</v>
      </c>
      <c r="B1132" s="1">
        <v>12</v>
      </c>
      <c r="C1132" s="10">
        <v>0.47939999999999999</v>
      </c>
      <c r="D1132" s="5">
        <v>145</v>
      </c>
      <c r="E1132" s="10">
        <v>0.34189999999999998</v>
      </c>
      <c r="F1132" s="5">
        <v>442</v>
      </c>
      <c r="G1132" s="5">
        <v>28</v>
      </c>
      <c r="I1132" s="40">
        <f t="shared" si="46"/>
        <v>442</v>
      </c>
      <c r="J1132" s="40">
        <f t="shared" si="47"/>
        <v>28</v>
      </c>
      <c r="K1132" s="1">
        <v>611</v>
      </c>
      <c r="L1132" s="1">
        <v>40</v>
      </c>
      <c r="M1132">
        <f t="shared" si="48"/>
        <v>-181</v>
      </c>
      <c r="N1132" s="1">
        <v>0.47939999999999999</v>
      </c>
      <c r="O1132" s="1">
        <v>145</v>
      </c>
      <c r="P1132" s="44">
        <v>0.37190000000000001</v>
      </c>
      <c r="Q1132" s="31">
        <f>C1132-N1132</f>
        <v>0</v>
      </c>
      <c r="R1132" s="41">
        <f>D1132-O1132</f>
        <v>0</v>
      </c>
      <c r="S1132" s="41">
        <f>E1132-P1132</f>
        <v>-3.0000000000000027E-2</v>
      </c>
    </row>
    <row r="1133" spans="1:19" ht="14" thickTop="1" x14ac:dyDescent="0.15">
      <c r="A1133" s="1">
        <v>6</v>
      </c>
      <c r="B1133" s="1">
        <v>12</v>
      </c>
      <c r="C1133" s="10">
        <v>0.47939999999999999</v>
      </c>
      <c r="D1133" s="5">
        <v>145</v>
      </c>
      <c r="E1133" s="10">
        <v>0.35189999999999999</v>
      </c>
      <c r="F1133" s="5">
        <v>466</v>
      </c>
      <c r="G1133" s="5">
        <v>29</v>
      </c>
      <c r="I1133" s="40">
        <f t="shared" si="46"/>
        <v>466</v>
      </c>
      <c r="J1133" s="40">
        <f t="shared" si="47"/>
        <v>29</v>
      </c>
      <c r="K1133" s="1">
        <v>10</v>
      </c>
      <c r="L1133" s="1">
        <v>2</v>
      </c>
      <c r="M1133">
        <f t="shared" si="48"/>
        <v>483</v>
      </c>
      <c r="N1133" s="1">
        <v>0.44</v>
      </c>
      <c r="O1133" s="1">
        <v>145</v>
      </c>
      <c r="P1133" s="24">
        <v>9.7500000000000003E-2</v>
      </c>
      <c r="Q1133" s="31">
        <f>C1133-N1133</f>
        <v>3.9399999999999991E-2</v>
      </c>
      <c r="R1133" s="41">
        <f>D1133-O1133</f>
        <v>0</v>
      </c>
      <c r="S1133" s="41">
        <f>E1133-P1133</f>
        <v>0.25439999999999996</v>
      </c>
    </row>
    <row r="1134" spans="1:19" x14ac:dyDescent="0.15">
      <c r="A1134" s="1">
        <v>6</v>
      </c>
      <c r="B1134" s="1">
        <v>12</v>
      </c>
      <c r="C1134" s="10">
        <v>0.47939999999999999</v>
      </c>
      <c r="D1134" s="5">
        <v>145</v>
      </c>
      <c r="E1134" s="10">
        <v>0.3619</v>
      </c>
      <c r="F1134" s="5">
        <v>507</v>
      </c>
      <c r="G1134" s="5">
        <v>31</v>
      </c>
      <c r="I1134" s="40">
        <f t="shared" si="46"/>
        <v>507</v>
      </c>
      <c r="J1134" s="40">
        <f t="shared" si="47"/>
        <v>31</v>
      </c>
      <c r="K1134" s="1">
        <v>15</v>
      </c>
      <c r="L1134" s="1">
        <v>2</v>
      </c>
      <c r="M1134">
        <f t="shared" si="48"/>
        <v>521</v>
      </c>
      <c r="N1134" s="1">
        <v>0.44</v>
      </c>
      <c r="O1134" s="1">
        <v>145</v>
      </c>
      <c r="P1134" s="24">
        <v>0.1075</v>
      </c>
      <c r="Q1134" s="31">
        <f>C1134-N1134</f>
        <v>3.9399999999999991E-2</v>
      </c>
      <c r="R1134" s="41">
        <f>D1134-O1134</f>
        <v>0</v>
      </c>
      <c r="S1134" s="41">
        <f>E1134-P1134</f>
        <v>0.25440000000000002</v>
      </c>
    </row>
    <row r="1135" spans="1:19" x14ac:dyDescent="0.15">
      <c r="A1135" s="1">
        <v>6</v>
      </c>
      <c r="B1135" s="1">
        <v>12</v>
      </c>
      <c r="C1135" s="10">
        <v>0.47939999999999999</v>
      </c>
      <c r="D1135" s="5">
        <v>145</v>
      </c>
      <c r="E1135" s="10">
        <v>0.37189999999999995</v>
      </c>
      <c r="F1135" s="5">
        <v>611</v>
      </c>
      <c r="G1135" s="5">
        <v>40</v>
      </c>
      <c r="I1135" s="40">
        <f t="shared" si="46"/>
        <v>611</v>
      </c>
      <c r="J1135" s="40">
        <f t="shared" si="47"/>
        <v>40</v>
      </c>
      <c r="K1135" s="1">
        <v>30</v>
      </c>
      <c r="L1135" s="1">
        <v>3</v>
      </c>
      <c r="M1135">
        <f t="shared" si="48"/>
        <v>618</v>
      </c>
      <c r="N1135" s="1">
        <v>0.44</v>
      </c>
      <c r="O1135" s="1">
        <v>145</v>
      </c>
      <c r="P1135" s="24">
        <v>0.11749999999999999</v>
      </c>
      <c r="Q1135" s="31">
        <f>C1135-N1135</f>
        <v>3.9399999999999991E-2</v>
      </c>
      <c r="R1135" s="41">
        <f>D1135-O1135</f>
        <v>0</v>
      </c>
      <c r="S1135" s="41">
        <f>E1135-P1135</f>
        <v>0.25439999999999996</v>
      </c>
    </row>
    <row r="1136" spans="1:19" x14ac:dyDescent="0.15">
      <c r="A1136" s="1">
        <v>6</v>
      </c>
      <c r="B1136" s="1">
        <v>12</v>
      </c>
      <c r="C1136" s="10">
        <v>0.44</v>
      </c>
      <c r="D1136" s="5">
        <v>145</v>
      </c>
      <c r="E1136" s="10">
        <v>9.7500000000000003E-2</v>
      </c>
      <c r="F1136" s="5">
        <v>10</v>
      </c>
      <c r="G1136" s="5">
        <v>2</v>
      </c>
      <c r="I1136" s="40">
        <f t="shared" si="46"/>
        <v>10</v>
      </c>
      <c r="J1136" s="40">
        <f t="shared" si="47"/>
        <v>2</v>
      </c>
      <c r="K1136" s="1">
        <v>50</v>
      </c>
      <c r="L1136" s="1">
        <v>4</v>
      </c>
      <c r="M1136">
        <f t="shared" si="48"/>
        <v>-42</v>
      </c>
      <c r="N1136" s="1">
        <v>0.44</v>
      </c>
      <c r="O1136" s="1">
        <v>145</v>
      </c>
      <c r="P1136" s="24">
        <v>0.1275</v>
      </c>
      <c r="Q1136" s="31">
        <f>C1136-N1136</f>
        <v>0</v>
      </c>
      <c r="R1136" s="41">
        <f>D1136-O1136</f>
        <v>0</v>
      </c>
      <c r="S1136" s="41">
        <f>E1136-P1136</f>
        <v>-0.03</v>
      </c>
    </row>
    <row r="1137" spans="1:19" x14ac:dyDescent="0.15">
      <c r="A1137" s="1">
        <v>6</v>
      </c>
      <c r="B1137" s="1">
        <v>12</v>
      </c>
      <c r="C1137" s="10">
        <v>0.44</v>
      </c>
      <c r="D1137" s="5">
        <v>145</v>
      </c>
      <c r="E1137" s="10">
        <v>0.1075</v>
      </c>
      <c r="F1137" s="5">
        <v>15</v>
      </c>
      <c r="G1137" s="5">
        <v>2</v>
      </c>
      <c r="I1137" s="40">
        <f t="shared" si="46"/>
        <v>15</v>
      </c>
      <c r="J1137" s="40">
        <f t="shared" si="47"/>
        <v>2</v>
      </c>
      <c r="K1137" s="1">
        <v>83</v>
      </c>
      <c r="L1137" s="1">
        <v>5</v>
      </c>
      <c r="M1137">
        <f t="shared" si="48"/>
        <v>-71</v>
      </c>
      <c r="N1137" s="1">
        <v>0.44</v>
      </c>
      <c r="O1137" s="1">
        <v>145</v>
      </c>
      <c r="P1137" s="24">
        <v>0.13750000000000001</v>
      </c>
      <c r="Q1137" s="31">
        <f>C1137-N1137</f>
        <v>0</v>
      </c>
      <c r="R1137" s="41">
        <f>D1137-O1137</f>
        <v>0</v>
      </c>
      <c r="S1137" s="41">
        <f>E1137-P1137</f>
        <v>-3.0000000000000013E-2</v>
      </c>
    </row>
    <row r="1138" spans="1:19" x14ac:dyDescent="0.15">
      <c r="A1138" s="1">
        <v>6</v>
      </c>
      <c r="B1138" s="1">
        <v>12</v>
      </c>
      <c r="C1138" s="10">
        <v>0.44</v>
      </c>
      <c r="D1138" s="5">
        <v>145</v>
      </c>
      <c r="E1138" s="10">
        <v>0.11749999999999999</v>
      </c>
      <c r="F1138" s="5">
        <v>30</v>
      </c>
      <c r="G1138" s="5">
        <v>3</v>
      </c>
      <c r="I1138" s="40">
        <f t="shared" si="46"/>
        <v>30</v>
      </c>
      <c r="J1138" s="40">
        <f t="shared" si="47"/>
        <v>3</v>
      </c>
      <c r="K1138" s="1">
        <v>123</v>
      </c>
      <c r="L1138" s="1">
        <v>7</v>
      </c>
      <c r="M1138">
        <f t="shared" si="48"/>
        <v>-97</v>
      </c>
      <c r="N1138" s="1">
        <v>0.44</v>
      </c>
      <c r="O1138" s="1">
        <v>145</v>
      </c>
      <c r="P1138" s="24">
        <v>0.14749999999999999</v>
      </c>
      <c r="Q1138" s="31">
        <f>C1138-N1138</f>
        <v>0</v>
      </c>
      <c r="R1138" s="41">
        <f>D1138-O1138</f>
        <v>0</v>
      </c>
      <c r="S1138" s="41">
        <f>E1138-P1138</f>
        <v>-0.03</v>
      </c>
    </row>
    <row r="1139" spans="1:19" x14ac:dyDescent="0.15">
      <c r="A1139" s="1">
        <v>6</v>
      </c>
      <c r="B1139" s="1">
        <v>12</v>
      </c>
      <c r="C1139" s="10">
        <v>0.44</v>
      </c>
      <c r="D1139" s="5">
        <v>145</v>
      </c>
      <c r="E1139" s="10">
        <v>0.1275</v>
      </c>
      <c r="F1139" s="5">
        <v>50</v>
      </c>
      <c r="G1139" s="5">
        <v>4</v>
      </c>
      <c r="I1139" s="40">
        <f t="shared" si="46"/>
        <v>50</v>
      </c>
      <c r="J1139" s="40">
        <f t="shared" si="47"/>
        <v>4</v>
      </c>
      <c r="K1139" s="1">
        <v>186</v>
      </c>
      <c r="L1139" s="1">
        <v>8</v>
      </c>
      <c r="M1139">
        <f t="shared" si="48"/>
        <v>-140</v>
      </c>
      <c r="N1139" s="1">
        <v>0.44</v>
      </c>
      <c r="O1139" s="1">
        <v>145</v>
      </c>
      <c r="P1139" s="24">
        <v>0.1575</v>
      </c>
      <c r="Q1139" s="31">
        <f>C1139-N1139</f>
        <v>0</v>
      </c>
      <c r="R1139" s="41">
        <f>D1139-O1139</f>
        <v>0</v>
      </c>
      <c r="S1139" s="41">
        <f>E1139-P1139</f>
        <v>-0.03</v>
      </c>
    </row>
    <row r="1140" spans="1:19" x14ac:dyDescent="0.15">
      <c r="A1140" s="1">
        <v>6</v>
      </c>
      <c r="B1140" s="1">
        <v>12</v>
      </c>
      <c r="C1140" s="10">
        <v>0.44</v>
      </c>
      <c r="D1140" s="5">
        <v>145</v>
      </c>
      <c r="E1140" s="10">
        <v>0.13750000000000001</v>
      </c>
      <c r="F1140" s="5">
        <v>83</v>
      </c>
      <c r="G1140" s="5">
        <v>5</v>
      </c>
      <c r="I1140" s="40">
        <f t="shared" si="46"/>
        <v>83</v>
      </c>
      <c r="J1140" s="40">
        <f t="shared" si="47"/>
        <v>5</v>
      </c>
      <c r="K1140" s="1">
        <v>266</v>
      </c>
      <c r="L1140" s="1">
        <v>11</v>
      </c>
      <c r="M1140">
        <f t="shared" si="48"/>
        <v>-189</v>
      </c>
      <c r="N1140" s="1">
        <v>0.44</v>
      </c>
      <c r="O1140" s="1">
        <v>145</v>
      </c>
      <c r="P1140" s="24">
        <v>0.16750000000000001</v>
      </c>
      <c r="Q1140" s="31">
        <f>C1140-N1140</f>
        <v>0</v>
      </c>
      <c r="R1140" s="41">
        <f>D1140-O1140</f>
        <v>0</v>
      </c>
      <c r="S1140" s="41">
        <f>E1140-P1140</f>
        <v>-0.03</v>
      </c>
    </row>
    <row r="1141" spans="1:19" x14ac:dyDescent="0.15">
      <c r="A1141" s="1">
        <v>6</v>
      </c>
      <c r="B1141" s="1">
        <v>12</v>
      </c>
      <c r="C1141" s="10">
        <v>0.44</v>
      </c>
      <c r="D1141" s="5">
        <v>145</v>
      </c>
      <c r="E1141" s="10">
        <v>0.14749999999999999</v>
      </c>
      <c r="F1141" s="5">
        <v>123</v>
      </c>
      <c r="G1141" s="5">
        <v>7</v>
      </c>
      <c r="I1141" s="40">
        <f t="shared" si="46"/>
        <v>123</v>
      </c>
      <c r="J1141" s="40">
        <f t="shared" si="47"/>
        <v>7</v>
      </c>
      <c r="K1141" s="1">
        <v>317</v>
      </c>
      <c r="L1141" s="1">
        <v>14</v>
      </c>
      <c r="M1141">
        <f t="shared" si="48"/>
        <v>-201</v>
      </c>
      <c r="N1141" s="1">
        <v>0.44</v>
      </c>
      <c r="O1141" s="1">
        <v>145</v>
      </c>
      <c r="P1141" s="24">
        <v>0.17749999999999999</v>
      </c>
      <c r="Q1141" s="31">
        <f>C1141-N1141</f>
        <v>0</v>
      </c>
      <c r="R1141" s="41">
        <f>D1141-O1141</f>
        <v>0</v>
      </c>
      <c r="S1141" s="41">
        <f>E1141-P1141</f>
        <v>-0.03</v>
      </c>
    </row>
    <row r="1142" spans="1:19" x14ac:dyDescent="0.15">
      <c r="A1142" s="1">
        <v>6</v>
      </c>
      <c r="B1142" s="1">
        <v>12</v>
      </c>
      <c r="C1142" s="10">
        <v>0.44</v>
      </c>
      <c r="D1142" s="5">
        <v>145</v>
      </c>
      <c r="E1142" s="10">
        <v>0.1575</v>
      </c>
      <c r="F1142" s="5">
        <v>186</v>
      </c>
      <c r="G1142" s="5">
        <v>8</v>
      </c>
      <c r="I1142" s="40">
        <f t="shared" si="46"/>
        <v>186</v>
      </c>
      <c r="J1142" s="40">
        <f t="shared" si="47"/>
        <v>8</v>
      </c>
      <c r="K1142" s="1">
        <v>388</v>
      </c>
      <c r="L1142" s="1">
        <v>17</v>
      </c>
      <c r="M1142">
        <f t="shared" si="48"/>
        <v>-211</v>
      </c>
      <c r="N1142" s="1">
        <v>0.44</v>
      </c>
      <c r="O1142" s="1">
        <v>145</v>
      </c>
      <c r="P1142" s="24">
        <v>0.1875</v>
      </c>
      <c r="Q1142" s="31">
        <f>C1142-N1142</f>
        <v>0</v>
      </c>
      <c r="R1142" s="41">
        <f>D1142-O1142</f>
        <v>0</v>
      </c>
      <c r="S1142" s="41">
        <f>E1142-P1142</f>
        <v>-0.03</v>
      </c>
    </row>
    <row r="1143" spans="1:19" x14ac:dyDescent="0.15">
      <c r="A1143" s="1">
        <v>6</v>
      </c>
      <c r="B1143" s="1">
        <v>12</v>
      </c>
      <c r="C1143" s="10">
        <v>0.44</v>
      </c>
      <c r="D1143" s="5">
        <v>145</v>
      </c>
      <c r="E1143" s="10">
        <v>0.16750000000000001</v>
      </c>
      <c r="F1143" s="5">
        <v>266</v>
      </c>
      <c r="G1143" s="5">
        <v>11</v>
      </c>
      <c r="I1143" s="40">
        <f t="shared" si="46"/>
        <v>266</v>
      </c>
      <c r="J1143" s="40">
        <f t="shared" si="47"/>
        <v>11</v>
      </c>
      <c r="K1143" s="1">
        <v>441</v>
      </c>
      <c r="L1143" s="1">
        <v>20</v>
      </c>
      <c r="M1143">
        <f t="shared" si="48"/>
        <v>-184</v>
      </c>
      <c r="N1143" s="1">
        <v>0.44</v>
      </c>
      <c r="O1143" s="1">
        <v>145</v>
      </c>
      <c r="P1143" s="24">
        <v>0.19750000000000001</v>
      </c>
      <c r="Q1143" s="31">
        <f>C1143-N1143</f>
        <v>0</v>
      </c>
      <c r="R1143" s="41">
        <f>D1143-O1143</f>
        <v>0</v>
      </c>
      <c r="S1143" s="41">
        <f>E1143-P1143</f>
        <v>-0.03</v>
      </c>
    </row>
    <row r="1144" spans="1:19" x14ac:dyDescent="0.15">
      <c r="A1144" s="1">
        <v>6</v>
      </c>
      <c r="B1144" s="1">
        <v>12</v>
      </c>
      <c r="C1144" s="10">
        <v>0.44</v>
      </c>
      <c r="D1144" s="5">
        <v>145</v>
      </c>
      <c r="E1144" s="10">
        <v>0.17749999999999999</v>
      </c>
      <c r="F1144" s="5">
        <v>317</v>
      </c>
      <c r="G1144" s="5">
        <v>14</v>
      </c>
      <c r="I1144" s="40">
        <f t="shared" si="46"/>
        <v>317</v>
      </c>
      <c r="J1144" s="40">
        <f t="shared" si="47"/>
        <v>14</v>
      </c>
      <c r="K1144" s="1">
        <v>497</v>
      </c>
      <c r="L1144" s="1">
        <v>22</v>
      </c>
      <c r="M1144">
        <f t="shared" si="48"/>
        <v>-188</v>
      </c>
      <c r="N1144" s="1">
        <v>0.44</v>
      </c>
      <c r="O1144" s="1">
        <v>145</v>
      </c>
      <c r="P1144" s="24">
        <v>0.20749999999999999</v>
      </c>
      <c r="Q1144" s="31">
        <f>C1144-N1144</f>
        <v>0</v>
      </c>
      <c r="R1144" s="41">
        <f>D1144-O1144</f>
        <v>0</v>
      </c>
      <c r="S1144" s="41">
        <f>E1144-P1144</f>
        <v>-0.03</v>
      </c>
    </row>
    <row r="1145" spans="1:19" x14ac:dyDescent="0.15">
      <c r="A1145" s="1">
        <v>6</v>
      </c>
      <c r="B1145" s="1">
        <v>12</v>
      </c>
      <c r="C1145" s="10">
        <v>0.44</v>
      </c>
      <c r="D1145" s="5">
        <v>145</v>
      </c>
      <c r="E1145" s="10">
        <v>0.1875</v>
      </c>
      <c r="F1145" s="5">
        <v>388</v>
      </c>
      <c r="G1145" s="5">
        <v>17</v>
      </c>
      <c r="I1145" s="40">
        <f t="shared" ref="I1145:I1208" si="49">F1145</f>
        <v>388</v>
      </c>
      <c r="J1145" s="40">
        <f t="shared" ref="J1145:J1208" si="50">G1145</f>
        <v>17</v>
      </c>
      <c r="K1145" s="1">
        <v>521</v>
      </c>
      <c r="L1145" s="1">
        <v>26</v>
      </c>
      <c r="M1145">
        <f t="shared" si="48"/>
        <v>-142</v>
      </c>
      <c r="N1145" s="1">
        <v>0.44</v>
      </c>
      <c r="O1145" s="1">
        <v>145</v>
      </c>
      <c r="P1145" s="24">
        <v>0.2175</v>
      </c>
      <c r="Q1145" s="31">
        <f>C1145-N1145</f>
        <v>0</v>
      </c>
      <c r="R1145" s="41">
        <f>D1145-O1145</f>
        <v>0</v>
      </c>
      <c r="S1145" s="41">
        <f>E1145-P1145</f>
        <v>-0.03</v>
      </c>
    </row>
    <row r="1146" spans="1:19" x14ac:dyDescent="0.15">
      <c r="A1146" s="1">
        <v>6</v>
      </c>
      <c r="B1146" s="1">
        <v>12</v>
      </c>
      <c r="C1146" s="10">
        <v>0.44</v>
      </c>
      <c r="D1146" s="5">
        <v>145</v>
      </c>
      <c r="E1146" s="10">
        <v>0.19750000000000001</v>
      </c>
      <c r="F1146" s="5">
        <v>441</v>
      </c>
      <c r="G1146" s="5">
        <v>20</v>
      </c>
      <c r="I1146" s="40">
        <f t="shared" si="49"/>
        <v>441</v>
      </c>
      <c r="J1146" s="40">
        <f t="shared" si="50"/>
        <v>20</v>
      </c>
      <c r="K1146" s="1">
        <v>546</v>
      </c>
      <c r="L1146" s="1">
        <v>28</v>
      </c>
      <c r="M1146">
        <f t="shared" si="48"/>
        <v>-113</v>
      </c>
      <c r="N1146" s="1">
        <v>0.44</v>
      </c>
      <c r="O1146" s="1">
        <v>145</v>
      </c>
      <c r="P1146" s="24">
        <v>0.22750000000000001</v>
      </c>
      <c r="Q1146" s="31">
        <f>C1146-N1146</f>
        <v>0</v>
      </c>
      <c r="R1146" s="41">
        <f>D1146-O1146</f>
        <v>0</v>
      </c>
      <c r="S1146" s="41">
        <f>E1146-P1146</f>
        <v>-0.03</v>
      </c>
    </row>
    <row r="1147" spans="1:19" x14ac:dyDescent="0.15">
      <c r="A1147" s="1">
        <v>6</v>
      </c>
      <c r="B1147" s="1">
        <v>12</v>
      </c>
      <c r="C1147" s="10">
        <v>0.44</v>
      </c>
      <c r="D1147" s="5">
        <v>145</v>
      </c>
      <c r="E1147" s="10">
        <v>0.20749999999999999</v>
      </c>
      <c r="F1147" s="5">
        <v>497</v>
      </c>
      <c r="G1147" s="5">
        <v>22</v>
      </c>
      <c r="I1147" s="40">
        <f t="shared" si="49"/>
        <v>497</v>
      </c>
      <c r="J1147" s="40">
        <f t="shared" si="50"/>
        <v>22</v>
      </c>
      <c r="K1147" s="1">
        <v>536</v>
      </c>
      <c r="L1147" s="1">
        <v>28</v>
      </c>
      <c r="M1147">
        <f t="shared" si="48"/>
        <v>-45</v>
      </c>
      <c r="N1147" s="1">
        <v>0.44</v>
      </c>
      <c r="O1147" s="1">
        <v>145</v>
      </c>
      <c r="P1147" s="24">
        <v>0.23749999999999999</v>
      </c>
      <c r="Q1147" s="31">
        <f>C1147-N1147</f>
        <v>0</v>
      </c>
      <c r="R1147" s="41">
        <f>D1147-O1147</f>
        <v>0</v>
      </c>
      <c r="S1147" s="41">
        <f>E1147-P1147</f>
        <v>-0.03</v>
      </c>
    </row>
    <row r="1148" spans="1:19" x14ac:dyDescent="0.15">
      <c r="A1148" s="1">
        <v>6</v>
      </c>
      <c r="B1148" s="1">
        <v>12</v>
      </c>
      <c r="C1148" s="10">
        <v>0.44</v>
      </c>
      <c r="D1148" s="5">
        <v>145</v>
      </c>
      <c r="E1148" s="10">
        <v>0.2175</v>
      </c>
      <c r="F1148" s="5">
        <v>521</v>
      </c>
      <c r="G1148" s="5">
        <v>26</v>
      </c>
      <c r="I1148" s="40">
        <f t="shared" si="49"/>
        <v>521</v>
      </c>
      <c r="J1148" s="40">
        <f t="shared" si="50"/>
        <v>26</v>
      </c>
      <c r="K1148" s="1">
        <v>515</v>
      </c>
      <c r="L1148" s="1">
        <v>30</v>
      </c>
      <c r="M1148">
        <f t="shared" si="48"/>
        <v>2</v>
      </c>
      <c r="N1148" s="1">
        <v>0.44</v>
      </c>
      <c r="O1148" s="1">
        <v>145</v>
      </c>
      <c r="P1148" s="24">
        <v>0.2475</v>
      </c>
      <c r="Q1148" s="31">
        <f>C1148-N1148</f>
        <v>0</v>
      </c>
      <c r="R1148" s="41">
        <f>D1148-O1148</f>
        <v>0</v>
      </c>
      <c r="S1148" s="41">
        <f>E1148-P1148</f>
        <v>-0.03</v>
      </c>
    </row>
    <row r="1149" spans="1:19" x14ac:dyDescent="0.15">
      <c r="A1149" s="1">
        <v>6</v>
      </c>
      <c r="B1149" s="1">
        <v>12</v>
      </c>
      <c r="C1149" s="10">
        <v>0.44</v>
      </c>
      <c r="D1149" s="5">
        <v>145</v>
      </c>
      <c r="E1149" s="10">
        <v>0.22750000000000001</v>
      </c>
      <c r="F1149" s="5">
        <v>546</v>
      </c>
      <c r="G1149" s="5">
        <v>28</v>
      </c>
      <c r="I1149" s="40">
        <f t="shared" si="49"/>
        <v>546</v>
      </c>
      <c r="J1149" s="40">
        <f t="shared" si="50"/>
        <v>28</v>
      </c>
      <c r="K1149" s="1">
        <v>471</v>
      </c>
      <c r="L1149" s="1">
        <v>26</v>
      </c>
      <c r="M1149">
        <f t="shared" si="48"/>
        <v>77</v>
      </c>
      <c r="N1149" s="1">
        <v>0.44</v>
      </c>
      <c r="O1149" s="1">
        <v>145</v>
      </c>
      <c r="P1149" s="24">
        <v>0.25750000000000001</v>
      </c>
      <c r="Q1149" s="31">
        <f>C1149-N1149</f>
        <v>0</v>
      </c>
      <c r="R1149" s="41">
        <f>D1149-O1149</f>
        <v>0</v>
      </c>
      <c r="S1149" s="41">
        <f>E1149-P1149</f>
        <v>-0.03</v>
      </c>
    </row>
    <row r="1150" spans="1:19" x14ac:dyDescent="0.15">
      <c r="A1150" s="1">
        <v>6</v>
      </c>
      <c r="B1150" s="1">
        <v>12</v>
      </c>
      <c r="C1150" s="10">
        <v>0.44</v>
      </c>
      <c r="D1150" s="5">
        <v>145</v>
      </c>
      <c r="E1150" s="10">
        <v>0.23749999999999999</v>
      </c>
      <c r="F1150" s="5">
        <v>536</v>
      </c>
      <c r="G1150" s="5">
        <v>28</v>
      </c>
      <c r="I1150" s="40">
        <f t="shared" si="49"/>
        <v>536</v>
      </c>
      <c r="J1150" s="40">
        <f t="shared" si="50"/>
        <v>28</v>
      </c>
      <c r="K1150" s="1">
        <v>422</v>
      </c>
      <c r="L1150" s="1">
        <v>27</v>
      </c>
      <c r="M1150">
        <f t="shared" si="48"/>
        <v>115</v>
      </c>
      <c r="N1150" s="1">
        <v>0.44</v>
      </c>
      <c r="O1150" s="1">
        <v>145</v>
      </c>
      <c r="P1150" s="24">
        <v>0.26750000000000002</v>
      </c>
      <c r="Q1150" s="31">
        <f>C1150-N1150</f>
        <v>0</v>
      </c>
      <c r="R1150" s="41">
        <f>D1150-O1150</f>
        <v>0</v>
      </c>
      <c r="S1150" s="41">
        <f>E1150-P1150</f>
        <v>-3.0000000000000027E-2</v>
      </c>
    </row>
    <row r="1151" spans="1:19" x14ac:dyDescent="0.15">
      <c r="A1151" s="1">
        <v>6</v>
      </c>
      <c r="B1151" s="1">
        <v>12</v>
      </c>
      <c r="C1151" s="10">
        <v>0.44</v>
      </c>
      <c r="D1151" s="5">
        <v>145</v>
      </c>
      <c r="E1151" s="10">
        <v>0.2475</v>
      </c>
      <c r="F1151" s="5">
        <v>515</v>
      </c>
      <c r="G1151" s="5">
        <v>30</v>
      </c>
      <c r="I1151" s="40">
        <f t="shared" si="49"/>
        <v>515</v>
      </c>
      <c r="J1151" s="40">
        <f t="shared" si="50"/>
        <v>30</v>
      </c>
      <c r="K1151" s="1">
        <v>428</v>
      </c>
      <c r="L1151" s="1">
        <v>28</v>
      </c>
      <c r="M1151">
        <f t="shared" si="48"/>
        <v>89</v>
      </c>
      <c r="N1151" s="1">
        <v>0.44</v>
      </c>
      <c r="O1151" s="1">
        <v>145</v>
      </c>
      <c r="P1151" s="24">
        <v>0.27750000000000002</v>
      </c>
      <c r="Q1151" s="31">
        <f>C1151-N1151</f>
        <v>0</v>
      </c>
      <c r="R1151" s="41">
        <f>D1151-O1151</f>
        <v>0</v>
      </c>
      <c r="S1151" s="41">
        <f>E1151-P1151</f>
        <v>-3.0000000000000027E-2</v>
      </c>
    </row>
    <row r="1152" spans="1:19" x14ac:dyDescent="0.15">
      <c r="A1152" s="1">
        <v>6</v>
      </c>
      <c r="B1152" s="1">
        <v>12</v>
      </c>
      <c r="C1152" s="10">
        <v>0.44</v>
      </c>
      <c r="D1152" s="5">
        <v>145</v>
      </c>
      <c r="E1152" s="10">
        <v>0.25750000000000001</v>
      </c>
      <c r="F1152" s="5">
        <v>471</v>
      </c>
      <c r="G1152" s="5">
        <v>26</v>
      </c>
      <c r="I1152" s="40">
        <f t="shared" si="49"/>
        <v>471</v>
      </c>
      <c r="J1152" s="40">
        <f t="shared" si="50"/>
        <v>26</v>
      </c>
      <c r="K1152" s="1">
        <v>396</v>
      </c>
      <c r="L1152" s="1">
        <v>28</v>
      </c>
      <c r="M1152">
        <f t="shared" si="48"/>
        <v>73</v>
      </c>
      <c r="N1152" s="1">
        <v>0.44</v>
      </c>
      <c r="O1152" s="1">
        <v>145</v>
      </c>
      <c r="P1152" s="24">
        <v>0.28749999999999998</v>
      </c>
      <c r="Q1152" s="31">
        <f>C1152-N1152</f>
        <v>0</v>
      </c>
      <c r="R1152" s="41">
        <f>D1152-O1152</f>
        <v>0</v>
      </c>
      <c r="S1152" s="41">
        <f>E1152-P1152</f>
        <v>-2.9999999999999971E-2</v>
      </c>
    </row>
    <row r="1153" spans="1:19" x14ac:dyDescent="0.15">
      <c r="A1153" s="1">
        <v>6</v>
      </c>
      <c r="B1153" s="1">
        <v>12</v>
      </c>
      <c r="C1153" s="10">
        <v>0.44</v>
      </c>
      <c r="D1153" s="5">
        <v>145</v>
      </c>
      <c r="E1153" s="10">
        <v>0.26750000000000002</v>
      </c>
      <c r="F1153" s="5">
        <v>422</v>
      </c>
      <c r="G1153" s="5">
        <v>27</v>
      </c>
      <c r="I1153" s="40">
        <f t="shared" si="49"/>
        <v>422</v>
      </c>
      <c r="J1153" s="40">
        <f t="shared" si="50"/>
        <v>27</v>
      </c>
      <c r="K1153" s="1">
        <v>421</v>
      </c>
      <c r="L1153" s="1">
        <v>30</v>
      </c>
      <c r="M1153">
        <f t="shared" si="48"/>
        <v>-2</v>
      </c>
      <c r="N1153" s="1">
        <v>0.44</v>
      </c>
      <c r="O1153" s="1">
        <v>145</v>
      </c>
      <c r="P1153" s="24">
        <v>0.29749999999999999</v>
      </c>
      <c r="Q1153" s="31">
        <f>C1153-N1153</f>
        <v>0</v>
      </c>
      <c r="R1153" s="41">
        <f>D1153-O1153</f>
        <v>0</v>
      </c>
      <c r="S1153" s="41">
        <f>E1153-P1153</f>
        <v>-2.9999999999999971E-2</v>
      </c>
    </row>
    <row r="1154" spans="1:19" x14ac:dyDescent="0.15">
      <c r="A1154" s="1">
        <v>6</v>
      </c>
      <c r="B1154" s="1">
        <v>12</v>
      </c>
      <c r="C1154" s="10">
        <v>0.44</v>
      </c>
      <c r="D1154" s="5">
        <v>145</v>
      </c>
      <c r="E1154" s="10">
        <v>0.27750000000000002</v>
      </c>
      <c r="F1154" s="5">
        <v>428</v>
      </c>
      <c r="G1154" s="5">
        <v>28</v>
      </c>
      <c r="I1154" s="40">
        <f t="shared" si="49"/>
        <v>428</v>
      </c>
      <c r="J1154" s="40">
        <f t="shared" si="50"/>
        <v>28</v>
      </c>
      <c r="K1154" s="1">
        <v>437</v>
      </c>
      <c r="L1154" s="1">
        <v>33</v>
      </c>
      <c r="M1154">
        <f t="shared" si="48"/>
        <v>-14</v>
      </c>
      <c r="N1154" s="1">
        <v>0.44</v>
      </c>
      <c r="O1154" s="1">
        <v>145</v>
      </c>
      <c r="P1154" s="24">
        <v>0.3075</v>
      </c>
      <c r="Q1154" s="31">
        <f>C1154-N1154</f>
        <v>0</v>
      </c>
      <c r="R1154" s="41">
        <f>D1154-O1154</f>
        <v>0</v>
      </c>
      <c r="S1154" s="41">
        <f>E1154-P1154</f>
        <v>-2.9999999999999971E-2</v>
      </c>
    </row>
    <row r="1155" spans="1:19" x14ac:dyDescent="0.15">
      <c r="A1155" s="1">
        <v>6</v>
      </c>
      <c r="B1155" s="1">
        <v>12</v>
      </c>
      <c r="C1155" s="10">
        <v>0.44</v>
      </c>
      <c r="D1155" s="5">
        <v>145</v>
      </c>
      <c r="E1155" s="10">
        <v>0.28749999999999998</v>
      </c>
      <c r="F1155" s="5">
        <v>396</v>
      </c>
      <c r="G1155" s="5">
        <v>28</v>
      </c>
      <c r="I1155" s="40">
        <f t="shared" si="49"/>
        <v>396</v>
      </c>
      <c r="J1155" s="40">
        <f t="shared" si="50"/>
        <v>28</v>
      </c>
      <c r="K1155" s="1">
        <v>472</v>
      </c>
      <c r="L1155" s="1">
        <v>37</v>
      </c>
      <c r="M1155">
        <f t="shared" ref="M1155:M1218" si="51">I1155+J1155-K1155-L1155</f>
        <v>-85</v>
      </c>
      <c r="N1155" s="1">
        <v>0.44</v>
      </c>
      <c r="O1155" s="1">
        <v>145</v>
      </c>
      <c r="P1155" s="24">
        <v>0.3175</v>
      </c>
      <c r="Q1155" s="31">
        <f>C1155-N1155</f>
        <v>0</v>
      </c>
      <c r="R1155" s="41">
        <f>D1155-O1155</f>
        <v>0</v>
      </c>
      <c r="S1155" s="41">
        <f>E1155-P1155</f>
        <v>-3.0000000000000027E-2</v>
      </c>
    </row>
    <row r="1156" spans="1:19" x14ac:dyDescent="0.15">
      <c r="A1156" s="1">
        <v>6</v>
      </c>
      <c r="B1156" s="1">
        <v>12</v>
      </c>
      <c r="C1156" s="10">
        <v>0.44</v>
      </c>
      <c r="D1156" s="5">
        <v>145</v>
      </c>
      <c r="E1156" s="10">
        <v>0.29749999999999999</v>
      </c>
      <c r="F1156" s="5">
        <v>421</v>
      </c>
      <c r="G1156" s="5">
        <v>30</v>
      </c>
      <c r="I1156" s="40">
        <f t="shared" si="49"/>
        <v>421</v>
      </c>
      <c r="J1156" s="40">
        <f t="shared" si="50"/>
        <v>30</v>
      </c>
      <c r="K1156" s="1">
        <v>534</v>
      </c>
      <c r="L1156" s="1">
        <v>45</v>
      </c>
      <c r="M1156">
        <f t="shared" si="51"/>
        <v>-128</v>
      </c>
      <c r="N1156" s="1">
        <v>0.44</v>
      </c>
      <c r="O1156" s="1">
        <v>145</v>
      </c>
      <c r="P1156" s="24">
        <v>0.32750000000000001</v>
      </c>
      <c r="Q1156" s="31">
        <f>C1156-N1156</f>
        <v>0</v>
      </c>
      <c r="R1156" s="41">
        <f>D1156-O1156</f>
        <v>0</v>
      </c>
      <c r="S1156" s="41">
        <f>E1156-P1156</f>
        <v>-3.0000000000000027E-2</v>
      </c>
    </row>
    <row r="1157" spans="1:19" ht="14" thickBot="1" x14ac:dyDescent="0.2">
      <c r="A1157" s="1">
        <v>6</v>
      </c>
      <c r="B1157" s="1">
        <v>12</v>
      </c>
      <c r="C1157" s="10">
        <v>0.44</v>
      </c>
      <c r="D1157" s="5">
        <v>145</v>
      </c>
      <c r="E1157" s="10">
        <v>0.3075</v>
      </c>
      <c r="F1157" s="5">
        <v>437</v>
      </c>
      <c r="G1157" s="5">
        <v>33</v>
      </c>
      <c r="I1157" s="40">
        <f t="shared" si="49"/>
        <v>437</v>
      </c>
      <c r="J1157" s="40">
        <f t="shared" si="50"/>
        <v>33</v>
      </c>
      <c r="K1157" s="1">
        <v>613</v>
      </c>
      <c r="L1157" s="1">
        <v>54</v>
      </c>
      <c r="M1157">
        <f t="shared" si="51"/>
        <v>-197</v>
      </c>
      <c r="N1157" s="1">
        <v>0.44</v>
      </c>
      <c r="O1157" s="1">
        <v>145</v>
      </c>
      <c r="P1157" s="44">
        <v>0.33750000000000002</v>
      </c>
      <c r="Q1157" s="31">
        <f>C1157-N1157</f>
        <v>0</v>
      </c>
      <c r="R1157" s="41">
        <f>D1157-O1157</f>
        <v>0</v>
      </c>
      <c r="S1157" s="41">
        <f>E1157-P1157</f>
        <v>-3.0000000000000027E-2</v>
      </c>
    </row>
    <row r="1158" spans="1:19" ht="14" thickTop="1" x14ac:dyDescent="0.15">
      <c r="A1158" s="1">
        <v>6</v>
      </c>
      <c r="B1158" s="1">
        <v>12</v>
      </c>
      <c r="C1158" s="10">
        <v>0.44</v>
      </c>
      <c r="D1158" s="5">
        <v>145</v>
      </c>
      <c r="E1158" s="10">
        <v>0.3175</v>
      </c>
      <c r="F1158" s="5">
        <v>472</v>
      </c>
      <c r="G1158" s="5">
        <v>37</v>
      </c>
      <c r="I1158" s="40">
        <f t="shared" si="49"/>
        <v>472</v>
      </c>
      <c r="J1158" s="40">
        <f t="shared" si="50"/>
        <v>37</v>
      </c>
      <c r="K1158" s="1">
        <v>7</v>
      </c>
      <c r="L1158" s="1">
        <v>1</v>
      </c>
      <c r="M1158">
        <f t="shared" si="51"/>
        <v>501</v>
      </c>
      <c r="N1158" s="1">
        <v>0.3997</v>
      </c>
      <c r="O1158" s="1">
        <v>145</v>
      </c>
      <c r="P1158" s="24">
        <v>5.9700000000000003E-2</v>
      </c>
      <c r="Q1158" s="31">
        <f>C1158-N1158</f>
        <v>4.0300000000000002E-2</v>
      </c>
      <c r="R1158" s="41">
        <f>D1158-O1158</f>
        <v>0</v>
      </c>
      <c r="S1158" s="41">
        <f>E1158-P1158</f>
        <v>0.25780000000000003</v>
      </c>
    </row>
    <row r="1159" spans="1:19" x14ac:dyDescent="0.15">
      <c r="A1159" s="1">
        <v>6</v>
      </c>
      <c r="B1159" s="1">
        <v>12</v>
      </c>
      <c r="C1159" s="10">
        <v>0.44</v>
      </c>
      <c r="D1159" s="5">
        <v>145</v>
      </c>
      <c r="E1159" s="10">
        <v>0.32750000000000001</v>
      </c>
      <c r="F1159" s="5">
        <v>534</v>
      </c>
      <c r="G1159" s="5">
        <v>45</v>
      </c>
      <c r="I1159" s="40">
        <f t="shared" si="49"/>
        <v>534</v>
      </c>
      <c r="J1159" s="40">
        <f t="shared" si="50"/>
        <v>45</v>
      </c>
      <c r="K1159" s="1">
        <v>8</v>
      </c>
      <c r="L1159" s="1">
        <v>1</v>
      </c>
      <c r="M1159">
        <f t="shared" si="51"/>
        <v>570</v>
      </c>
      <c r="N1159" s="1">
        <v>0.3997</v>
      </c>
      <c r="O1159" s="1">
        <v>145</v>
      </c>
      <c r="P1159" s="24">
        <v>6.4699999999999994E-2</v>
      </c>
      <c r="Q1159" s="31">
        <f>C1159-N1159</f>
        <v>4.0300000000000002E-2</v>
      </c>
      <c r="R1159" s="41">
        <f>D1159-O1159</f>
        <v>0</v>
      </c>
      <c r="S1159" s="41">
        <f>E1159-P1159</f>
        <v>0.26280000000000003</v>
      </c>
    </row>
    <row r="1160" spans="1:19" x14ac:dyDescent="0.15">
      <c r="A1160" s="1">
        <v>6</v>
      </c>
      <c r="B1160" s="1">
        <v>12</v>
      </c>
      <c r="C1160" s="10">
        <v>0.44</v>
      </c>
      <c r="D1160" s="5">
        <v>145</v>
      </c>
      <c r="E1160" s="10">
        <v>0.33750000000000002</v>
      </c>
      <c r="F1160" s="5">
        <v>613</v>
      </c>
      <c r="G1160" s="5">
        <v>54</v>
      </c>
      <c r="I1160" s="40">
        <f t="shared" si="49"/>
        <v>613</v>
      </c>
      <c r="J1160" s="40">
        <f t="shared" si="50"/>
        <v>54</v>
      </c>
      <c r="K1160" s="1">
        <v>10</v>
      </c>
      <c r="L1160" s="1">
        <v>1</v>
      </c>
      <c r="M1160">
        <f t="shared" si="51"/>
        <v>656</v>
      </c>
      <c r="N1160" s="1">
        <v>0.3997</v>
      </c>
      <c r="O1160" s="1">
        <v>145</v>
      </c>
      <c r="P1160" s="24">
        <v>6.9699999999999998E-2</v>
      </c>
      <c r="Q1160" s="31">
        <f>C1160-N1160</f>
        <v>4.0300000000000002E-2</v>
      </c>
      <c r="R1160" s="41">
        <f>D1160-O1160</f>
        <v>0</v>
      </c>
      <c r="S1160" s="41">
        <f>E1160-P1160</f>
        <v>0.26780000000000004</v>
      </c>
    </row>
    <row r="1161" spans="1:19" x14ac:dyDescent="0.15">
      <c r="A1161" s="1">
        <v>6</v>
      </c>
      <c r="B1161" s="1">
        <v>12</v>
      </c>
      <c r="C1161" s="10">
        <v>0.3997</v>
      </c>
      <c r="D1161" s="5">
        <v>145</v>
      </c>
      <c r="E1161" s="10">
        <v>5.9700000000000003E-2</v>
      </c>
      <c r="F1161" s="5">
        <v>7</v>
      </c>
      <c r="G1161" s="5">
        <v>1</v>
      </c>
      <c r="I1161" s="40">
        <f t="shared" si="49"/>
        <v>7</v>
      </c>
      <c r="J1161" s="40">
        <f t="shared" si="50"/>
        <v>1</v>
      </c>
      <c r="K1161" s="1">
        <v>18</v>
      </c>
      <c r="L1161" s="1">
        <v>3</v>
      </c>
      <c r="M1161">
        <f t="shared" si="51"/>
        <v>-13</v>
      </c>
      <c r="N1161" s="1">
        <v>0.3997</v>
      </c>
      <c r="O1161" s="1">
        <v>145</v>
      </c>
      <c r="P1161" s="24">
        <v>7.4700000000000003E-2</v>
      </c>
      <c r="Q1161" s="31">
        <f>C1161-N1161</f>
        <v>0</v>
      </c>
      <c r="R1161" s="41">
        <f>D1161-O1161</f>
        <v>0</v>
      </c>
      <c r="S1161" s="41">
        <f>E1161-P1161</f>
        <v>-1.4999999999999999E-2</v>
      </c>
    </row>
    <row r="1162" spans="1:19" x14ac:dyDescent="0.15">
      <c r="A1162" s="1">
        <v>6</v>
      </c>
      <c r="B1162" s="1">
        <v>12</v>
      </c>
      <c r="C1162" s="10">
        <v>0.3997</v>
      </c>
      <c r="D1162" s="5">
        <v>145</v>
      </c>
      <c r="E1162" s="10">
        <v>6.4700000000000008E-2</v>
      </c>
      <c r="F1162" s="5">
        <v>8</v>
      </c>
      <c r="G1162" s="5">
        <v>1</v>
      </c>
      <c r="I1162" s="40">
        <f t="shared" si="49"/>
        <v>8</v>
      </c>
      <c r="J1162" s="40">
        <f t="shared" si="50"/>
        <v>1</v>
      </c>
      <c r="K1162" s="1">
        <v>22</v>
      </c>
      <c r="L1162" s="1">
        <v>2</v>
      </c>
      <c r="M1162">
        <f t="shared" si="51"/>
        <v>-15</v>
      </c>
      <c r="N1162" s="1">
        <v>0.3997</v>
      </c>
      <c r="O1162" s="1">
        <v>145</v>
      </c>
      <c r="P1162" s="24">
        <v>7.9699999999999993E-2</v>
      </c>
      <c r="Q1162" s="31">
        <f>C1162-N1162</f>
        <v>0</v>
      </c>
      <c r="R1162" s="41">
        <f>D1162-O1162</f>
        <v>0</v>
      </c>
      <c r="S1162" s="41">
        <f>E1162-P1162</f>
        <v>-1.4999999999999986E-2</v>
      </c>
    </row>
    <row r="1163" spans="1:19" x14ac:dyDescent="0.15">
      <c r="A1163" s="1">
        <v>6</v>
      </c>
      <c r="B1163" s="1">
        <v>12</v>
      </c>
      <c r="C1163" s="10">
        <v>0.3997</v>
      </c>
      <c r="D1163" s="5">
        <v>145</v>
      </c>
      <c r="E1163" s="10">
        <v>6.9699999999999998E-2</v>
      </c>
      <c r="F1163" s="5">
        <v>10</v>
      </c>
      <c r="G1163" s="5">
        <v>1</v>
      </c>
      <c r="I1163" s="40">
        <f t="shared" si="49"/>
        <v>10</v>
      </c>
      <c r="J1163" s="40">
        <f t="shared" si="50"/>
        <v>1</v>
      </c>
      <c r="K1163" s="1">
        <v>34</v>
      </c>
      <c r="L1163" s="1">
        <v>3</v>
      </c>
      <c r="M1163">
        <f t="shared" si="51"/>
        <v>-26</v>
      </c>
      <c r="N1163" s="1">
        <v>0.3997</v>
      </c>
      <c r="O1163" s="1">
        <v>145</v>
      </c>
      <c r="P1163" s="24">
        <v>8.4699999999999998E-2</v>
      </c>
      <c r="Q1163" s="31">
        <f>C1163-N1163</f>
        <v>0</v>
      </c>
      <c r="R1163" s="41">
        <f>D1163-O1163</f>
        <v>0</v>
      </c>
      <c r="S1163" s="41">
        <f>E1163-P1163</f>
        <v>-1.4999999999999999E-2</v>
      </c>
    </row>
    <row r="1164" spans="1:19" x14ac:dyDescent="0.15">
      <c r="A1164" s="1">
        <v>6</v>
      </c>
      <c r="B1164" s="1">
        <v>12</v>
      </c>
      <c r="C1164" s="10">
        <v>0.3997</v>
      </c>
      <c r="D1164" s="5">
        <v>145</v>
      </c>
      <c r="E1164" s="10">
        <v>7.4700000000000003E-2</v>
      </c>
      <c r="F1164" s="5">
        <v>18</v>
      </c>
      <c r="G1164" s="5">
        <v>3</v>
      </c>
      <c r="I1164" s="40">
        <f t="shared" si="49"/>
        <v>18</v>
      </c>
      <c r="J1164" s="40">
        <f t="shared" si="50"/>
        <v>3</v>
      </c>
      <c r="K1164" s="1">
        <v>43</v>
      </c>
      <c r="L1164" s="1">
        <v>3</v>
      </c>
      <c r="M1164">
        <f t="shared" si="51"/>
        <v>-25</v>
      </c>
      <c r="N1164" s="1">
        <v>0.3997</v>
      </c>
      <c r="O1164" s="1">
        <v>145</v>
      </c>
      <c r="P1164" s="24">
        <v>8.9700000000000002E-2</v>
      </c>
      <c r="Q1164" s="31">
        <f>C1164-N1164</f>
        <v>0</v>
      </c>
      <c r="R1164" s="41">
        <f>D1164-O1164</f>
        <v>0</v>
      </c>
      <c r="S1164" s="41">
        <f>E1164-P1164</f>
        <v>-1.4999999999999999E-2</v>
      </c>
    </row>
    <row r="1165" spans="1:19" x14ac:dyDescent="0.15">
      <c r="A1165" s="1">
        <v>6</v>
      </c>
      <c r="B1165" s="1">
        <v>12</v>
      </c>
      <c r="C1165" s="10">
        <v>0.3997</v>
      </c>
      <c r="D1165" s="5">
        <v>145</v>
      </c>
      <c r="E1165" s="10">
        <v>7.9700000000000007E-2</v>
      </c>
      <c r="F1165" s="5">
        <v>22</v>
      </c>
      <c r="G1165" s="5">
        <v>2</v>
      </c>
      <c r="I1165" s="40">
        <f t="shared" si="49"/>
        <v>22</v>
      </c>
      <c r="J1165" s="40">
        <f t="shared" si="50"/>
        <v>2</v>
      </c>
      <c r="K1165" s="1">
        <v>60</v>
      </c>
      <c r="L1165" s="1">
        <v>4</v>
      </c>
      <c r="M1165">
        <f t="shared" si="51"/>
        <v>-40</v>
      </c>
      <c r="N1165" s="1">
        <v>0.3997</v>
      </c>
      <c r="O1165" s="1">
        <v>145</v>
      </c>
      <c r="P1165" s="24">
        <v>9.4700000000000006E-2</v>
      </c>
      <c r="Q1165" s="31">
        <f>C1165-N1165</f>
        <v>0</v>
      </c>
      <c r="R1165" s="41">
        <f>D1165-O1165</f>
        <v>0</v>
      </c>
      <c r="S1165" s="41">
        <f>E1165-P1165</f>
        <v>-1.4999999999999999E-2</v>
      </c>
    </row>
    <row r="1166" spans="1:19" x14ac:dyDescent="0.15">
      <c r="A1166" s="1">
        <v>6</v>
      </c>
      <c r="B1166" s="1">
        <v>12</v>
      </c>
      <c r="C1166" s="10">
        <v>0.3997</v>
      </c>
      <c r="D1166" s="5">
        <v>145</v>
      </c>
      <c r="E1166" s="10">
        <v>8.4699999999999998E-2</v>
      </c>
      <c r="F1166" s="5">
        <v>34</v>
      </c>
      <c r="G1166" s="5">
        <v>3</v>
      </c>
      <c r="I1166" s="40">
        <f t="shared" si="49"/>
        <v>34</v>
      </c>
      <c r="J1166" s="40">
        <f t="shared" si="50"/>
        <v>3</v>
      </c>
      <c r="K1166" s="1">
        <v>66</v>
      </c>
      <c r="L1166" s="1">
        <v>4</v>
      </c>
      <c r="M1166">
        <f t="shared" si="51"/>
        <v>-33</v>
      </c>
      <c r="N1166" s="1">
        <v>0.3997</v>
      </c>
      <c r="O1166" s="1">
        <v>145</v>
      </c>
      <c r="P1166" s="24">
        <v>9.9699999999999997E-2</v>
      </c>
      <c r="Q1166" s="31">
        <f>C1166-N1166</f>
        <v>0</v>
      </c>
      <c r="R1166" s="41">
        <f>D1166-O1166</f>
        <v>0</v>
      </c>
      <c r="S1166" s="41">
        <f>E1166-P1166</f>
        <v>-1.4999999999999999E-2</v>
      </c>
    </row>
    <row r="1167" spans="1:19" x14ac:dyDescent="0.15">
      <c r="A1167" s="1">
        <v>6</v>
      </c>
      <c r="B1167" s="1">
        <v>12</v>
      </c>
      <c r="C1167" s="10">
        <v>0.3997</v>
      </c>
      <c r="D1167" s="5">
        <v>145</v>
      </c>
      <c r="E1167" s="10">
        <v>8.9700000000000002E-2</v>
      </c>
      <c r="F1167" s="5">
        <v>43</v>
      </c>
      <c r="G1167" s="5">
        <v>3</v>
      </c>
      <c r="I1167" s="40">
        <f t="shared" si="49"/>
        <v>43</v>
      </c>
      <c r="J1167" s="40">
        <f t="shared" si="50"/>
        <v>3</v>
      </c>
      <c r="K1167" s="1">
        <v>86</v>
      </c>
      <c r="L1167" s="1">
        <v>5</v>
      </c>
      <c r="M1167">
        <f t="shared" si="51"/>
        <v>-45</v>
      </c>
      <c r="N1167" s="1">
        <v>0.3997</v>
      </c>
      <c r="O1167" s="1">
        <v>145</v>
      </c>
      <c r="P1167" s="24">
        <v>0.1047</v>
      </c>
      <c r="Q1167" s="31">
        <f>C1167-N1167</f>
        <v>0</v>
      </c>
      <c r="R1167" s="41">
        <f>D1167-O1167</f>
        <v>0</v>
      </c>
      <c r="S1167" s="41">
        <f>E1167-P1167</f>
        <v>-1.4999999999999999E-2</v>
      </c>
    </row>
    <row r="1168" spans="1:19" x14ac:dyDescent="0.15">
      <c r="A1168" s="1">
        <v>6</v>
      </c>
      <c r="B1168" s="1">
        <v>12</v>
      </c>
      <c r="C1168" s="10">
        <v>0.3997</v>
      </c>
      <c r="D1168" s="5">
        <v>145</v>
      </c>
      <c r="E1168" s="10">
        <v>9.4700000000000006E-2</v>
      </c>
      <c r="F1168" s="5">
        <v>60</v>
      </c>
      <c r="G1168" s="5">
        <v>4</v>
      </c>
      <c r="I1168" s="40">
        <f t="shared" si="49"/>
        <v>60</v>
      </c>
      <c r="J1168" s="40">
        <f t="shared" si="50"/>
        <v>4</v>
      </c>
      <c r="K1168" s="1">
        <v>113</v>
      </c>
      <c r="L1168" s="1">
        <v>5</v>
      </c>
      <c r="M1168">
        <f t="shared" si="51"/>
        <v>-54</v>
      </c>
      <c r="N1168" s="1">
        <v>0.3997</v>
      </c>
      <c r="O1168" s="1">
        <v>145</v>
      </c>
      <c r="P1168" s="24">
        <v>0.10970000000000001</v>
      </c>
      <c r="Q1168" s="31">
        <f>C1168-N1168</f>
        <v>0</v>
      </c>
      <c r="R1168" s="41">
        <f>D1168-O1168</f>
        <v>0</v>
      </c>
      <c r="S1168" s="41">
        <f>E1168-P1168</f>
        <v>-1.4999999999999999E-2</v>
      </c>
    </row>
    <row r="1169" spans="1:19" x14ac:dyDescent="0.15">
      <c r="A1169" s="1">
        <v>6</v>
      </c>
      <c r="B1169" s="1">
        <v>12</v>
      </c>
      <c r="C1169" s="10">
        <v>0.3997</v>
      </c>
      <c r="D1169" s="5">
        <v>145</v>
      </c>
      <c r="E1169" s="10">
        <v>9.9699999999999997E-2</v>
      </c>
      <c r="F1169" s="5">
        <v>66</v>
      </c>
      <c r="G1169" s="5">
        <v>4</v>
      </c>
      <c r="I1169" s="40">
        <f t="shared" si="49"/>
        <v>66</v>
      </c>
      <c r="J1169" s="40">
        <f t="shared" si="50"/>
        <v>4</v>
      </c>
      <c r="K1169" s="1">
        <v>130</v>
      </c>
      <c r="L1169" s="1">
        <v>5</v>
      </c>
      <c r="M1169">
        <f t="shared" si="51"/>
        <v>-65</v>
      </c>
      <c r="N1169" s="1">
        <v>0.3997</v>
      </c>
      <c r="O1169" s="1">
        <v>145</v>
      </c>
      <c r="P1169" s="24">
        <v>0.1147</v>
      </c>
      <c r="Q1169" s="31">
        <f>C1169-N1169</f>
        <v>0</v>
      </c>
      <c r="R1169" s="41">
        <f>D1169-O1169</f>
        <v>0</v>
      </c>
      <c r="S1169" s="41">
        <f>E1169-P1169</f>
        <v>-1.4999999999999999E-2</v>
      </c>
    </row>
    <row r="1170" spans="1:19" x14ac:dyDescent="0.15">
      <c r="A1170" s="1">
        <v>6</v>
      </c>
      <c r="B1170" s="1">
        <v>12</v>
      </c>
      <c r="C1170" s="10">
        <v>0.3997</v>
      </c>
      <c r="D1170" s="5">
        <v>145</v>
      </c>
      <c r="E1170" s="10">
        <v>0.1047</v>
      </c>
      <c r="F1170" s="5">
        <v>86</v>
      </c>
      <c r="G1170" s="5">
        <v>5</v>
      </c>
      <c r="I1170" s="40">
        <f t="shared" si="49"/>
        <v>86</v>
      </c>
      <c r="J1170" s="40">
        <f t="shared" si="50"/>
        <v>5</v>
      </c>
      <c r="K1170" s="1">
        <v>163</v>
      </c>
      <c r="L1170" s="1">
        <v>6</v>
      </c>
      <c r="M1170">
        <f t="shared" si="51"/>
        <v>-78</v>
      </c>
      <c r="N1170" s="1">
        <v>0.3997</v>
      </c>
      <c r="O1170" s="1">
        <v>145</v>
      </c>
      <c r="P1170" s="24">
        <v>0.1197</v>
      </c>
      <c r="Q1170" s="31">
        <f>C1170-N1170</f>
        <v>0</v>
      </c>
      <c r="R1170" s="41">
        <f>D1170-O1170</f>
        <v>0</v>
      </c>
      <c r="S1170" s="41">
        <f>E1170-P1170</f>
        <v>-1.4999999999999999E-2</v>
      </c>
    </row>
    <row r="1171" spans="1:19" x14ac:dyDescent="0.15">
      <c r="A1171" s="1">
        <v>6</v>
      </c>
      <c r="B1171" s="1">
        <v>12</v>
      </c>
      <c r="C1171" s="10">
        <v>0.3997</v>
      </c>
      <c r="D1171" s="5">
        <v>145</v>
      </c>
      <c r="E1171" s="10">
        <v>0.10970000000000001</v>
      </c>
      <c r="F1171" s="5">
        <v>113</v>
      </c>
      <c r="G1171" s="5">
        <v>5</v>
      </c>
      <c r="I1171" s="40">
        <f t="shared" si="49"/>
        <v>113</v>
      </c>
      <c r="J1171" s="40">
        <f t="shared" si="50"/>
        <v>5</v>
      </c>
      <c r="K1171" s="1">
        <v>186</v>
      </c>
      <c r="L1171" s="1">
        <v>9</v>
      </c>
      <c r="M1171">
        <f t="shared" si="51"/>
        <v>-77</v>
      </c>
      <c r="N1171" s="1">
        <v>0.3997</v>
      </c>
      <c r="O1171" s="1">
        <v>145</v>
      </c>
      <c r="P1171" s="24">
        <v>0.12470000000000001</v>
      </c>
      <c r="Q1171" s="31">
        <f>C1171-N1171</f>
        <v>0</v>
      </c>
      <c r="R1171" s="41">
        <f>D1171-O1171</f>
        <v>0</v>
      </c>
      <c r="S1171" s="41">
        <f>E1171-P1171</f>
        <v>-1.4999999999999999E-2</v>
      </c>
    </row>
    <row r="1172" spans="1:19" x14ac:dyDescent="0.15">
      <c r="A1172" s="1">
        <v>6</v>
      </c>
      <c r="B1172" s="1">
        <v>12</v>
      </c>
      <c r="C1172" s="10">
        <v>0.3997</v>
      </c>
      <c r="D1172" s="5">
        <v>145</v>
      </c>
      <c r="E1172" s="10">
        <v>0.1147</v>
      </c>
      <c r="F1172" s="5">
        <v>130</v>
      </c>
      <c r="G1172" s="5">
        <v>5</v>
      </c>
      <c r="I1172" s="40">
        <f t="shared" si="49"/>
        <v>130</v>
      </c>
      <c r="J1172" s="40">
        <f t="shared" si="50"/>
        <v>5</v>
      </c>
      <c r="K1172" s="1">
        <v>216</v>
      </c>
      <c r="L1172" s="1">
        <v>10</v>
      </c>
      <c r="M1172">
        <f t="shared" si="51"/>
        <v>-91</v>
      </c>
      <c r="N1172" s="1">
        <v>0.3997</v>
      </c>
      <c r="O1172" s="1">
        <v>145</v>
      </c>
      <c r="P1172" s="24">
        <v>0.12970000000000001</v>
      </c>
      <c r="Q1172" s="31">
        <f>C1172-N1172</f>
        <v>0</v>
      </c>
      <c r="R1172" s="41">
        <f>D1172-O1172</f>
        <v>0</v>
      </c>
      <c r="S1172" s="41">
        <f>E1172-P1172</f>
        <v>-1.5000000000000013E-2</v>
      </c>
    </row>
    <row r="1173" spans="1:19" x14ac:dyDescent="0.15">
      <c r="A1173" s="1">
        <v>6</v>
      </c>
      <c r="B1173" s="1">
        <v>12</v>
      </c>
      <c r="C1173" s="10">
        <v>0.3997</v>
      </c>
      <c r="D1173" s="5">
        <v>145</v>
      </c>
      <c r="E1173" s="10">
        <v>0.1197</v>
      </c>
      <c r="F1173" s="5">
        <v>163</v>
      </c>
      <c r="G1173" s="5">
        <v>6</v>
      </c>
      <c r="I1173" s="40">
        <f t="shared" si="49"/>
        <v>163</v>
      </c>
      <c r="J1173" s="40">
        <f t="shared" si="50"/>
        <v>6</v>
      </c>
      <c r="K1173" s="1">
        <v>247</v>
      </c>
      <c r="L1173" s="1">
        <v>11</v>
      </c>
      <c r="M1173">
        <f t="shared" si="51"/>
        <v>-89</v>
      </c>
      <c r="N1173" s="1">
        <v>0.3997</v>
      </c>
      <c r="O1173" s="1">
        <v>145</v>
      </c>
      <c r="P1173" s="24">
        <v>0.13469999999999999</v>
      </c>
      <c r="Q1173" s="31">
        <f>C1173-N1173</f>
        <v>0</v>
      </c>
      <c r="R1173" s="41">
        <f>D1173-O1173</f>
        <v>0</v>
      </c>
      <c r="S1173" s="41">
        <f>E1173-P1173</f>
        <v>-1.4999999999999986E-2</v>
      </c>
    </row>
    <row r="1174" spans="1:19" x14ac:dyDescent="0.15">
      <c r="A1174" s="1">
        <v>6</v>
      </c>
      <c r="B1174" s="1">
        <v>12</v>
      </c>
      <c r="C1174" s="10">
        <v>0.3997</v>
      </c>
      <c r="D1174" s="5">
        <v>145</v>
      </c>
      <c r="E1174" s="10">
        <v>0.12470000000000001</v>
      </c>
      <c r="F1174" s="5">
        <v>186</v>
      </c>
      <c r="G1174" s="5">
        <v>9</v>
      </c>
      <c r="I1174" s="40">
        <f t="shared" si="49"/>
        <v>186</v>
      </c>
      <c r="J1174" s="40">
        <f t="shared" si="50"/>
        <v>9</v>
      </c>
      <c r="K1174" s="1">
        <v>300</v>
      </c>
      <c r="L1174" s="1">
        <v>12</v>
      </c>
      <c r="M1174">
        <f t="shared" si="51"/>
        <v>-117</v>
      </c>
      <c r="N1174" s="1">
        <v>0.3997</v>
      </c>
      <c r="O1174" s="1">
        <v>145</v>
      </c>
      <c r="P1174" s="24">
        <v>0.13969999999999999</v>
      </c>
      <c r="Q1174" s="31">
        <f>C1174-N1174</f>
        <v>0</v>
      </c>
      <c r="R1174" s="41">
        <f>D1174-O1174</f>
        <v>0</v>
      </c>
      <c r="S1174" s="41">
        <f>E1174-P1174</f>
        <v>-1.4999999999999986E-2</v>
      </c>
    </row>
    <row r="1175" spans="1:19" x14ac:dyDescent="0.15">
      <c r="A1175" s="1">
        <v>6</v>
      </c>
      <c r="B1175" s="1">
        <v>12</v>
      </c>
      <c r="C1175" s="10">
        <v>0.3997</v>
      </c>
      <c r="D1175" s="5">
        <v>145</v>
      </c>
      <c r="E1175" s="10">
        <v>0.12969999999999998</v>
      </c>
      <c r="F1175" s="5">
        <v>216</v>
      </c>
      <c r="G1175" s="5">
        <v>10</v>
      </c>
      <c r="I1175" s="40">
        <f t="shared" si="49"/>
        <v>216</v>
      </c>
      <c r="J1175" s="40">
        <f t="shared" si="50"/>
        <v>10</v>
      </c>
      <c r="K1175" s="1">
        <v>354</v>
      </c>
      <c r="L1175" s="1">
        <v>13</v>
      </c>
      <c r="M1175">
        <f t="shared" si="51"/>
        <v>-141</v>
      </c>
      <c r="N1175" s="1">
        <v>0.3997</v>
      </c>
      <c r="O1175" s="1">
        <v>145</v>
      </c>
      <c r="P1175" s="24">
        <v>0.1447</v>
      </c>
      <c r="Q1175" s="31">
        <f>C1175-N1175</f>
        <v>0</v>
      </c>
      <c r="R1175" s="41">
        <f>D1175-O1175</f>
        <v>0</v>
      </c>
      <c r="S1175" s="41">
        <f>E1175-P1175</f>
        <v>-1.5000000000000013E-2</v>
      </c>
    </row>
    <row r="1176" spans="1:19" x14ac:dyDescent="0.15">
      <c r="A1176" s="1">
        <v>6</v>
      </c>
      <c r="B1176" s="1">
        <v>12</v>
      </c>
      <c r="C1176" s="10">
        <v>0.3997</v>
      </c>
      <c r="D1176" s="5">
        <v>145</v>
      </c>
      <c r="E1176" s="10">
        <v>0.13469999999999999</v>
      </c>
      <c r="F1176" s="5">
        <v>247</v>
      </c>
      <c r="G1176" s="5">
        <v>11</v>
      </c>
      <c r="I1176" s="40">
        <f t="shared" si="49"/>
        <v>247</v>
      </c>
      <c r="J1176" s="40">
        <f t="shared" si="50"/>
        <v>11</v>
      </c>
      <c r="K1176" s="1">
        <v>405</v>
      </c>
      <c r="L1176" s="1">
        <v>15</v>
      </c>
      <c r="M1176">
        <f t="shared" si="51"/>
        <v>-162</v>
      </c>
      <c r="N1176" s="1">
        <v>0.3997</v>
      </c>
      <c r="O1176" s="1">
        <v>145</v>
      </c>
      <c r="P1176" s="24">
        <v>0.1497</v>
      </c>
      <c r="Q1176" s="31">
        <f>C1176-N1176</f>
        <v>0</v>
      </c>
      <c r="R1176" s="41">
        <f>D1176-O1176</f>
        <v>0</v>
      </c>
      <c r="S1176" s="41">
        <f>E1176-P1176</f>
        <v>-1.5000000000000013E-2</v>
      </c>
    </row>
    <row r="1177" spans="1:19" x14ac:dyDescent="0.15">
      <c r="A1177" s="1">
        <v>6</v>
      </c>
      <c r="B1177" s="1">
        <v>12</v>
      </c>
      <c r="C1177" s="10">
        <v>0.3997</v>
      </c>
      <c r="D1177" s="5">
        <v>145</v>
      </c>
      <c r="E1177" s="10">
        <v>0.13969999999999999</v>
      </c>
      <c r="F1177" s="5">
        <v>300</v>
      </c>
      <c r="G1177" s="5">
        <v>12</v>
      </c>
      <c r="I1177" s="40">
        <f t="shared" si="49"/>
        <v>300</v>
      </c>
      <c r="J1177" s="40">
        <f t="shared" si="50"/>
        <v>12</v>
      </c>
      <c r="K1177" s="1">
        <v>426</v>
      </c>
      <c r="L1177" s="1">
        <v>15</v>
      </c>
      <c r="M1177">
        <f t="shared" si="51"/>
        <v>-129</v>
      </c>
      <c r="N1177" s="1">
        <v>0.3997</v>
      </c>
      <c r="O1177" s="1">
        <v>145</v>
      </c>
      <c r="P1177" s="24">
        <v>0.1547</v>
      </c>
      <c r="Q1177" s="31">
        <f>C1177-N1177</f>
        <v>0</v>
      </c>
      <c r="R1177" s="41">
        <f>D1177-O1177</f>
        <v>0</v>
      </c>
      <c r="S1177" s="41">
        <f>E1177-P1177</f>
        <v>-1.5000000000000013E-2</v>
      </c>
    </row>
    <row r="1178" spans="1:19" x14ac:dyDescent="0.15">
      <c r="A1178" s="1">
        <v>6</v>
      </c>
      <c r="B1178" s="1">
        <v>12</v>
      </c>
      <c r="C1178" s="10">
        <v>0.3997</v>
      </c>
      <c r="D1178" s="5">
        <v>145</v>
      </c>
      <c r="E1178" s="10">
        <v>0.1447</v>
      </c>
      <c r="F1178" s="5">
        <v>354</v>
      </c>
      <c r="G1178" s="5">
        <v>13</v>
      </c>
      <c r="I1178" s="40">
        <f t="shared" si="49"/>
        <v>354</v>
      </c>
      <c r="J1178" s="40">
        <f t="shared" si="50"/>
        <v>13</v>
      </c>
      <c r="K1178" s="1">
        <v>480</v>
      </c>
      <c r="L1178" s="1">
        <v>17</v>
      </c>
      <c r="M1178">
        <f t="shared" si="51"/>
        <v>-130</v>
      </c>
      <c r="N1178" s="1">
        <v>0.3997</v>
      </c>
      <c r="O1178" s="1">
        <v>145</v>
      </c>
      <c r="P1178" s="24">
        <v>0.15970000000000001</v>
      </c>
      <c r="Q1178" s="31">
        <f>C1178-N1178</f>
        <v>0</v>
      </c>
      <c r="R1178" s="41">
        <f>D1178-O1178</f>
        <v>0</v>
      </c>
      <c r="S1178" s="41">
        <f>E1178-P1178</f>
        <v>-1.5000000000000013E-2</v>
      </c>
    </row>
    <row r="1179" spans="1:19" x14ac:dyDescent="0.15">
      <c r="A1179" s="1">
        <v>6</v>
      </c>
      <c r="B1179" s="1">
        <v>12</v>
      </c>
      <c r="C1179" s="10">
        <v>0.3997</v>
      </c>
      <c r="D1179" s="5">
        <v>145</v>
      </c>
      <c r="E1179" s="10">
        <v>0.1497</v>
      </c>
      <c r="F1179" s="5">
        <v>405</v>
      </c>
      <c r="G1179" s="5">
        <v>15</v>
      </c>
      <c r="I1179" s="40">
        <f t="shared" si="49"/>
        <v>405</v>
      </c>
      <c r="J1179" s="40">
        <f t="shared" si="50"/>
        <v>15</v>
      </c>
      <c r="K1179" s="1">
        <v>509</v>
      </c>
      <c r="L1179" s="1">
        <v>18</v>
      </c>
      <c r="M1179">
        <f t="shared" si="51"/>
        <v>-107</v>
      </c>
      <c r="N1179" s="1">
        <v>0.3997</v>
      </c>
      <c r="O1179" s="1">
        <v>145</v>
      </c>
      <c r="P1179" s="24">
        <v>0.16470000000000001</v>
      </c>
      <c r="Q1179" s="31">
        <f>C1179-N1179</f>
        <v>0</v>
      </c>
      <c r="R1179" s="41">
        <f>D1179-O1179</f>
        <v>0</v>
      </c>
      <c r="S1179" s="41">
        <f>E1179-P1179</f>
        <v>-1.5000000000000013E-2</v>
      </c>
    </row>
    <row r="1180" spans="1:19" x14ac:dyDescent="0.15">
      <c r="A1180" s="1">
        <v>6</v>
      </c>
      <c r="B1180" s="1">
        <v>12</v>
      </c>
      <c r="C1180" s="10">
        <v>0.3997</v>
      </c>
      <c r="D1180" s="5">
        <v>145</v>
      </c>
      <c r="E1180" s="10">
        <v>0.15469999999999998</v>
      </c>
      <c r="F1180" s="5">
        <v>426</v>
      </c>
      <c r="G1180" s="5">
        <v>15</v>
      </c>
      <c r="I1180" s="40">
        <f t="shared" si="49"/>
        <v>426</v>
      </c>
      <c r="J1180" s="40">
        <f t="shared" si="50"/>
        <v>15</v>
      </c>
      <c r="K1180" s="1">
        <v>563</v>
      </c>
      <c r="L1180" s="1">
        <v>19</v>
      </c>
      <c r="M1180">
        <f t="shared" si="51"/>
        <v>-141</v>
      </c>
      <c r="N1180" s="1">
        <v>0.3997</v>
      </c>
      <c r="O1180" s="1">
        <v>145</v>
      </c>
      <c r="P1180" s="24">
        <v>0.16969999999999999</v>
      </c>
      <c r="Q1180" s="31">
        <f>C1180-N1180</f>
        <v>0</v>
      </c>
      <c r="R1180" s="41">
        <f>D1180-O1180</f>
        <v>0</v>
      </c>
      <c r="S1180" s="41">
        <f>E1180-P1180</f>
        <v>-1.5000000000000013E-2</v>
      </c>
    </row>
    <row r="1181" spans="1:19" x14ac:dyDescent="0.15">
      <c r="A1181" s="1">
        <v>6</v>
      </c>
      <c r="B1181" s="1">
        <v>12</v>
      </c>
      <c r="C1181" s="10">
        <v>0.3997</v>
      </c>
      <c r="D1181" s="5">
        <v>145</v>
      </c>
      <c r="E1181" s="10">
        <v>0.15969999999999998</v>
      </c>
      <c r="F1181" s="5">
        <v>480</v>
      </c>
      <c r="G1181" s="5">
        <v>17</v>
      </c>
      <c r="I1181" s="40">
        <f t="shared" si="49"/>
        <v>480</v>
      </c>
      <c r="J1181" s="40">
        <f t="shared" si="50"/>
        <v>17</v>
      </c>
      <c r="K1181" s="1">
        <v>625</v>
      </c>
      <c r="L1181" s="1">
        <v>26</v>
      </c>
      <c r="M1181">
        <f t="shared" si="51"/>
        <v>-154</v>
      </c>
      <c r="N1181" s="1">
        <v>0.3997</v>
      </c>
      <c r="O1181" s="1">
        <v>145</v>
      </c>
      <c r="P1181" s="24">
        <v>0.17469999999999999</v>
      </c>
      <c r="Q1181" s="31">
        <f>C1181-N1181</f>
        <v>0</v>
      </c>
      <c r="R1181" s="41">
        <f>D1181-O1181</f>
        <v>0</v>
      </c>
      <c r="S1181" s="41">
        <f>E1181-P1181</f>
        <v>-1.5000000000000013E-2</v>
      </c>
    </row>
    <row r="1182" spans="1:19" x14ac:dyDescent="0.15">
      <c r="A1182" s="1">
        <v>6</v>
      </c>
      <c r="B1182" s="1">
        <v>12</v>
      </c>
      <c r="C1182" s="10">
        <v>0.3997</v>
      </c>
      <c r="D1182" s="5">
        <v>145</v>
      </c>
      <c r="E1182" s="10">
        <v>0.16469999999999999</v>
      </c>
      <c r="F1182" s="5">
        <v>509</v>
      </c>
      <c r="G1182" s="5">
        <v>18</v>
      </c>
      <c r="I1182" s="40">
        <f t="shared" si="49"/>
        <v>509</v>
      </c>
      <c r="J1182" s="40">
        <f t="shared" si="50"/>
        <v>18</v>
      </c>
      <c r="K1182" s="1">
        <v>700</v>
      </c>
      <c r="L1182" s="1">
        <v>34</v>
      </c>
      <c r="M1182">
        <f t="shared" si="51"/>
        <v>-207</v>
      </c>
      <c r="N1182" s="1">
        <v>0.3997</v>
      </c>
      <c r="O1182" s="1">
        <v>145</v>
      </c>
      <c r="P1182" s="24">
        <v>0.1797</v>
      </c>
      <c r="Q1182" s="31">
        <f>C1182-N1182</f>
        <v>0</v>
      </c>
      <c r="R1182" s="41">
        <f>D1182-O1182</f>
        <v>0</v>
      </c>
      <c r="S1182" s="41">
        <f>E1182-P1182</f>
        <v>-1.5000000000000013E-2</v>
      </c>
    </row>
    <row r="1183" spans="1:19" x14ac:dyDescent="0.15">
      <c r="A1183" s="1">
        <v>6</v>
      </c>
      <c r="B1183" s="1">
        <v>12</v>
      </c>
      <c r="C1183" s="10">
        <v>0.3997</v>
      </c>
      <c r="D1183" s="5">
        <v>145</v>
      </c>
      <c r="E1183" s="10">
        <v>0.16969999999999999</v>
      </c>
      <c r="F1183" s="5">
        <v>563</v>
      </c>
      <c r="G1183" s="5">
        <v>19</v>
      </c>
      <c r="I1183" s="40">
        <f t="shared" si="49"/>
        <v>563</v>
      </c>
      <c r="J1183" s="40">
        <f t="shared" si="50"/>
        <v>19</v>
      </c>
      <c r="K1183" s="1">
        <v>728</v>
      </c>
      <c r="L1183" s="1">
        <v>34</v>
      </c>
      <c r="M1183">
        <f t="shared" si="51"/>
        <v>-180</v>
      </c>
      <c r="N1183" s="1">
        <v>0.3997</v>
      </c>
      <c r="O1183" s="1">
        <v>145</v>
      </c>
      <c r="P1183" s="24">
        <v>0.1847</v>
      </c>
      <c r="Q1183" s="31">
        <f>C1183-N1183</f>
        <v>0</v>
      </c>
      <c r="R1183" s="41">
        <f>D1183-O1183</f>
        <v>0</v>
      </c>
      <c r="S1183" s="41">
        <f>E1183-P1183</f>
        <v>-1.5000000000000013E-2</v>
      </c>
    </row>
    <row r="1184" spans="1:19" x14ac:dyDescent="0.15">
      <c r="A1184" s="1">
        <v>6</v>
      </c>
      <c r="B1184" s="1">
        <v>12</v>
      </c>
      <c r="C1184" s="10">
        <v>0.3997</v>
      </c>
      <c r="D1184" s="5">
        <v>145</v>
      </c>
      <c r="E1184" s="10">
        <v>0.17469999999999999</v>
      </c>
      <c r="F1184" s="5">
        <v>625</v>
      </c>
      <c r="G1184" s="5">
        <v>26</v>
      </c>
      <c r="I1184" s="40">
        <f t="shared" si="49"/>
        <v>625</v>
      </c>
      <c r="J1184" s="40">
        <f t="shared" si="50"/>
        <v>26</v>
      </c>
      <c r="K1184" s="1">
        <v>717</v>
      </c>
      <c r="L1184" s="1">
        <v>41</v>
      </c>
      <c r="M1184">
        <f t="shared" si="51"/>
        <v>-107</v>
      </c>
      <c r="N1184" s="1">
        <v>0.3997</v>
      </c>
      <c r="O1184" s="1">
        <v>145</v>
      </c>
      <c r="P1184" s="24">
        <v>0.18970000000000001</v>
      </c>
      <c r="Q1184" s="31">
        <f>C1184-N1184</f>
        <v>0</v>
      </c>
      <c r="R1184" s="41">
        <f>D1184-O1184</f>
        <v>0</v>
      </c>
      <c r="S1184" s="41">
        <f>E1184-P1184</f>
        <v>-1.5000000000000013E-2</v>
      </c>
    </row>
    <row r="1185" spans="1:19" x14ac:dyDescent="0.15">
      <c r="A1185" s="1">
        <v>6</v>
      </c>
      <c r="B1185" s="1">
        <v>12</v>
      </c>
      <c r="C1185" s="10">
        <v>0.3997</v>
      </c>
      <c r="D1185" s="5">
        <v>145</v>
      </c>
      <c r="E1185" s="10">
        <v>0.1797</v>
      </c>
      <c r="F1185" s="5">
        <v>700</v>
      </c>
      <c r="G1185" s="5">
        <v>34</v>
      </c>
      <c r="I1185" s="40">
        <f t="shared" si="49"/>
        <v>700</v>
      </c>
      <c r="J1185" s="40">
        <f t="shared" si="50"/>
        <v>34</v>
      </c>
      <c r="K1185" s="1">
        <v>710</v>
      </c>
      <c r="L1185" s="1">
        <v>34</v>
      </c>
      <c r="M1185">
        <f t="shared" si="51"/>
        <v>-10</v>
      </c>
      <c r="N1185" s="1">
        <v>0.3997</v>
      </c>
      <c r="O1185" s="1">
        <v>145</v>
      </c>
      <c r="P1185" s="24">
        <v>0.19470000000000001</v>
      </c>
      <c r="Q1185" s="31">
        <f>C1185-N1185</f>
        <v>0</v>
      </c>
      <c r="R1185" s="41">
        <f>D1185-O1185</f>
        <v>0</v>
      </c>
      <c r="S1185" s="41">
        <f>E1185-P1185</f>
        <v>-1.5000000000000013E-2</v>
      </c>
    </row>
    <row r="1186" spans="1:19" x14ac:dyDescent="0.15">
      <c r="A1186" s="1">
        <v>6</v>
      </c>
      <c r="B1186" s="1">
        <v>12</v>
      </c>
      <c r="C1186" s="10">
        <v>0.3997</v>
      </c>
      <c r="D1186" s="5">
        <v>145</v>
      </c>
      <c r="E1186" s="10">
        <v>0.18469999999999998</v>
      </c>
      <c r="F1186" s="5">
        <v>728</v>
      </c>
      <c r="G1186" s="5">
        <v>34</v>
      </c>
      <c r="I1186" s="40">
        <f t="shared" si="49"/>
        <v>728</v>
      </c>
      <c r="J1186" s="40">
        <f t="shared" si="50"/>
        <v>34</v>
      </c>
      <c r="K1186" s="1">
        <v>745</v>
      </c>
      <c r="L1186" s="1">
        <v>35</v>
      </c>
      <c r="M1186">
        <f t="shared" si="51"/>
        <v>-18</v>
      </c>
      <c r="N1186" s="1">
        <v>0.3997</v>
      </c>
      <c r="O1186" s="1">
        <v>145</v>
      </c>
      <c r="P1186" s="24">
        <v>0.19969999999999999</v>
      </c>
      <c r="Q1186" s="31">
        <f>C1186-N1186</f>
        <v>0</v>
      </c>
      <c r="R1186" s="41">
        <f>D1186-O1186</f>
        <v>0</v>
      </c>
      <c r="S1186" s="41">
        <f>E1186-P1186</f>
        <v>-1.5000000000000013E-2</v>
      </c>
    </row>
    <row r="1187" spans="1:19" x14ac:dyDescent="0.15">
      <c r="A1187" s="1">
        <v>6</v>
      </c>
      <c r="B1187" s="1">
        <v>12</v>
      </c>
      <c r="C1187" s="10">
        <v>0.3997</v>
      </c>
      <c r="D1187" s="5">
        <v>145</v>
      </c>
      <c r="E1187" s="10">
        <v>0.18969999999999998</v>
      </c>
      <c r="F1187" s="5">
        <v>717</v>
      </c>
      <c r="G1187" s="5">
        <v>41</v>
      </c>
      <c r="I1187" s="40">
        <f t="shared" si="49"/>
        <v>717</v>
      </c>
      <c r="J1187" s="40">
        <f t="shared" si="50"/>
        <v>41</v>
      </c>
      <c r="K1187" s="1">
        <v>795</v>
      </c>
      <c r="L1187" s="1">
        <v>37</v>
      </c>
      <c r="M1187">
        <f t="shared" si="51"/>
        <v>-74</v>
      </c>
      <c r="N1187" s="1">
        <v>0.3997</v>
      </c>
      <c r="O1187" s="1">
        <v>145</v>
      </c>
      <c r="P1187" s="24">
        <v>0.20469999999999999</v>
      </c>
      <c r="Q1187" s="31">
        <f>C1187-N1187</f>
        <v>0</v>
      </c>
      <c r="R1187" s="41">
        <f>D1187-O1187</f>
        <v>0</v>
      </c>
      <c r="S1187" s="41">
        <f>E1187-P1187</f>
        <v>-1.5000000000000013E-2</v>
      </c>
    </row>
    <row r="1188" spans="1:19" x14ac:dyDescent="0.15">
      <c r="A1188" s="1">
        <v>6</v>
      </c>
      <c r="B1188" s="1">
        <v>12</v>
      </c>
      <c r="C1188" s="10">
        <v>0.3997</v>
      </c>
      <c r="D1188" s="5">
        <v>145</v>
      </c>
      <c r="E1188" s="10">
        <v>0.19469999999999998</v>
      </c>
      <c r="F1188" s="5">
        <v>710</v>
      </c>
      <c r="G1188" s="5">
        <v>34</v>
      </c>
      <c r="I1188" s="40">
        <f t="shared" si="49"/>
        <v>710</v>
      </c>
      <c r="J1188" s="40">
        <f t="shared" si="50"/>
        <v>34</v>
      </c>
      <c r="K1188" s="1">
        <v>751</v>
      </c>
      <c r="L1188" s="1">
        <v>37</v>
      </c>
      <c r="M1188">
        <f t="shared" si="51"/>
        <v>-44</v>
      </c>
      <c r="N1188" s="1">
        <v>0.3997</v>
      </c>
      <c r="O1188" s="1">
        <v>145</v>
      </c>
      <c r="P1188" s="24">
        <v>0.2097</v>
      </c>
      <c r="Q1188" s="31">
        <f>C1188-N1188</f>
        <v>0</v>
      </c>
      <c r="R1188" s="41">
        <f>D1188-O1188</f>
        <v>0</v>
      </c>
      <c r="S1188" s="41">
        <f>E1188-P1188</f>
        <v>-1.5000000000000013E-2</v>
      </c>
    </row>
    <row r="1189" spans="1:19" x14ac:dyDescent="0.15">
      <c r="A1189" s="1">
        <v>6</v>
      </c>
      <c r="B1189" s="1">
        <v>12</v>
      </c>
      <c r="C1189" s="10">
        <v>0.3997</v>
      </c>
      <c r="D1189" s="5">
        <v>145</v>
      </c>
      <c r="E1189" s="10">
        <v>0.19969999999999999</v>
      </c>
      <c r="F1189" s="5">
        <v>745</v>
      </c>
      <c r="G1189" s="5">
        <v>35</v>
      </c>
      <c r="I1189" s="40">
        <f t="shared" si="49"/>
        <v>745</v>
      </c>
      <c r="J1189" s="40">
        <f t="shared" si="50"/>
        <v>35</v>
      </c>
      <c r="K1189" s="1">
        <v>706</v>
      </c>
      <c r="L1189" s="1">
        <v>30</v>
      </c>
      <c r="M1189">
        <f t="shared" si="51"/>
        <v>44</v>
      </c>
      <c r="N1189" s="1">
        <v>0.3997</v>
      </c>
      <c r="O1189" s="1">
        <v>145</v>
      </c>
      <c r="P1189" s="24">
        <v>0.2147</v>
      </c>
      <c r="Q1189" s="31">
        <f>C1189-N1189</f>
        <v>0</v>
      </c>
      <c r="R1189" s="41">
        <f>D1189-O1189</f>
        <v>0</v>
      </c>
      <c r="S1189" s="41">
        <f>E1189-P1189</f>
        <v>-1.5000000000000013E-2</v>
      </c>
    </row>
    <row r="1190" spans="1:19" x14ac:dyDescent="0.15">
      <c r="A1190" s="1">
        <v>6</v>
      </c>
      <c r="B1190" s="1">
        <v>12</v>
      </c>
      <c r="C1190" s="10">
        <v>0.3997</v>
      </c>
      <c r="D1190" s="5">
        <v>145</v>
      </c>
      <c r="E1190" s="10">
        <v>0.20469999999999999</v>
      </c>
      <c r="F1190" s="5">
        <v>795</v>
      </c>
      <c r="G1190" s="5">
        <v>37</v>
      </c>
      <c r="I1190" s="40">
        <f t="shared" si="49"/>
        <v>795</v>
      </c>
      <c r="J1190" s="40">
        <f t="shared" si="50"/>
        <v>37</v>
      </c>
      <c r="K1190" s="1">
        <v>690</v>
      </c>
      <c r="L1190" s="1">
        <v>33</v>
      </c>
      <c r="M1190">
        <f t="shared" si="51"/>
        <v>109</v>
      </c>
      <c r="N1190" s="1">
        <v>0.3997</v>
      </c>
      <c r="O1190" s="1">
        <v>145</v>
      </c>
      <c r="P1190" s="24">
        <v>0.21970000000000001</v>
      </c>
      <c r="Q1190" s="31">
        <f>C1190-N1190</f>
        <v>0</v>
      </c>
      <c r="R1190" s="41">
        <f>D1190-O1190</f>
        <v>0</v>
      </c>
      <c r="S1190" s="41">
        <f>E1190-P1190</f>
        <v>-1.5000000000000013E-2</v>
      </c>
    </row>
    <row r="1191" spans="1:19" x14ac:dyDescent="0.15">
      <c r="A1191" s="1">
        <v>6</v>
      </c>
      <c r="B1191" s="1">
        <v>12</v>
      </c>
      <c r="C1191" s="10">
        <v>0.3997</v>
      </c>
      <c r="D1191" s="5">
        <v>145</v>
      </c>
      <c r="E1191" s="10">
        <v>0.2097</v>
      </c>
      <c r="F1191" s="5">
        <v>751</v>
      </c>
      <c r="G1191" s="5">
        <v>37</v>
      </c>
      <c r="I1191" s="40">
        <f t="shared" si="49"/>
        <v>751</v>
      </c>
      <c r="J1191" s="40">
        <f t="shared" si="50"/>
        <v>37</v>
      </c>
      <c r="K1191" s="1">
        <v>647</v>
      </c>
      <c r="L1191" s="1">
        <v>33</v>
      </c>
      <c r="M1191">
        <f t="shared" si="51"/>
        <v>108</v>
      </c>
      <c r="N1191" s="1">
        <v>0.3997</v>
      </c>
      <c r="O1191" s="1">
        <v>145</v>
      </c>
      <c r="P1191" s="24">
        <v>0.22470000000000001</v>
      </c>
      <c r="Q1191" s="31">
        <f>C1191-N1191</f>
        <v>0</v>
      </c>
      <c r="R1191" s="41">
        <f>D1191-O1191</f>
        <v>0</v>
      </c>
      <c r="S1191" s="41">
        <f>E1191-P1191</f>
        <v>-1.5000000000000013E-2</v>
      </c>
    </row>
    <row r="1192" spans="1:19" x14ac:dyDescent="0.15">
      <c r="A1192" s="1">
        <v>6</v>
      </c>
      <c r="B1192" s="1">
        <v>12</v>
      </c>
      <c r="C1192" s="10">
        <v>0.3997</v>
      </c>
      <c r="D1192" s="5">
        <v>145</v>
      </c>
      <c r="E1192" s="10">
        <v>0.2147</v>
      </c>
      <c r="F1192" s="5">
        <v>706</v>
      </c>
      <c r="G1192" s="5">
        <v>30</v>
      </c>
      <c r="I1192" s="40">
        <f t="shared" si="49"/>
        <v>706</v>
      </c>
      <c r="J1192" s="40">
        <f t="shared" si="50"/>
        <v>30</v>
      </c>
      <c r="K1192" s="1">
        <v>625</v>
      </c>
      <c r="L1192" s="1">
        <v>35</v>
      </c>
      <c r="M1192">
        <f t="shared" si="51"/>
        <v>76</v>
      </c>
      <c r="N1192" s="1">
        <v>0.3997</v>
      </c>
      <c r="O1192" s="1">
        <v>145</v>
      </c>
      <c r="P1192" s="24">
        <v>0.22969999999999999</v>
      </c>
      <c r="Q1192" s="31">
        <f>C1192-N1192</f>
        <v>0</v>
      </c>
      <c r="R1192" s="41">
        <f>D1192-O1192</f>
        <v>0</v>
      </c>
      <c r="S1192" s="41">
        <f>E1192-P1192</f>
        <v>-1.4999999999999986E-2</v>
      </c>
    </row>
    <row r="1193" spans="1:19" x14ac:dyDescent="0.15">
      <c r="A1193" s="1">
        <v>6</v>
      </c>
      <c r="B1193" s="1">
        <v>12</v>
      </c>
      <c r="C1193" s="10">
        <v>0.3997</v>
      </c>
      <c r="D1193" s="5">
        <v>145</v>
      </c>
      <c r="E1193" s="10">
        <v>0.21969999999999998</v>
      </c>
      <c r="F1193" s="5">
        <v>690</v>
      </c>
      <c r="G1193" s="5">
        <v>33</v>
      </c>
      <c r="I1193" s="40">
        <f t="shared" si="49"/>
        <v>690</v>
      </c>
      <c r="J1193" s="40">
        <f t="shared" si="50"/>
        <v>33</v>
      </c>
      <c r="K1193" s="1">
        <v>580</v>
      </c>
      <c r="L1193" s="1">
        <v>32</v>
      </c>
      <c r="M1193">
        <f t="shared" si="51"/>
        <v>111</v>
      </c>
      <c r="N1193" s="1">
        <v>0.3997</v>
      </c>
      <c r="O1193" s="1">
        <v>145</v>
      </c>
      <c r="P1193" s="24">
        <v>0.23469999999999999</v>
      </c>
      <c r="Q1193" s="31">
        <f>C1193-N1193</f>
        <v>0</v>
      </c>
      <c r="R1193" s="41">
        <f>D1193-O1193</f>
        <v>0</v>
      </c>
      <c r="S1193" s="41">
        <f>E1193-P1193</f>
        <v>-1.5000000000000013E-2</v>
      </c>
    </row>
    <row r="1194" spans="1:19" x14ac:dyDescent="0.15">
      <c r="A1194" s="1">
        <v>6</v>
      </c>
      <c r="B1194" s="1">
        <v>12</v>
      </c>
      <c r="C1194" s="10">
        <v>0.3997</v>
      </c>
      <c r="D1194" s="5">
        <v>145</v>
      </c>
      <c r="E1194" s="10">
        <v>0.22469999999999998</v>
      </c>
      <c r="F1194" s="5">
        <v>647</v>
      </c>
      <c r="G1194" s="5">
        <v>33</v>
      </c>
      <c r="I1194" s="40">
        <f t="shared" si="49"/>
        <v>647</v>
      </c>
      <c r="J1194" s="40">
        <f t="shared" si="50"/>
        <v>33</v>
      </c>
      <c r="K1194" s="1">
        <v>610</v>
      </c>
      <c r="L1194" s="1">
        <v>33</v>
      </c>
      <c r="M1194">
        <f t="shared" si="51"/>
        <v>37</v>
      </c>
      <c r="N1194" s="1">
        <v>0.3997</v>
      </c>
      <c r="O1194" s="1">
        <v>145</v>
      </c>
      <c r="P1194" s="24">
        <v>0.2397</v>
      </c>
      <c r="Q1194" s="31">
        <f>C1194-N1194</f>
        <v>0</v>
      </c>
      <c r="R1194" s="41">
        <f>D1194-O1194</f>
        <v>0</v>
      </c>
      <c r="S1194" s="41">
        <f>E1194-P1194</f>
        <v>-1.5000000000000013E-2</v>
      </c>
    </row>
    <row r="1195" spans="1:19" x14ac:dyDescent="0.15">
      <c r="A1195" s="1">
        <v>6</v>
      </c>
      <c r="B1195" s="1">
        <v>12</v>
      </c>
      <c r="C1195" s="10">
        <v>0.3997</v>
      </c>
      <c r="D1195" s="5">
        <v>145</v>
      </c>
      <c r="E1195" s="10">
        <v>0.22969999999999999</v>
      </c>
      <c r="F1195" s="5">
        <v>625</v>
      </c>
      <c r="G1195" s="5">
        <v>35</v>
      </c>
      <c r="I1195" s="40">
        <f t="shared" si="49"/>
        <v>625</v>
      </c>
      <c r="J1195" s="40">
        <f t="shared" si="50"/>
        <v>35</v>
      </c>
      <c r="K1195" s="1">
        <v>528</v>
      </c>
      <c r="L1195" s="1">
        <v>31</v>
      </c>
      <c r="M1195">
        <f t="shared" si="51"/>
        <v>101</v>
      </c>
      <c r="N1195" s="1">
        <v>0.3997</v>
      </c>
      <c r="O1195" s="1">
        <v>145</v>
      </c>
      <c r="P1195" s="24">
        <v>0.2447</v>
      </c>
      <c r="Q1195" s="31">
        <f>C1195-N1195</f>
        <v>0</v>
      </c>
      <c r="R1195" s="41">
        <f>D1195-O1195</f>
        <v>0</v>
      </c>
      <c r="S1195" s="41">
        <f>E1195-P1195</f>
        <v>-1.5000000000000013E-2</v>
      </c>
    </row>
    <row r="1196" spans="1:19" x14ac:dyDescent="0.15">
      <c r="A1196" s="1">
        <v>6</v>
      </c>
      <c r="B1196" s="1">
        <v>12</v>
      </c>
      <c r="C1196" s="10">
        <v>0.3997</v>
      </c>
      <c r="D1196" s="5">
        <v>145</v>
      </c>
      <c r="E1196" s="10">
        <v>0.23469999999999999</v>
      </c>
      <c r="F1196" s="5">
        <v>580</v>
      </c>
      <c r="G1196" s="5">
        <v>32</v>
      </c>
      <c r="I1196" s="40">
        <f t="shared" si="49"/>
        <v>580</v>
      </c>
      <c r="J1196" s="40">
        <f t="shared" si="50"/>
        <v>32</v>
      </c>
      <c r="K1196" s="1">
        <v>543</v>
      </c>
      <c r="L1196" s="1">
        <v>30</v>
      </c>
      <c r="M1196">
        <f t="shared" si="51"/>
        <v>39</v>
      </c>
      <c r="N1196" s="1">
        <v>0.3997</v>
      </c>
      <c r="O1196" s="1">
        <v>145</v>
      </c>
      <c r="P1196" s="24">
        <v>0.24970000000000001</v>
      </c>
      <c r="Q1196" s="31">
        <f>C1196-N1196</f>
        <v>0</v>
      </c>
      <c r="R1196" s="41">
        <f>D1196-O1196</f>
        <v>0</v>
      </c>
      <c r="S1196" s="41">
        <f>E1196-P1196</f>
        <v>-1.5000000000000013E-2</v>
      </c>
    </row>
    <row r="1197" spans="1:19" x14ac:dyDescent="0.15">
      <c r="A1197" s="1">
        <v>6</v>
      </c>
      <c r="B1197" s="1">
        <v>12</v>
      </c>
      <c r="C1197" s="10">
        <v>0.3997</v>
      </c>
      <c r="D1197" s="5">
        <v>145</v>
      </c>
      <c r="E1197" s="10">
        <v>0.2397</v>
      </c>
      <c r="F1197" s="5">
        <v>610</v>
      </c>
      <c r="G1197" s="5">
        <v>33</v>
      </c>
      <c r="I1197" s="40">
        <f t="shared" si="49"/>
        <v>610</v>
      </c>
      <c r="J1197" s="40">
        <f t="shared" si="50"/>
        <v>33</v>
      </c>
      <c r="K1197" s="1">
        <v>503</v>
      </c>
      <c r="L1197" s="1">
        <v>30</v>
      </c>
      <c r="M1197">
        <f t="shared" si="51"/>
        <v>110</v>
      </c>
      <c r="N1197" s="1">
        <v>0.3997</v>
      </c>
      <c r="O1197" s="1">
        <v>145</v>
      </c>
      <c r="P1197" s="24">
        <v>0.25469999999999998</v>
      </c>
      <c r="Q1197" s="31">
        <f>C1197-N1197</f>
        <v>0</v>
      </c>
      <c r="R1197" s="41">
        <f>D1197-O1197</f>
        <v>0</v>
      </c>
      <c r="S1197" s="41">
        <f>E1197-P1197</f>
        <v>-1.4999999999999986E-2</v>
      </c>
    </row>
    <row r="1198" spans="1:19" x14ac:dyDescent="0.15">
      <c r="A1198" s="1">
        <v>6</v>
      </c>
      <c r="B1198" s="1">
        <v>12</v>
      </c>
      <c r="C1198" s="10">
        <v>0.3997</v>
      </c>
      <c r="D1198" s="5">
        <v>145</v>
      </c>
      <c r="E1198" s="10">
        <v>0.2447</v>
      </c>
      <c r="F1198" s="5">
        <v>528</v>
      </c>
      <c r="G1198" s="5">
        <v>31</v>
      </c>
      <c r="I1198" s="40">
        <f t="shared" si="49"/>
        <v>528</v>
      </c>
      <c r="J1198" s="40">
        <f t="shared" si="50"/>
        <v>31</v>
      </c>
      <c r="K1198" s="1">
        <v>481</v>
      </c>
      <c r="L1198" s="1">
        <v>30</v>
      </c>
      <c r="M1198">
        <f t="shared" si="51"/>
        <v>48</v>
      </c>
      <c r="N1198" s="1">
        <v>0.3997</v>
      </c>
      <c r="O1198" s="1">
        <v>145</v>
      </c>
      <c r="P1198" s="24">
        <v>0.25969999999999999</v>
      </c>
      <c r="Q1198" s="31">
        <f>C1198-N1198</f>
        <v>0</v>
      </c>
      <c r="R1198" s="41">
        <f>D1198-O1198</f>
        <v>0</v>
      </c>
      <c r="S1198" s="41">
        <f>E1198-P1198</f>
        <v>-1.4999999999999986E-2</v>
      </c>
    </row>
    <row r="1199" spans="1:19" x14ac:dyDescent="0.15">
      <c r="A1199" s="1">
        <v>6</v>
      </c>
      <c r="B1199" s="1">
        <v>12</v>
      </c>
      <c r="C1199" s="10">
        <v>0.3997</v>
      </c>
      <c r="D1199" s="5">
        <v>145</v>
      </c>
      <c r="E1199" s="10">
        <v>0.24969999999999998</v>
      </c>
      <c r="F1199" s="5">
        <v>543</v>
      </c>
      <c r="G1199" s="5">
        <v>30</v>
      </c>
      <c r="I1199" s="40">
        <f t="shared" si="49"/>
        <v>543</v>
      </c>
      <c r="J1199" s="40">
        <f t="shared" si="50"/>
        <v>30</v>
      </c>
      <c r="K1199" s="1">
        <v>522</v>
      </c>
      <c r="L1199" s="1">
        <v>31</v>
      </c>
      <c r="M1199">
        <f t="shared" si="51"/>
        <v>20</v>
      </c>
      <c r="N1199" s="1">
        <v>0.3997</v>
      </c>
      <c r="O1199" s="1">
        <v>145</v>
      </c>
      <c r="P1199" s="24">
        <v>0.26469999999999999</v>
      </c>
      <c r="Q1199" s="31">
        <f>C1199-N1199</f>
        <v>0</v>
      </c>
      <c r="R1199" s="41">
        <f>D1199-O1199</f>
        <v>0</v>
      </c>
      <c r="S1199" s="41">
        <f>E1199-P1199</f>
        <v>-1.5000000000000013E-2</v>
      </c>
    </row>
    <row r="1200" spans="1:19" x14ac:dyDescent="0.15">
      <c r="A1200" s="1">
        <v>6</v>
      </c>
      <c r="B1200" s="1">
        <v>12</v>
      </c>
      <c r="C1200" s="10">
        <v>0.3997</v>
      </c>
      <c r="D1200" s="5">
        <v>145</v>
      </c>
      <c r="E1200" s="10">
        <v>0.25469999999999998</v>
      </c>
      <c r="F1200" s="5">
        <v>503</v>
      </c>
      <c r="G1200" s="5">
        <v>30</v>
      </c>
      <c r="I1200" s="40">
        <f t="shared" si="49"/>
        <v>503</v>
      </c>
      <c r="J1200" s="40">
        <f t="shared" si="50"/>
        <v>30</v>
      </c>
      <c r="K1200" s="1">
        <v>506</v>
      </c>
      <c r="L1200" s="1">
        <v>30</v>
      </c>
      <c r="M1200">
        <f t="shared" si="51"/>
        <v>-3</v>
      </c>
      <c r="N1200" s="1">
        <v>0.3997</v>
      </c>
      <c r="O1200" s="1">
        <v>145</v>
      </c>
      <c r="P1200" s="24">
        <v>0.2697</v>
      </c>
      <c r="Q1200" s="31">
        <f>C1200-N1200</f>
        <v>0</v>
      </c>
      <c r="R1200" s="41">
        <f>D1200-O1200</f>
        <v>0</v>
      </c>
      <c r="S1200" s="41">
        <f>E1200-P1200</f>
        <v>-1.5000000000000013E-2</v>
      </c>
    </row>
    <row r="1201" spans="1:19" x14ac:dyDescent="0.15">
      <c r="A1201" s="1">
        <v>6</v>
      </c>
      <c r="B1201" s="1">
        <v>12</v>
      </c>
      <c r="C1201" s="10">
        <v>0.3997</v>
      </c>
      <c r="D1201" s="5">
        <v>145</v>
      </c>
      <c r="E1201" s="10">
        <v>0.25969999999999999</v>
      </c>
      <c r="F1201" s="5">
        <v>481</v>
      </c>
      <c r="G1201" s="5">
        <v>30</v>
      </c>
      <c r="I1201" s="40">
        <f t="shared" si="49"/>
        <v>481</v>
      </c>
      <c r="J1201" s="40">
        <f t="shared" si="50"/>
        <v>30</v>
      </c>
      <c r="K1201" s="1">
        <v>518</v>
      </c>
      <c r="L1201" s="1">
        <v>31</v>
      </c>
      <c r="M1201">
        <f t="shared" si="51"/>
        <v>-38</v>
      </c>
      <c r="N1201" s="1">
        <v>0.3997</v>
      </c>
      <c r="O1201" s="1">
        <v>145</v>
      </c>
      <c r="P1201" s="24">
        <v>0.2747</v>
      </c>
      <c r="Q1201" s="31">
        <f>C1201-N1201</f>
        <v>0</v>
      </c>
      <c r="R1201" s="41">
        <f>D1201-O1201</f>
        <v>0</v>
      </c>
      <c r="S1201" s="41">
        <f>E1201-P1201</f>
        <v>-1.5000000000000013E-2</v>
      </c>
    </row>
    <row r="1202" spans="1:19" x14ac:dyDescent="0.15">
      <c r="A1202" s="1">
        <v>6</v>
      </c>
      <c r="B1202" s="1">
        <v>12</v>
      </c>
      <c r="C1202" s="10">
        <v>0.3997</v>
      </c>
      <c r="D1202" s="5">
        <v>145</v>
      </c>
      <c r="E1202" s="10">
        <v>0.26469999999999999</v>
      </c>
      <c r="F1202" s="5">
        <v>522</v>
      </c>
      <c r="G1202" s="5">
        <v>31</v>
      </c>
      <c r="I1202" s="40">
        <f t="shared" si="49"/>
        <v>522</v>
      </c>
      <c r="J1202" s="40">
        <f t="shared" si="50"/>
        <v>31</v>
      </c>
      <c r="K1202" s="1">
        <v>546</v>
      </c>
      <c r="L1202" s="1">
        <v>31</v>
      </c>
      <c r="M1202">
        <f t="shared" si="51"/>
        <v>-24</v>
      </c>
      <c r="N1202" s="1">
        <v>0.3997</v>
      </c>
      <c r="O1202" s="1">
        <v>145</v>
      </c>
      <c r="P1202" s="24">
        <v>0.2797</v>
      </c>
      <c r="Q1202" s="31">
        <f>C1202-N1202</f>
        <v>0</v>
      </c>
      <c r="R1202" s="41">
        <f>D1202-O1202</f>
        <v>0</v>
      </c>
      <c r="S1202" s="41">
        <f>E1202-P1202</f>
        <v>-1.5000000000000013E-2</v>
      </c>
    </row>
    <row r="1203" spans="1:19" x14ac:dyDescent="0.15">
      <c r="A1203" s="1">
        <v>6</v>
      </c>
      <c r="B1203" s="1">
        <v>12</v>
      </c>
      <c r="C1203" s="10">
        <v>0.3997</v>
      </c>
      <c r="D1203" s="5">
        <v>145</v>
      </c>
      <c r="E1203" s="10">
        <v>0.2697</v>
      </c>
      <c r="F1203" s="5">
        <v>506</v>
      </c>
      <c r="G1203" s="5">
        <v>30</v>
      </c>
      <c r="I1203" s="40">
        <f t="shared" si="49"/>
        <v>506</v>
      </c>
      <c r="J1203" s="40">
        <f t="shared" si="50"/>
        <v>30</v>
      </c>
      <c r="K1203" s="1">
        <v>558</v>
      </c>
      <c r="L1203" s="1">
        <v>36</v>
      </c>
      <c r="M1203">
        <f t="shared" si="51"/>
        <v>-58</v>
      </c>
      <c r="N1203" s="1">
        <v>0.3997</v>
      </c>
      <c r="O1203" s="1">
        <v>145</v>
      </c>
      <c r="P1203" s="24">
        <v>0.28470000000000001</v>
      </c>
      <c r="Q1203" s="31">
        <f>C1203-N1203</f>
        <v>0</v>
      </c>
      <c r="R1203" s="41">
        <f>D1203-O1203</f>
        <v>0</v>
      </c>
      <c r="S1203" s="41">
        <f>E1203-P1203</f>
        <v>-1.5000000000000013E-2</v>
      </c>
    </row>
    <row r="1204" spans="1:19" x14ac:dyDescent="0.15">
      <c r="A1204" s="1">
        <v>6</v>
      </c>
      <c r="B1204" s="1">
        <v>12</v>
      </c>
      <c r="C1204" s="10">
        <v>0.3997</v>
      </c>
      <c r="D1204" s="5">
        <v>145</v>
      </c>
      <c r="E1204" s="10">
        <v>0.2747</v>
      </c>
      <c r="F1204" s="5">
        <v>518</v>
      </c>
      <c r="G1204" s="5">
        <v>31</v>
      </c>
      <c r="I1204" s="40">
        <f t="shared" si="49"/>
        <v>518</v>
      </c>
      <c r="J1204" s="40">
        <f t="shared" si="50"/>
        <v>31</v>
      </c>
      <c r="K1204" s="1">
        <v>626</v>
      </c>
      <c r="L1204" s="1">
        <v>41</v>
      </c>
      <c r="M1204">
        <f t="shared" si="51"/>
        <v>-118</v>
      </c>
      <c r="N1204" s="1">
        <v>0.3997</v>
      </c>
      <c r="O1204" s="1">
        <v>145</v>
      </c>
      <c r="P1204" s="24">
        <v>0.28970000000000001</v>
      </c>
      <c r="Q1204" s="31">
        <f>C1204-N1204</f>
        <v>0</v>
      </c>
      <c r="R1204" s="41">
        <f>D1204-O1204</f>
        <v>0</v>
      </c>
      <c r="S1204" s="41">
        <f>E1204-P1204</f>
        <v>-1.5000000000000013E-2</v>
      </c>
    </row>
    <row r="1205" spans="1:19" x14ac:dyDescent="0.15">
      <c r="A1205" s="1">
        <v>6</v>
      </c>
      <c r="B1205" s="1">
        <v>12</v>
      </c>
      <c r="C1205" s="10">
        <v>0.3997</v>
      </c>
      <c r="D1205" s="5">
        <v>145</v>
      </c>
      <c r="E1205" s="10">
        <v>0.2797</v>
      </c>
      <c r="F1205" s="5">
        <v>546</v>
      </c>
      <c r="G1205" s="5">
        <v>31</v>
      </c>
      <c r="I1205" s="40">
        <f t="shared" si="49"/>
        <v>546</v>
      </c>
      <c r="J1205" s="40">
        <f t="shared" si="50"/>
        <v>31</v>
      </c>
      <c r="K1205" s="1">
        <v>644</v>
      </c>
      <c r="L1205" s="1">
        <v>42</v>
      </c>
      <c r="M1205">
        <f t="shared" si="51"/>
        <v>-109</v>
      </c>
      <c r="N1205" s="1">
        <v>0.3997</v>
      </c>
      <c r="O1205" s="1">
        <v>145</v>
      </c>
      <c r="P1205" s="24">
        <v>0.29470000000000002</v>
      </c>
      <c r="Q1205" s="31">
        <f>C1205-N1205</f>
        <v>0</v>
      </c>
      <c r="R1205" s="41">
        <f>D1205-O1205</f>
        <v>0</v>
      </c>
      <c r="S1205" s="41">
        <f>E1205-P1205</f>
        <v>-1.5000000000000013E-2</v>
      </c>
    </row>
    <row r="1206" spans="1:19" ht="14" thickBot="1" x14ac:dyDescent="0.2">
      <c r="A1206" s="1">
        <v>6</v>
      </c>
      <c r="B1206" s="1">
        <v>12</v>
      </c>
      <c r="C1206" s="10">
        <v>0.3997</v>
      </c>
      <c r="D1206" s="5">
        <v>145</v>
      </c>
      <c r="E1206" s="10">
        <v>0.28470000000000001</v>
      </c>
      <c r="F1206" s="5">
        <v>558</v>
      </c>
      <c r="G1206" s="5">
        <v>36</v>
      </c>
      <c r="I1206" s="40">
        <f t="shared" si="49"/>
        <v>558</v>
      </c>
      <c r="J1206" s="40">
        <f t="shared" si="50"/>
        <v>36</v>
      </c>
      <c r="K1206" s="1">
        <v>685</v>
      </c>
      <c r="L1206" s="1">
        <v>45</v>
      </c>
      <c r="M1206">
        <f t="shared" si="51"/>
        <v>-136</v>
      </c>
      <c r="N1206" s="1">
        <v>0.3997</v>
      </c>
      <c r="O1206" s="1">
        <v>145</v>
      </c>
      <c r="P1206" s="44">
        <v>0.29970000000000002</v>
      </c>
      <c r="Q1206" s="31">
        <f>C1206-N1206</f>
        <v>0</v>
      </c>
      <c r="R1206" s="41">
        <f>D1206-O1206</f>
        <v>0</v>
      </c>
      <c r="S1206" s="41">
        <f>E1206-P1206</f>
        <v>-1.5000000000000013E-2</v>
      </c>
    </row>
    <row r="1207" spans="1:19" ht="14" thickTop="1" x14ac:dyDescent="0.15">
      <c r="A1207" s="1">
        <v>6</v>
      </c>
      <c r="B1207" s="1">
        <v>12</v>
      </c>
      <c r="C1207" s="10">
        <v>0.3997</v>
      </c>
      <c r="D1207" s="5">
        <v>145</v>
      </c>
      <c r="E1207" s="10">
        <v>0.28970000000000001</v>
      </c>
      <c r="F1207" s="5">
        <v>626</v>
      </c>
      <c r="G1207" s="5">
        <v>41</v>
      </c>
      <c r="I1207" s="40">
        <f t="shared" si="49"/>
        <v>626</v>
      </c>
      <c r="J1207" s="40">
        <f t="shared" si="50"/>
        <v>41</v>
      </c>
      <c r="K1207" s="1">
        <v>10</v>
      </c>
      <c r="L1207" s="1">
        <v>6</v>
      </c>
      <c r="M1207">
        <f t="shared" si="51"/>
        <v>651</v>
      </c>
      <c r="N1207" s="1">
        <v>0.36009999999999998</v>
      </c>
      <c r="O1207" s="1">
        <v>145</v>
      </c>
      <c r="P1207" s="24">
        <v>4.5100000000000001E-2</v>
      </c>
      <c r="Q1207" s="31">
        <f>C1207-N1207</f>
        <v>3.9600000000000024E-2</v>
      </c>
      <c r="R1207" s="41">
        <f>D1207-O1207</f>
        <v>0</v>
      </c>
      <c r="S1207" s="41">
        <f>E1207-P1207</f>
        <v>0.24460000000000001</v>
      </c>
    </row>
    <row r="1208" spans="1:19" x14ac:dyDescent="0.15">
      <c r="A1208" s="1">
        <v>6</v>
      </c>
      <c r="B1208" s="1">
        <v>12</v>
      </c>
      <c r="C1208" s="10">
        <v>0.3997</v>
      </c>
      <c r="D1208" s="5">
        <v>145</v>
      </c>
      <c r="E1208" s="10">
        <v>0.29469999999999996</v>
      </c>
      <c r="F1208" s="5">
        <v>644</v>
      </c>
      <c r="G1208" s="5">
        <v>42</v>
      </c>
      <c r="I1208" s="40">
        <f t="shared" si="49"/>
        <v>644</v>
      </c>
      <c r="J1208" s="40">
        <f t="shared" si="50"/>
        <v>42</v>
      </c>
      <c r="K1208" s="1">
        <v>15</v>
      </c>
      <c r="L1208" s="1">
        <v>6</v>
      </c>
      <c r="M1208">
        <f t="shared" si="51"/>
        <v>665</v>
      </c>
      <c r="N1208" s="1">
        <v>0.36009999999999998</v>
      </c>
      <c r="O1208" s="1">
        <v>145</v>
      </c>
      <c r="P1208" s="24">
        <v>5.0099999999999999E-2</v>
      </c>
      <c r="Q1208" s="31">
        <f>C1208-N1208</f>
        <v>3.9600000000000024E-2</v>
      </c>
      <c r="R1208" s="41">
        <f>D1208-O1208</f>
        <v>0</v>
      </c>
      <c r="S1208" s="41">
        <f>E1208-P1208</f>
        <v>0.24459999999999996</v>
      </c>
    </row>
    <row r="1209" spans="1:19" x14ac:dyDescent="0.15">
      <c r="A1209" s="1">
        <v>6</v>
      </c>
      <c r="B1209" s="1">
        <v>12</v>
      </c>
      <c r="C1209" s="10">
        <v>0.3997</v>
      </c>
      <c r="D1209" s="5">
        <v>145</v>
      </c>
      <c r="E1209" s="10">
        <v>0.29969999999999997</v>
      </c>
      <c r="F1209" s="5">
        <v>685</v>
      </c>
      <c r="G1209" s="5">
        <v>45</v>
      </c>
      <c r="I1209" s="40">
        <f t="shared" ref="I1209:I1272" si="52">F1209</f>
        <v>685</v>
      </c>
      <c r="J1209" s="40">
        <f t="shared" ref="J1209:J1272" si="53">G1209</f>
        <v>45</v>
      </c>
      <c r="K1209" s="1">
        <v>39</v>
      </c>
      <c r="L1209" s="1">
        <v>8</v>
      </c>
      <c r="M1209">
        <f t="shared" si="51"/>
        <v>683</v>
      </c>
      <c r="N1209" s="1">
        <v>0.36009999999999998</v>
      </c>
      <c r="O1209" s="1">
        <v>145</v>
      </c>
      <c r="P1209" s="24">
        <v>5.5100000000000003E-2</v>
      </c>
      <c r="Q1209" s="31">
        <f>C1209-N1209</f>
        <v>3.9600000000000024E-2</v>
      </c>
      <c r="R1209" s="41">
        <f>D1209-O1209</f>
        <v>0</v>
      </c>
      <c r="S1209" s="41">
        <f>E1209-P1209</f>
        <v>0.24459999999999996</v>
      </c>
    </row>
    <row r="1210" spans="1:19" x14ac:dyDescent="0.15">
      <c r="A1210" s="1">
        <v>6</v>
      </c>
      <c r="B1210" s="1">
        <v>12</v>
      </c>
      <c r="C1210" s="10">
        <v>0.36069999999999997</v>
      </c>
      <c r="D1210" s="5">
        <v>145</v>
      </c>
      <c r="E1210" s="10">
        <v>4.5100000000000001E-2</v>
      </c>
      <c r="F1210" s="5">
        <v>10</v>
      </c>
      <c r="G1210" s="5">
        <v>6</v>
      </c>
      <c r="I1210" s="40">
        <f t="shared" si="52"/>
        <v>10</v>
      </c>
      <c r="J1210" s="40">
        <f t="shared" si="53"/>
        <v>6</v>
      </c>
      <c r="K1210" s="1">
        <v>25</v>
      </c>
      <c r="L1210" s="1">
        <v>7</v>
      </c>
      <c r="M1210">
        <f t="shared" si="51"/>
        <v>-16</v>
      </c>
      <c r="N1210" s="1">
        <v>0.36009999999999998</v>
      </c>
      <c r="O1210" s="1">
        <v>145</v>
      </c>
      <c r="P1210" s="24">
        <v>6.0100000000000001E-2</v>
      </c>
      <c r="Q1210" s="31">
        <f>C1210-N1210</f>
        <v>5.9999999999998943E-4</v>
      </c>
      <c r="R1210" s="41">
        <f>D1210-O1210</f>
        <v>0</v>
      </c>
      <c r="S1210" s="41">
        <f>E1210-P1210</f>
        <v>-1.4999999999999999E-2</v>
      </c>
    </row>
    <row r="1211" spans="1:19" x14ac:dyDescent="0.15">
      <c r="A1211" s="1">
        <v>6</v>
      </c>
      <c r="B1211" s="1">
        <v>12</v>
      </c>
      <c r="C1211" s="10">
        <v>0.36069999999999997</v>
      </c>
      <c r="D1211" s="5">
        <v>145</v>
      </c>
      <c r="E1211" s="10">
        <v>5.0099999999999999E-2</v>
      </c>
      <c r="F1211" s="5">
        <v>15</v>
      </c>
      <c r="G1211" s="5">
        <v>60</v>
      </c>
      <c r="I1211" s="40">
        <f t="shared" si="52"/>
        <v>15</v>
      </c>
      <c r="J1211" s="40">
        <f t="shared" si="53"/>
        <v>60</v>
      </c>
      <c r="K1211" s="1">
        <v>48</v>
      </c>
      <c r="L1211" s="1">
        <v>9</v>
      </c>
      <c r="M1211">
        <f t="shared" si="51"/>
        <v>18</v>
      </c>
      <c r="N1211" s="1">
        <v>0.36009999999999998</v>
      </c>
      <c r="O1211" s="1">
        <v>145</v>
      </c>
      <c r="P1211" s="24">
        <v>6.5100000000000005E-2</v>
      </c>
      <c r="Q1211" s="31">
        <f>C1211-N1211</f>
        <v>5.9999999999998943E-4</v>
      </c>
      <c r="R1211" s="41">
        <f>D1211-O1211</f>
        <v>0</v>
      </c>
      <c r="S1211" s="41">
        <f>E1211-P1211</f>
        <v>-1.5000000000000006E-2</v>
      </c>
    </row>
    <row r="1212" spans="1:19" x14ac:dyDescent="0.15">
      <c r="A1212" s="1">
        <v>6</v>
      </c>
      <c r="B1212" s="1">
        <v>12</v>
      </c>
      <c r="C1212" s="10">
        <v>0.36069999999999997</v>
      </c>
      <c r="D1212" s="5">
        <v>145</v>
      </c>
      <c r="E1212" s="10">
        <v>5.5100000000000003E-2</v>
      </c>
      <c r="F1212" s="5">
        <v>39</v>
      </c>
      <c r="G1212" s="5">
        <v>8</v>
      </c>
      <c r="I1212" s="40">
        <f t="shared" si="52"/>
        <v>39</v>
      </c>
      <c r="J1212" s="40">
        <f t="shared" si="53"/>
        <v>8</v>
      </c>
      <c r="K1212" s="1">
        <v>69</v>
      </c>
      <c r="L1212" s="1">
        <v>8</v>
      </c>
      <c r="M1212">
        <f t="shared" si="51"/>
        <v>-30</v>
      </c>
      <c r="N1212" s="1">
        <v>0.36009999999999998</v>
      </c>
      <c r="O1212" s="1">
        <v>145</v>
      </c>
      <c r="P1212" s="24">
        <v>7.0099999999999996E-2</v>
      </c>
      <c r="Q1212" s="31">
        <f>C1212-N1212</f>
        <v>5.9999999999998943E-4</v>
      </c>
      <c r="R1212" s="41">
        <f>D1212-O1212</f>
        <v>0</v>
      </c>
      <c r="S1212" s="41">
        <f>E1212-P1212</f>
        <v>-1.4999999999999993E-2</v>
      </c>
    </row>
    <row r="1213" spans="1:19" x14ac:dyDescent="0.15">
      <c r="A1213" s="1">
        <v>6</v>
      </c>
      <c r="B1213" s="1">
        <v>12</v>
      </c>
      <c r="C1213" s="10">
        <v>0.36069999999999997</v>
      </c>
      <c r="D1213" s="5">
        <v>145</v>
      </c>
      <c r="E1213" s="10">
        <v>6.0100000000000001E-2</v>
      </c>
      <c r="F1213" s="5">
        <v>25</v>
      </c>
      <c r="G1213" s="5">
        <v>7</v>
      </c>
      <c r="I1213" s="40">
        <f t="shared" si="52"/>
        <v>25</v>
      </c>
      <c r="J1213" s="40">
        <f t="shared" si="53"/>
        <v>7</v>
      </c>
      <c r="K1213" s="1">
        <v>95</v>
      </c>
      <c r="L1213" s="1">
        <v>6</v>
      </c>
      <c r="M1213">
        <f t="shared" si="51"/>
        <v>-69</v>
      </c>
      <c r="N1213" s="1">
        <v>0.36009999999999998</v>
      </c>
      <c r="O1213" s="1">
        <v>145</v>
      </c>
      <c r="P1213" s="24">
        <v>7.51E-2</v>
      </c>
      <c r="Q1213" s="31">
        <f>C1213-N1213</f>
        <v>5.9999999999998943E-4</v>
      </c>
      <c r="R1213" s="41">
        <f>D1213-O1213</f>
        <v>0</v>
      </c>
      <c r="S1213" s="41">
        <f>E1213-P1213</f>
        <v>-1.4999999999999999E-2</v>
      </c>
    </row>
    <row r="1214" spans="1:19" x14ac:dyDescent="0.15">
      <c r="A1214" s="1">
        <v>6</v>
      </c>
      <c r="B1214" s="1">
        <v>12</v>
      </c>
      <c r="C1214" s="10">
        <v>0.36069999999999997</v>
      </c>
      <c r="D1214" s="5">
        <v>145</v>
      </c>
      <c r="E1214" s="10">
        <v>6.5099999999999991E-2</v>
      </c>
      <c r="F1214" s="5">
        <v>48</v>
      </c>
      <c r="G1214" s="5">
        <v>9</v>
      </c>
      <c r="I1214" s="40">
        <f t="shared" si="52"/>
        <v>48</v>
      </c>
      <c r="J1214" s="40">
        <f t="shared" si="53"/>
        <v>9</v>
      </c>
      <c r="K1214" s="1">
        <v>120</v>
      </c>
      <c r="L1214" s="1">
        <v>7</v>
      </c>
      <c r="M1214">
        <f t="shared" si="51"/>
        <v>-70</v>
      </c>
      <c r="N1214" s="1">
        <v>0.36009999999999998</v>
      </c>
      <c r="O1214" s="1">
        <v>145</v>
      </c>
      <c r="P1214" s="24">
        <v>8.0100000000000005E-2</v>
      </c>
      <c r="Q1214" s="31">
        <f>C1214-N1214</f>
        <v>5.9999999999998943E-4</v>
      </c>
      <c r="R1214" s="41">
        <f>D1214-O1214</f>
        <v>0</v>
      </c>
      <c r="S1214" s="41">
        <f>E1214-P1214</f>
        <v>-1.5000000000000013E-2</v>
      </c>
    </row>
    <row r="1215" spans="1:19" x14ac:dyDescent="0.15">
      <c r="A1215" s="1">
        <v>6</v>
      </c>
      <c r="B1215" s="1">
        <v>12</v>
      </c>
      <c r="C1215" s="10">
        <v>0.36069999999999997</v>
      </c>
      <c r="D1215" s="5">
        <v>145</v>
      </c>
      <c r="E1215" s="10">
        <v>7.0099999999999996E-2</v>
      </c>
      <c r="F1215" s="5">
        <v>69</v>
      </c>
      <c r="G1215" s="5">
        <v>8</v>
      </c>
      <c r="I1215" s="40">
        <f t="shared" si="52"/>
        <v>69</v>
      </c>
      <c r="J1215" s="40">
        <f t="shared" si="53"/>
        <v>8</v>
      </c>
      <c r="K1215" s="1">
        <v>140</v>
      </c>
      <c r="L1215" s="1">
        <v>9</v>
      </c>
      <c r="M1215">
        <f t="shared" si="51"/>
        <v>-72</v>
      </c>
      <c r="N1215" s="1">
        <v>0.36009999999999998</v>
      </c>
      <c r="O1215" s="1">
        <v>145</v>
      </c>
      <c r="P1215" s="24">
        <v>8.5099999999999995E-2</v>
      </c>
      <c r="Q1215" s="31">
        <f>C1215-N1215</f>
        <v>5.9999999999998943E-4</v>
      </c>
      <c r="R1215" s="41">
        <f>D1215-O1215</f>
        <v>0</v>
      </c>
      <c r="S1215" s="41">
        <f>E1215-P1215</f>
        <v>-1.4999999999999999E-2</v>
      </c>
    </row>
    <row r="1216" spans="1:19" x14ac:dyDescent="0.15">
      <c r="A1216" s="1">
        <v>6</v>
      </c>
      <c r="B1216" s="1">
        <v>12</v>
      </c>
      <c r="C1216" s="10">
        <v>0.36069999999999997</v>
      </c>
      <c r="D1216" s="5">
        <v>145</v>
      </c>
      <c r="E1216" s="10">
        <v>7.51E-2</v>
      </c>
      <c r="F1216" s="5">
        <v>95</v>
      </c>
      <c r="G1216" s="5">
        <v>6</v>
      </c>
      <c r="I1216" s="40">
        <f t="shared" si="52"/>
        <v>95</v>
      </c>
      <c r="J1216" s="40">
        <f t="shared" si="53"/>
        <v>6</v>
      </c>
      <c r="K1216" s="1">
        <v>195</v>
      </c>
      <c r="L1216" s="1">
        <v>10</v>
      </c>
      <c r="M1216">
        <f t="shared" si="51"/>
        <v>-104</v>
      </c>
      <c r="N1216" s="1">
        <v>0.36009999999999998</v>
      </c>
      <c r="O1216" s="1">
        <v>145</v>
      </c>
      <c r="P1216" s="24">
        <v>9.01E-2</v>
      </c>
      <c r="Q1216" s="31">
        <f>C1216-N1216</f>
        <v>5.9999999999998943E-4</v>
      </c>
      <c r="R1216" s="41">
        <f>D1216-O1216</f>
        <v>0</v>
      </c>
      <c r="S1216" s="41">
        <f>E1216-P1216</f>
        <v>-1.4999999999999999E-2</v>
      </c>
    </row>
    <row r="1217" spans="1:19" x14ac:dyDescent="0.15">
      <c r="A1217" s="1">
        <v>6</v>
      </c>
      <c r="B1217" s="1">
        <v>12</v>
      </c>
      <c r="C1217" s="10">
        <v>0.36069999999999997</v>
      </c>
      <c r="D1217" s="5">
        <v>145</v>
      </c>
      <c r="E1217" s="10">
        <v>8.0099999999999991E-2</v>
      </c>
      <c r="F1217" s="5">
        <v>120</v>
      </c>
      <c r="G1217" s="5">
        <v>7</v>
      </c>
      <c r="I1217" s="40">
        <f t="shared" si="52"/>
        <v>120</v>
      </c>
      <c r="J1217" s="40">
        <f t="shared" si="53"/>
        <v>7</v>
      </c>
      <c r="K1217" s="1">
        <v>239</v>
      </c>
      <c r="L1217" s="1">
        <v>13</v>
      </c>
      <c r="M1217">
        <f t="shared" si="51"/>
        <v>-125</v>
      </c>
      <c r="N1217" s="1">
        <v>0.36009999999999998</v>
      </c>
      <c r="O1217" s="1">
        <v>145</v>
      </c>
      <c r="P1217" s="24">
        <v>9.5100000000000004E-2</v>
      </c>
      <c r="Q1217" s="31">
        <f>C1217-N1217</f>
        <v>5.9999999999998943E-4</v>
      </c>
      <c r="R1217" s="41">
        <f>D1217-O1217</f>
        <v>0</v>
      </c>
      <c r="S1217" s="41">
        <f>E1217-P1217</f>
        <v>-1.5000000000000013E-2</v>
      </c>
    </row>
    <row r="1218" spans="1:19" x14ac:dyDescent="0.15">
      <c r="A1218" s="1">
        <v>6</v>
      </c>
      <c r="B1218" s="1">
        <v>12</v>
      </c>
      <c r="C1218" s="10">
        <v>0.36069999999999997</v>
      </c>
      <c r="D1218" s="5">
        <v>145</v>
      </c>
      <c r="E1218" s="10">
        <v>8.5099999999999995E-2</v>
      </c>
      <c r="F1218" s="5">
        <v>140</v>
      </c>
      <c r="G1218" s="5">
        <v>9</v>
      </c>
      <c r="I1218" s="40">
        <f t="shared" si="52"/>
        <v>140</v>
      </c>
      <c r="J1218" s="40">
        <f t="shared" si="53"/>
        <v>9</v>
      </c>
      <c r="K1218" s="1">
        <v>271</v>
      </c>
      <c r="L1218" s="1">
        <v>14</v>
      </c>
      <c r="M1218">
        <f t="shared" si="51"/>
        <v>-136</v>
      </c>
      <c r="N1218" s="1">
        <v>0.36009999999999998</v>
      </c>
      <c r="O1218" s="1">
        <v>145</v>
      </c>
      <c r="P1218" s="24">
        <v>0.10009999999999999</v>
      </c>
      <c r="Q1218" s="31">
        <f>C1218-N1218</f>
        <v>5.9999999999998943E-4</v>
      </c>
      <c r="R1218" s="41">
        <f>D1218-O1218</f>
        <v>0</v>
      </c>
      <c r="S1218" s="41">
        <f>E1218-P1218</f>
        <v>-1.4999999999999999E-2</v>
      </c>
    </row>
    <row r="1219" spans="1:19" x14ac:dyDescent="0.15">
      <c r="A1219" s="1">
        <v>6</v>
      </c>
      <c r="B1219" s="1">
        <v>12</v>
      </c>
      <c r="C1219" s="10">
        <v>0.36069999999999997</v>
      </c>
      <c r="D1219" s="5">
        <v>145</v>
      </c>
      <c r="E1219" s="10">
        <v>9.01E-2</v>
      </c>
      <c r="F1219" s="5">
        <v>195</v>
      </c>
      <c r="G1219" s="5">
        <v>10</v>
      </c>
      <c r="I1219" s="40">
        <f t="shared" si="52"/>
        <v>195</v>
      </c>
      <c r="J1219" s="40">
        <f t="shared" si="53"/>
        <v>10</v>
      </c>
      <c r="K1219" s="1">
        <v>360</v>
      </c>
      <c r="L1219" s="1">
        <v>15</v>
      </c>
      <c r="M1219">
        <f t="shared" ref="M1219:M1282" si="54">I1219+J1219-K1219-L1219</f>
        <v>-170</v>
      </c>
      <c r="N1219" s="1">
        <v>0.36009999999999998</v>
      </c>
      <c r="O1219" s="1">
        <v>145</v>
      </c>
      <c r="P1219" s="24">
        <v>0.1051</v>
      </c>
      <c r="Q1219" s="31">
        <f>C1219-N1219</f>
        <v>5.9999999999998943E-4</v>
      </c>
      <c r="R1219" s="41">
        <f>D1219-O1219</f>
        <v>0</v>
      </c>
      <c r="S1219" s="41">
        <f>E1219-P1219</f>
        <v>-1.4999999999999999E-2</v>
      </c>
    </row>
    <row r="1220" spans="1:19" x14ac:dyDescent="0.15">
      <c r="A1220" s="1">
        <v>6</v>
      </c>
      <c r="B1220" s="1">
        <v>12</v>
      </c>
      <c r="C1220" s="10">
        <v>0.36069999999999997</v>
      </c>
      <c r="D1220" s="5">
        <v>145</v>
      </c>
      <c r="E1220" s="10">
        <v>9.509999999999999E-2</v>
      </c>
      <c r="F1220" s="5">
        <v>239</v>
      </c>
      <c r="G1220" s="5">
        <v>13</v>
      </c>
      <c r="I1220" s="40">
        <f t="shared" si="52"/>
        <v>239</v>
      </c>
      <c r="J1220" s="40">
        <f t="shared" si="53"/>
        <v>13</v>
      </c>
      <c r="K1220" s="1">
        <v>407</v>
      </c>
      <c r="L1220" s="1">
        <v>17</v>
      </c>
      <c r="M1220">
        <f t="shared" si="54"/>
        <v>-172</v>
      </c>
      <c r="N1220" s="1">
        <v>0.36009999999999998</v>
      </c>
      <c r="O1220" s="1">
        <v>145</v>
      </c>
      <c r="P1220" s="24">
        <v>0.1101</v>
      </c>
      <c r="Q1220" s="31">
        <f>C1220-N1220</f>
        <v>5.9999999999998943E-4</v>
      </c>
      <c r="R1220" s="41">
        <f>D1220-O1220</f>
        <v>0</v>
      </c>
      <c r="S1220" s="41">
        <f>E1220-P1220</f>
        <v>-1.5000000000000013E-2</v>
      </c>
    </row>
    <row r="1221" spans="1:19" x14ac:dyDescent="0.15">
      <c r="A1221" s="1">
        <v>6</v>
      </c>
      <c r="B1221" s="1">
        <v>12</v>
      </c>
      <c r="C1221" s="10">
        <v>0.36069999999999997</v>
      </c>
      <c r="D1221" s="5">
        <v>145</v>
      </c>
      <c r="E1221" s="10">
        <v>0.10009999999999999</v>
      </c>
      <c r="F1221" s="5">
        <v>271</v>
      </c>
      <c r="G1221" s="5">
        <v>14</v>
      </c>
      <c r="I1221" s="40">
        <f t="shared" si="52"/>
        <v>271</v>
      </c>
      <c r="J1221" s="40">
        <f t="shared" si="53"/>
        <v>14</v>
      </c>
      <c r="K1221" s="1">
        <v>441</v>
      </c>
      <c r="L1221" s="1">
        <v>18</v>
      </c>
      <c r="M1221">
        <f t="shared" si="54"/>
        <v>-174</v>
      </c>
      <c r="N1221" s="1">
        <v>0.36009999999999998</v>
      </c>
      <c r="O1221" s="1">
        <v>145</v>
      </c>
      <c r="P1221" s="24">
        <v>0.11509999999999999</v>
      </c>
      <c r="Q1221" s="31">
        <f>C1221-N1221</f>
        <v>5.9999999999998943E-4</v>
      </c>
      <c r="R1221" s="41">
        <f>D1221-O1221</f>
        <v>0</v>
      </c>
      <c r="S1221" s="41">
        <f>E1221-P1221</f>
        <v>-1.4999999999999999E-2</v>
      </c>
    </row>
    <row r="1222" spans="1:19" x14ac:dyDescent="0.15">
      <c r="A1222" s="1">
        <v>6</v>
      </c>
      <c r="B1222" s="1">
        <v>12</v>
      </c>
      <c r="C1222" s="10">
        <v>0.36069999999999997</v>
      </c>
      <c r="D1222" s="5">
        <v>145</v>
      </c>
      <c r="E1222" s="10">
        <v>0.1051</v>
      </c>
      <c r="F1222" s="5">
        <v>360</v>
      </c>
      <c r="G1222" s="5">
        <v>15</v>
      </c>
      <c r="I1222" s="40">
        <f t="shared" si="52"/>
        <v>360</v>
      </c>
      <c r="J1222" s="40">
        <f t="shared" si="53"/>
        <v>15</v>
      </c>
      <c r="K1222" s="1">
        <v>554</v>
      </c>
      <c r="L1222" s="1">
        <v>21</v>
      </c>
      <c r="M1222">
        <f t="shared" si="54"/>
        <v>-200</v>
      </c>
      <c r="N1222" s="1">
        <v>0.36009999999999998</v>
      </c>
      <c r="O1222" s="1">
        <v>145</v>
      </c>
      <c r="P1222" s="24">
        <v>0.1201</v>
      </c>
      <c r="Q1222" s="31">
        <f>C1222-N1222</f>
        <v>5.9999999999998943E-4</v>
      </c>
      <c r="R1222" s="41">
        <f>D1222-O1222</f>
        <v>0</v>
      </c>
      <c r="S1222" s="41">
        <f>E1222-P1222</f>
        <v>-1.4999999999999999E-2</v>
      </c>
    </row>
    <row r="1223" spans="1:19" x14ac:dyDescent="0.15">
      <c r="A1223" s="1">
        <v>6</v>
      </c>
      <c r="B1223" s="1">
        <v>12</v>
      </c>
      <c r="C1223" s="10">
        <v>0.36069999999999997</v>
      </c>
      <c r="D1223" s="5">
        <v>145</v>
      </c>
      <c r="E1223" s="10">
        <v>0.11009999999999999</v>
      </c>
      <c r="F1223" s="5">
        <v>407</v>
      </c>
      <c r="G1223" s="5">
        <v>17</v>
      </c>
      <c r="I1223" s="40">
        <f t="shared" si="52"/>
        <v>407</v>
      </c>
      <c r="J1223" s="40">
        <f t="shared" si="53"/>
        <v>17</v>
      </c>
      <c r="K1223" s="1">
        <v>613</v>
      </c>
      <c r="L1223" s="1">
        <v>23</v>
      </c>
      <c r="M1223">
        <f t="shared" si="54"/>
        <v>-212</v>
      </c>
      <c r="N1223" s="1">
        <v>0.36009999999999998</v>
      </c>
      <c r="O1223" s="1">
        <v>145</v>
      </c>
      <c r="P1223" s="24">
        <v>0.12509999999999999</v>
      </c>
      <c r="Q1223" s="31">
        <f>C1223-N1223</f>
        <v>5.9999999999998943E-4</v>
      </c>
      <c r="R1223" s="41">
        <f>D1223-O1223</f>
        <v>0</v>
      </c>
      <c r="S1223" s="41">
        <f>E1223-P1223</f>
        <v>-1.4999999999999999E-2</v>
      </c>
    </row>
    <row r="1224" spans="1:19" x14ac:dyDescent="0.15">
      <c r="A1224" s="1">
        <v>6</v>
      </c>
      <c r="B1224" s="1">
        <v>12</v>
      </c>
      <c r="C1224" s="10">
        <v>0.36069999999999997</v>
      </c>
      <c r="D1224" s="5">
        <v>145</v>
      </c>
      <c r="E1224" s="10">
        <v>0.11509999999999999</v>
      </c>
      <c r="F1224" s="5">
        <v>441</v>
      </c>
      <c r="G1224" s="5">
        <v>18</v>
      </c>
      <c r="I1224" s="40">
        <f t="shared" si="52"/>
        <v>441</v>
      </c>
      <c r="J1224" s="40">
        <f t="shared" si="53"/>
        <v>18</v>
      </c>
      <c r="K1224" s="1">
        <v>678</v>
      </c>
      <c r="L1224" s="1">
        <v>23</v>
      </c>
      <c r="M1224">
        <f t="shared" si="54"/>
        <v>-242</v>
      </c>
      <c r="N1224" s="1">
        <v>0.36009999999999998</v>
      </c>
      <c r="O1224" s="1">
        <v>145</v>
      </c>
      <c r="P1224" s="24">
        <v>0.13009999999999999</v>
      </c>
      <c r="Q1224" s="31">
        <f>C1224-N1224</f>
        <v>5.9999999999998943E-4</v>
      </c>
      <c r="R1224" s="41">
        <f>D1224-O1224</f>
        <v>0</v>
      </c>
      <c r="S1224" s="41">
        <f>E1224-P1224</f>
        <v>-1.4999999999999999E-2</v>
      </c>
    </row>
    <row r="1225" spans="1:19" x14ac:dyDescent="0.15">
      <c r="A1225" s="1">
        <v>6</v>
      </c>
      <c r="B1225" s="1">
        <v>12</v>
      </c>
      <c r="C1225" s="10">
        <v>0.36069999999999997</v>
      </c>
      <c r="D1225" s="5">
        <v>145</v>
      </c>
      <c r="E1225" s="10">
        <v>0.1201</v>
      </c>
      <c r="F1225" s="5">
        <v>554</v>
      </c>
      <c r="G1225" s="5">
        <v>21</v>
      </c>
      <c r="I1225" s="40">
        <f t="shared" si="52"/>
        <v>554</v>
      </c>
      <c r="J1225" s="40">
        <f t="shared" si="53"/>
        <v>21</v>
      </c>
      <c r="K1225" s="1">
        <v>762</v>
      </c>
      <c r="L1225" s="1">
        <v>30</v>
      </c>
      <c r="M1225">
        <f t="shared" si="54"/>
        <v>-217</v>
      </c>
      <c r="N1225" s="1">
        <v>0.36009999999999998</v>
      </c>
      <c r="O1225" s="1">
        <v>145</v>
      </c>
      <c r="P1225" s="24">
        <v>0.1351</v>
      </c>
      <c r="Q1225" s="31">
        <f>C1225-N1225</f>
        <v>5.9999999999998943E-4</v>
      </c>
      <c r="R1225" s="41">
        <f>D1225-O1225</f>
        <v>0</v>
      </c>
      <c r="S1225" s="41">
        <f>E1225-P1225</f>
        <v>-1.4999999999999999E-2</v>
      </c>
    </row>
    <row r="1226" spans="1:19" x14ac:dyDescent="0.15">
      <c r="A1226" s="1">
        <v>6</v>
      </c>
      <c r="B1226" s="1">
        <v>12</v>
      </c>
      <c r="C1226" s="10">
        <v>0.36069999999999997</v>
      </c>
      <c r="D1226" s="5">
        <v>145</v>
      </c>
      <c r="E1226" s="10">
        <v>0.12509999999999999</v>
      </c>
      <c r="F1226" s="5">
        <v>613</v>
      </c>
      <c r="G1226" s="5">
        <v>23</v>
      </c>
      <c r="I1226" s="40">
        <f t="shared" si="52"/>
        <v>613</v>
      </c>
      <c r="J1226" s="40">
        <f t="shared" si="53"/>
        <v>23</v>
      </c>
      <c r="K1226" s="1">
        <v>792</v>
      </c>
      <c r="L1226" s="1">
        <v>36</v>
      </c>
      <c r="M1226">
        <f t="shared" si="54"/>
        <v>-192</v>
      </c>
      <c r="N1226" s="1">
        <v>0.36009999999999998</v>
      </c>
      <c r="O1226" s="1">
        <v>145</v>
      </c>
      <c r="P1226" s="24">
        <v>0.1401</v>
      </c>
      <c r="Q1226" s="31">
        <f>C1226-N1226</f>
        <v>5.9999999999998943E-4</v>
      </c>
      <c r="R1226" s="41">
        <f>D1226-O1226</f>
        <v>0</v>
      </c>
      <c r="S1226" s="41">
        <f>E1226-P1226</f>
        <v>-1.5000000000000013E-2</v>
      </c>
    </row>
    <row r="1227" spans="1:19" x14ac:dyDescent="0.15">
      <c r="A1227" s="1">
        <v>6</v>
      </c>
      <c r="B1227" s="1">
        <v>12</v>
      </c>
      <c r="C1227" s="10">
        <v>0.36069999999999997</v>
      </c>
      <c r="D1227" s="5">
        <v>145</v>
      </c>
      <c r="E1227" s="10">
        <v>0.13009999999999999</v>
      </c>
      <c r="F1227" s="5">
        <v>678</v>
      </c>
      <c r="G1227" s="5">
        <v>23</v>
      </c>
      <c r="I1227" s="40">
        <f t="shared" si="52"/>
        <v>678</v>
      </c>
      <c r="J1227" s="40">
        <f t="shared" si="53"/>
        <v>23</v>
      </c>
      <c r="K1227" s="1">
        <v>855</v>
      </c>
      <c r="L1227" s="1">
        <v>37</v>
      </c>
      <c r="M1227">
        <f t="shared" si="54"/>
        <v>-191</v>
      </c>
      <c r="N1227" s="1">
        <v>0.36009999999999998</v>
      </c>
      <c r="O1227" s="1">
        <v>145</v>
      </c>
      <c r="P1227" s="24">
        <v>0.14510000000000001</v>
      </c>
      <c r="Q1227" s="31">
        <f>C1227-N1227</f>
        <v>5.9999999999998943E-4</v>
      </c>
      <c r="R1227" s="41">
        <f>D1227-O1227</f>
        <v>0</v>
      </c>
      <c r="S1227" s="41">
        <f>E1227-P1227</f>
        <v>-1.5000000000000013E-2</v>
      </c>
    </row>
    <row r="1228" spans="1:19" x14ac:dyDescent="0.15">
      <c r="A1228" s="1">
        <v>6</v>
      </c>
      <c r="B1228" s="1">
        <v>12</v>
      </c>
      <c r="C1228" s="10">
        <v>0.36069999999999997</v>
      </c>
      <c r="D1228" s="5">
        <v>145</v>
      </c>
      <c r="E1228" s="10">
        <v>0.1351</v>
      </c>
      <c r="F1228" s="5">
        <v>762</v>
      </c>
      <c r="G1228" s="5">
        <v>30</v>
      </c>
      <c r="I1228" s="40">
        <f t="shared" si="52"/>
        <v>762</v>
      </c>
      <c r="J1228" s="40">
        <f t="shared" si="53"/>
        <v>30</v>
      </c>
      <c r="K1228" s="1">
        <v>882</v>
      </c>
      <c r="L1228" s="1">
        <v>45</v>
      </c>
      <c r="M1228">
        <f t="shared" si="54"/>
        <v>-135</v>
      </c>
      <c r="N1228" s="1">
        <v>0.36009999999999998</v>
      </c>
      <c r="O1228" s="1">
        <v>145</v>
      </c>
      <c r="P1228" s="24">
        <v>0.15010000000000001</v>
      </c>
      <c r="Q1228" s="31">
        <f>C1228-N1228</f>
        <v>5.9999999999998943E-4</v>
      </c>
      <c r="R1228" s="41">
        <f>D1228-O1228</f>
        <v>0</v>
      </c>
      <c r="S1228" s="41">
        <f>E1228-P1228</f>
        <v>-1.5000000000000013E-2</v>
      </c>
    </row>
    <row r="1229" spans="1:19" x14ac:dyDescent="0.15">
      <c r="A1229" s="1">
        <v>6</v>
      </c>
      <c r="B1229" s="1">
        <v>12</v>
      </c>
      <c r="C1229" s="10">
        <v>0.36069999999999997</v>
      </c>
      <c r="D1229" s="5">
        <v>145</v>
      </c>
      <c r="E1229" s="10">
        <v>0.1401</v>
      </c>
      <c r="F1229" s="5">
        <v>792</v>
      </c>
      <c r="G1229" s="5">
        <v>36</v>
      </c>
      <c r="I1229" s="40">
        <f t="shared" si="52"/>
        <v>792</v>
      </c>
      <c r="J1229" s="40">
        <f t="shared" si="53"/>
        <v>36</v>
      </c>
      <c r="K1229" s="1">
        <v>941</v>
      </c>
      <c r="L1229" s="1">
        <v>40</v>
      </c>
      <c r="M1229">
        <f t="shared" si="54"/>
        <v>-153</v>
      </c>
      <c r="N1229" s="1">
        <v>0.36009999999999998</v>
      </c>
      <c r="O1229" s="1">
        <v>145</v>
      </c>
      <c r="P1229" s="24">
        <v>0.15509999999999999</v>
      </c>
      <c r="Q1229" s="31">
        <f>C1229-N1229</f>
        <v>5.9999999999998943E-4</v>
      </c>
      <c r="R1229" s="41">
        <f>D1229-O1229</f>
        <v>0</v>
      </c>
      <c r="S1229" s="41">
        <f>E1229-P1229</f>
        <v>-1.4999999999999986E-2</v>
      </c>
    </row>
    <row r="1230" spans="1:19" x14ac:dyDescent="0.15">
      <c r="A1230" s="1">
        <v>6</v>
      </c>
      <c r="B1230" s="1">
        <v>12</v>
      </c>
      <c r="C1230" s="10">
        <v>0.36069999999999997</v>
      </c>
      <c r="D1230" s="5">
        <v>145</v>
      </c>
      <c r="E1230" s="10">
        <v>0.14510000000000001</v>
      </c>
      <c r="F1230" s="5">
        <v>855</v>
      </c>
      <c r="G1230" s="5">
        <v>37</v>
      </c>
      <c r="I1230" s="40">
        <f t="shared" si="52"/>
        <v>855</v>
      </c>
      <c r="J1230" s="40">
        <f t="shared" si="53"/>
        <v>37</v>
      </c>
      <c r="K1230" s="1">
        <v>994</v>
      </c>
      <c r="L1230" s="1">
        <v>42</v>
      </c>
      <c r="M1230">
        <f t="shared" si="54"/>
        <v>-144</v>
      </c>
      <c r="N1230" s="1">
        <v>0.36009999999999998</v>
      </c>
      <c r="O1230" s="1">
        <v>145</v>
      </c>
      <c r="P1230" s="24">
        <v>0.16009999999999999</v>
      </c>
      <c r="Q1230" s="31">
        <f>C1230-N1230</f>
        <v>5.9999999999998943E-4</v>
      </c>
      <c r="R1230" s="41">
        <f>D1230-O1230</f>
        <v>0</v>
      </c>
      <c r="S1230" s="41">
        <f>E1230-P1230</f>
        <v>-1.4999999999999986E-2</v>
      </c>
    </row>
    <row r="1231" spans="1:19" x14ac:dyDescent="0.15">
      <c r="A1231" s="1">
        <v>6</v>
      </c>
      <c r="B1231" s="1">
        <v>12</v>
      </c>
      <c r="C1231" s="10">
        <v>0.36069999999999997</v>
      </c>
      <c r="D1231" s="5">
        <v>145</v>
      </c>
      <c r="E1231" s="10">
        <v>0.15009999999999998</v>
      </c>
      <c r="F1231" s="5">
        <v>882</v>
      </c>
      <c r="G1231" s="5">
        <v>45</v>
      </c>
      <c r="I1231" s="40">
        <f t="shared" si="52"/>
        <v>882</v>
      </c>
      <c r="J1231" s="40">
        <f t="shared" si="53"/>
        <v>45</v>
      </c>
      <c r="K1231" s="1">
        <v>970</v>
      </c>
      <c r="L1231" s="1">
        <v>42</v>
      </c>
      <c r="M1231">
        <f t="shared" si="54"/>
        <v>-85</v>
      </c>
      <c r="N1231" s="1">
        <v>0.36009999999999998</v>
      </c>
      <c r="O1231" s="1">
        <v>145</v>
      </c>
      <c r="P1231" s="24">
        <v>0.1651</v>
      </c>
      <c r="Q1231" s="31">
        <f>C1231-N1231</f>
        <v>5.9999999999998943E-4</v>
      </c>
      <c r="R1231" s="41">
        <f>D1231-O1231</f>
        <v>0</v>
      </c>
      <c r="S1231" s="41">
        <f>E1231-P1231</f>
        <v>-1.5000000000000013E-2</v>
      </c>
    </row>
    <row r="1232" spans="1:19" x14ac:dyDescent="0.15">
      <c r="A1232" s="1">
        <v>6</v>
      </c>
      <c r="B1232" s="1">
        <v>12</v>
      </c>
      <c r="C1232" s="10">
        <v>0.36069999999999997</v>
      </c>
      <c r="D1232" s="5">
        <v>145</v>
      </c>
      <c r="E1232" s="10">
        <v>0.15509999999999999</v>
      </c>
      <c r="F1232" s="5">
        <v>941</v>
      </c>
      <c r="G1232" s="5">
        <v>40</v>
      </c>
      <c r="I1232" s="40">
        <f t="shared" si="52"/>
        <v>941</v>
      </c>
      <c r="J1232" s="40">
        <f t="shared" si="53"/>
        <v>40</v>
      </c>
      <c r="K1232" s="1">
        <v>1004</v>
      </c>
      <c r="L1232" s="1">
        <v>44</v>
      </c>
      <c r="M1232">
        <f t="shared" si="54"/>
        <v>-67</v>
      </c>
      <c r="N1232" s="1">
        <v>0.36009999999999998</v>
      </c>
      <c r="O1232" s="1">
        <v>145</v>
      </c>
      <c r="P1232" s="24">
        <v>0.1701</v>
      </c>
      <c r="Q1232" s="31">
        <f>C1232-N1232</f>
        <v>5.9999999999998943E-4</v>
      </c>
      <c r="R1232" s="41">
        <f>D1232-O1232</f>
        <v>0</v>
      </c>
      <c r="S1232" s="41">
        <f>E1232-P1232</f>
        <v>-1.5000000000000013E-2</v>
      </c>
    </row>
    <row r="1233" spans="1:19" x14ac:dyDescent="0.15">
      <c r="A1233" s="1">
        <v>6</v>
      </c>
      <c r="B1233" s="1">
        <v>12</v>
      </c>
      <c r="C1233" s="10">
        <v>0.36069999999999997</v>
      </c>
      <c r="D1233" s="5">
        <v>145</v>
      </c>
      <c r="E1233" s="10">
        <v>0.16009999999999999</v>
      </c>
      <c r="F1233" s="5">
        <v>994</v>
      </c>
      <c r="G1233" s="5">
        <v>42</v>
      </c>
      <c r="I1233" s="40">
        <f t="shared" si="52"/>
        <v>994</v>
      </c>
      <c r="J1233" s="40">
        <f t="shared" si="53"/>
        <v>42</v>
      </c>
      <c r="K1233" s="1">
        <v>1003</v>
      </c>
      <c r="L1233" s="1">
        <v>39</v>
      </c>
      <c r="M1233">
        <f t="shared" si="54"/>
        <v>-6</v>
      </c>
      <c r="N1233" s="1">
        <v>0.36009999999999998</v>
      </c>
      <c r="O1233" s="1">
        <v>145</v>
      </c>
      <c r="P1233" s="24">
        <v>0.17510000000000001</v>
      </c>
      <c r="Q1233" s="31">
        <f>C1233-N1233</f>
        <v>5.9999999999998943E-4</v>
      </c>
      <c r="R1233" s="41">
        <f>D1233-O1233</f>
        <v>0</v>
      </c>
      <c r="S1233" s="41">
        <f>E1233-P1233</f>
        <v>-1.5000000000000013E-2</v>
      </c>
    </row>
    <row r="1234" spans="1:19" x14ac:dyDescent="0.15">
      <c r="A1234" s="1">
        <v>6</v>
      </c>
      <c r="B1234" s="1">
        <v>12</v>
      </c>
      <c r="C1234" s="10">
        <v>0.36069999999999997</v>
      </c>
      <c r="D1234" s="5">
        <v>145</v>
      </c>
      <c r="E1234" s="10">
        <v>0.1651</v>
      </c>
      <c r="F1234" s="5">
        <v>970</v>
      </c>
      <c r="G1234" s="5">
        <v>42</v>
      </c>
      <c r="I1234" s="40">
        <f t="shared" si="52"/>
        <v>970</v>
      </c>
      <c r="J1234" s="40">
        <f t="shared" si="53"/>
        <v>42</v>
      </c>
      <c r="K1234" s="1">
        <v>1005</v>
      </c>
      <c r="L1234" s="1">
        <v>43</v>
      </c>
      <c r="M1234">
        <f t="shared" si="54"/>
        <v>-36</v>
      </c>
      <c r="N1234" s="1">
        <v>0.36009999999999998</v>
      </c>
      <c r="O1234" s="1">
        <v>145</v>
      </c>
      <c r="P1234" s="24">
        <v>0.18010000000000001</v>
      </c>
      <c r="Q1234" s="31">
        <f>C1234-N1234</f>
        <v>5.9999999999998943E-4</v>
      </c>
      <c r="R1234" s="41">
        <f>D1234-O1234</f>
        <v>0</v>
      </c>
      <c r="S1234" s="41">
        <f>E1234-P1234</f>
        <v>-1.5000000000000013E-2</v>
      </c>
    </row>
    <row r="1235" spans="1:19" x14ac:dyDescent="0.15">
      <c r="A1235" s="1">
        <v>6</v>
      </c>
      <c r="B1235" s="1">
        <v>12</v>
      </c>
      <c r="C1235" s="10">
        <v>0.36069999999999997</v>
      </c>
      <c r="D1235" s="5">
        <v>145</v>
      </c>
      <c r="E1235" s="10">
        <v>0.1701</v>
      </c>
      <c r="F1235" s="5">
        <v>1004</v>
      </c>
      <c r="G1235" s="5">
        <v>44</v>
      </c>
      <c r="I1235" s="40">
        <f t="shared" si="52"/>
        <v>1004</v>
      </c>
      <c r="J1235" s="40">
        <f t="shared" si="53"/>
        <v>44</v>
      </c>
      <c r="K1235" s="1">
        <v>948</v>
      </c>
      <c r="L1235" s="1">
        <v>43</v>
      </c>
      <c r="M1235">
        <f t="shared" si="54"/>
        <v>57</v>
      </c>
      <c r="N1235" s="1">
        <v>0.36009999999999998</v>
      </c>
      <c r="O1235" s="1">
        <v>145</v>
      </c>
      <c r="P1235" s="24">
        <v>0.18509999999999999</v>
      </c>
      <c r="Q1235" s="31">
        <f>C1235-N1235</f>
        <v>5.9999999999998943E-4</v>
      </c>
      <c r="R1235" s="41">
        <f>D1235-O1235</f>
        <v>0</v>
      </c>
      <c r="S1235" s="41">
        <f>E1235-P1235</f>
        <v>-1.4999999999999986E-2</v>
      </c>
    </row>
    <row r="1236" spans="1:19" x14ac:dyDescent="0.15">
      <c r="A1236" s="1">
        <v>6</v>
      </c>
      <c r="B1236" s="1">
        <v>12</v>
      </c>
      <c r="C1236" s="10">
        <v>0.36069999999999997</v>
      </c>
      <c r="D1236" s="5">
        <v>145</v>
      </c>
      <c r="E1236" s="10">
        <v>0.17510000000000001</v>
      </c>
      <c r="F1236" s="5">
        <v>1002.9999999999999</v>
      </c>
      <c r="G1236" s="5">
        <v>39</v>
      </c>
      <c r="I1236" s="40">
        <f t="shared" si="52"/>
        <v>1002.9999999999999</v>
      </c>
      <c r="J1236" s="40">
        <f t="shared" si="53"/>
        <v>39</v>
      </c>
      <c r="K1236" s="1">
        <v>916</v>
      </c>
      <c r="L1236" s="1">
        <v>46</v>
      </c>
      <c r="M1236">
        <f t="shared" si="54"/>
        <v>80</v>
      </c>
      <c r="N1236" s="1">
        <v>0.36009999999999998</v>
      </c>
      <c r="O1236" s="1">
        <v>145</v>
      </c>
      <c r="P1236" s="24">
        <v>0.19009999999999999</v>
      </c>
      <c r="Q1236" s="31">
        <f>C1236-N1236</f>
        <v>5.9999999999998943E-4</v>
      </c>
      <c r="R1236" s="41">
        <f>D1236-O1236</f>
        <v>0</v>
      </c>
      <c r="S1236" s="41">
        <f>E1236-P1236</f>
        <v>-1.4999999999999986E-2</v>
      </c>
    </row>
    <row r="1237" spans="1:19" x14ac:dyDescent="0.15">
      <c r="A1237" s="1">
        <v>6</v>
      </c>
      <c r="B1237" s="1">
        <v>12</v>
      </c>
      <c r="C1237" s="10">
        <v>0.36069999999999997</v>
      </c>
      <c r="D1237" s="5">
        <v>145</v>
      </c>
      <c r="E1237" s="10">
        <v>0.18009999999999998</v>
      </c>
      <c r="F1237" s="5">
        <v>1004.9999999999999</v>
      </c>
      <c r="G1237" s="5">
        <v>43</v>
      </c>
      <c r="I1237" s="40">
        <f t="shared" si="52"/>
        <v>1004.9999999999999</v>
      </c>
      <c r="J1237" s="40">
        <f t="shared" si="53"/>
        <v>43</v>
      </c>
      <c r="K1237" s="1">
        <v>874</v>
      </c>
      <c r="L1237" s="1">
        <v>43</v>
      </c>
      <c r="M1237">
        <f t="shared" si="54"/>
        <v>131</v>
      </c>
      <c r="N1237" s="1">
        <v>0.36009999999999998</v>
      </c>
      <c r="O1237" s="1">
        <v>145</v>
      </c>
      <c r="P1237" s="24">
        <v>0.1951</v>
      </c>
      <c r="Q1237" s="31">
        <f>C1237-N1237</f>
        <v>5.9999999999998943E-4</v>
      </c>
      <c r="R1237" s="41">
        <f>D1237-O1237</f>
        <v>0</v>
      </c>
      <c r="S1237" s="41">
        <f>E1237-P1237</f>
        <v>-1.5000000000000013E-2</v>
      </c>
    </row>
    <row r="1238" spans="1:19" x14ac:dyDescent="0.15">
      <c r="A1238" s="1">
        <v>6</v>
      </c>
      <c r="B1238" s="1">
        <v>12</v>
      </c>
      <c r="C1238" s="10">
        <v>0.36069999999999997</v>
      </c>
      <c r="D1238" s="5">
        <v>145</v>
      </c>
      <c r="E1238" s="10">
        <v>0.18509999999999999</v>
      </c>
      <c r="F1238" s="5">
        <v>948</v>
      </c>
      <c r="G1238" s="5">
        <v>43</v>
      </c>
      <c r="I1238" s="40">
        <f t="shared" si="52"/>
        <v>948</v>
      </c>
      <c r="J1238" s="40">
        <f t="shared" si="53"/>
        <v>43</v>
      </c>
      <c r="K1238" s="1">
        <v>852</v>
      </c>
      <c r="L1238" s="1">
        <v>42</v>
      </c>
      <c r="M1238">
        <f t="shared" si="54"/>
        <v>97</v>
      </c>
      <c r="N1238" s="1">
        <v>0.36009999999999998</v>
      </c>
      <c r="O1238" s="1">
        <v>145</v>
      </c>
      <c r="P1238" s="24">
        <v>0.2001</v>
      </c>
      <c r="Q1238" s="31">
        <f>C1238-N1238</f>
        <v>5.9999999999998943E-4</v>
      </c>
      <c r="R1238" s="41">
        <f>D1238-O1238</f>
        <v>0</v>
      </c>
      <c r="S1238" s="41">
        <f>E1238-P1238</f>
        <v>-1.5000000000000013E-2</v>
      </c>
    </row>
    <row r="1239" spans="1:19" x14ac:dyDescent="0.15">
      <c r="A1239" s="1">
        <v>6</v>
      </c>
      <c r="B1239" s="1">
        <v>12</v>
      </c>
      <c r="C1239" s="10">
        <v>0.36069999999999997</v>
      </c>
      <c r="D1239" s="5">
        <v>145</v>
      </c>
      <c r="E1239" s="10">
        <v>0.19009999999999999</v>
      </c>
      <c r="F1239" s="5">
        <v>916</v>
      </c>
      <c r="G1239" s="5">
        <v>46</v>
      </c>
      <c r="I1239" s="40">
        <f t="shared" si="52"/>
        <v>916</v>
      </c>
      <c r="J1239" s="40">
        <f t="shared" si="53"/>
        <v>46</v>
      </c>
      <c r="K1239" s="1">
        <v>740</v>
      </c>
      <c r="L1239" s="1">
        <v>40</v>
      </c>
      <c r="M1239">
        <f t="shared" si="54"/>
        <v>182</v>
      </c>
      <c r="N1239" s="1">
        <v>0.36009999999999998</v>
      </c>
      <c r="O1239" s="1">
        <v>145</v>
      </c>
      <c r="P1239" s="24">
        <v>0.2051</v>
      </c>
      <c r="Q1239" s="31">
        <f>C1239-N1239</f>
        <v>5.9999999999998943E-4</v>
      </c>
      <c r="R1239" s="41">
        <f>D1239-O1239</f>
        <v>0</v>
      </c>
      <c r="S1239" s="41">
        <f>E1239-P1239</f>
        <v>-1.5000000000000013E-2</v>
      </c>
    </row>
    <row r="1240" spans="1:19" x14ac:dyDescent="0.15">
      <c r="A1240" s="1">
        <v>6</v>
      </c>
      <c r="B1240" s="1">
        <v>12</v>
      </c>
      <c r="C1240" s="10">
        <v>0.36069999999999997</v>
      </c>
      <c r="D1240" s="5">
        <v>145</v>
      </c>
      <c r="E1240" s="10">
        <v>0.1951</v>
      </c>
      <c r="F1240" s="5">
        <v>874</v>
      </c>
      <c r="G1240" s="5">
        <v>43</v>
      </c>
      <c r="I1240" s="40">
        <f t="shared" si="52"/>
        <v>874</v>
      </c>
      <c r="J1240" s="40">
        <f t="shared" si="53"/>
        <v>43</v>
      </c>
      <c r="K1240" s="1">
        <v>769</v>
      </c>
      <c r="L1240" s="1">
        <v>40</v>
      </c>
      <c r="M1240">
        <f t="shared" si="54"/>
        <v>108</v>
      </c>
      <c r="N1240" s="1">
        <v>0.36009999999999998</v>
      </c>
      <c r="O1240" s="1">
        <v>145</v>
      </c>
      <c r="P1240" s="24">
        <v>0.21010000000000001</v>
      </c>
      <c r="Q1240" s="31">
        <f>C1240-N1240</f>
        <v>5.9999999999998943E-4</v>
      </c>
      <c r="R1240" s="41">
        <f>D1240-O1240</f>
        <v>0</v>
      </c>
      <c r="S1240" s="41">
        <f>E1240-P1240</f>
        <v>-1.5000000000000013E-2</v>
      </c>
    </row>
    <row r="1241" spans="1:19" x14ac:dyDescent="0.15">
      <c r="A1241" s="1">
        <v>6</v>
      </c>
      <c r="B1241" s="1">
        <v>12</v>
      </c>
      <c r="C1241" s="10">
        <v>0.36069999999999997</v>
      </c>
      <c r="D1241" s="5">
        <v>145</v>
      </c>
      <c r="E1241" s="10">
        <v>0.2001</v>
      </c>
      <c r="F1241" s="5">
        <v>852</v>
      </c>
      <c r="G1241" s="5">
        <v>42</v>
      </c>
      <c r="I1241" s="40">
        <f t="shared" si="52"/>
        <v>852</v>
      </c>
      <c r="J1241" s="40">
        <f t="shared" si="53"/>
        <v>42</v>
      </c>
      <c r="K1241" s="1">
        <v>645</v>
      </c>
      <c r="L1241" s="1">
        <v>40</v>
      </c>
      <c r="M1241">
        <f t="shared" si="54"/>
        <v>209</v>
      </c>
      <c r="N1241" s="1">
        <v>0.36009999999999998</v>
      </c>
      <c r="O1241" s="1">
        <v>145</v>
      </c>
      <c r="P1241" s="24">
        <v>0.21510000000000001</v>
      </c>
      <c r="Q1241" s="31">
        <f>C1241-N1241</f>
        <v>5.9999999999998943E-4</v>
      </c>
      <c r="R1241" s="41">
        <f>D1241-O1241</f>
        <v>0</v>
      </c>
      <c r="S1241" s="41">
        <f>E1241-P1241</f>
        <v>-1.5000000000000013E-2</v>
      </c>
    </row>
    <row r="1242" spans="1:19" x14ac:dyDescent="0.15">
      <c r="A1242" s="1">
        <v>6</v>
      </c>
      <c r="B1242" s="1">
        <v>12</v>
      </c>
      <c r="C1242" s="10">
        <v>0.36069999999999997</v>
      </c>
      <c r="D1242" s="5">
        <v>145</v>
      </c>
      <c r="E1242" s="10">
        <v>0.2051</v>
      </c>
      <c r="F1242" s="5">
        <v>740</v>
      </c>
      <c r="G1242" s="5">
        <v>40</v>
      </c>
      <c r="I1242" s="40">
        <f t="shared" si="52"/>
        <v>740</v>
      </c>
      <c r="J1242" s="40">
        <f t="shared" si="53"/>
        <v>40</v>
      </c>
      <c r="K1242" s="1">
        <v>656</v>
      </c>
      <c r="L1242" s="1">
        <v>41</v>
      </c>
      <c r="M1242">
        <f t="shared" si="54"/>
        <v>83</v>
      </c>
      <c r="N1242" s="1">
        <v>0.36009999999999998</v>
      </c>
      <c r="O1242" s="1">
        <v>145</v>
      </c>
      <c r="P1242" s="24">
        <v>0.22009999999999999</v>
      </c>
      <c r="Q1242" s="31">
        <f>C1242-N1242</f>
        <v>5.9999999999998943E-4</v>
      </c>
      <c r="R1242" s="41">
        <f>D1242-O1242</f>
        <v>0</v>
      </c>
      <c r="S1242" s="41">
        <f>E1242-P1242</f>
        <v>-1.4999999999999986E-2</v>
      </c>
    </row>
    <row r="1243" spans="1:19" x14ac:dyDescent="0.15">
      <c r="A1243" s="1">
        <v>6</v>
      </c>
      <c r="B1243" s="1">
        <v>12</v>
      </c>
      <c r="C1243" s="10">
        <v>0.36069999999999997</v>
      </c>
      <c r="D1243" s="5">
        <v>145</v>
      </c>
      <c r="E1243" s="10">
        <v>0.21009999999999998</v>
      </c>
      <c r="F1243" s="5">
        <v>769</v>
      </c>
      <c r="G1243" s="5">
        <v>40</v>
      </c>
      <c r="I1243" s="40">
        <f t="shared" si="52"/>
        <v>769</v>
      </c>
      <c r="J1243" s="40">
        <f t="shared" si="53"/>
        <v>40</v>
      </c>
      <c r="K1243" s="1">
        <v>606</v>
      </c>
      <c r="L1243" s="1">
        <v>40</v>
      </c>
      <c r="M1243">
        <f t="shared" si="54"/>
        <v>163</v>
      </c>
      <c r="N1243" s="1">
        <v>0.36009999999999998</v>
      </c>
      <c r="O1243" s="1">
        <v>145</v>
      </c>
      <c r="P1243" s="24">
        <v>0.22509999999999999</v>
      </c>
      <c r="Q1243" s="31">
        <f>C1243-N1243</f>
        <v>5.9999999999998943E-4</v>
      </c>
      <c r="R1243" s="41">
        <f>D1243-O1243</f>
        <v>0</v>
      </c>
      <c r="S1243" s="41">
        <f>E1243-P1243</f>
        <v>-1.5000000000000013E-2</v>
      </c>
    </row>
    <row r="1244" spans="1:19" x14ac:dyDescent="0.15">
      <c r="A1244" s="1">
        <v>6</v>
      </c>
      <c r="B1244" s="1">
        <v>12</v>
      </c>
      <c r="C1244" s="10">
        <v>0.36069999999999997</v>
      </c>
      <c r="D1244" s="5">
        <v>145</v>
      </c>
      <c r="E1244" s="10">
        <v>0.21509999999999999</v>
      </c>
      <c r="F1244" s="5">
        <v>645</v>
      </c>
      <c r="G1244" s="5">
        <v>40</v>
      </c>
      <c r="I1244" s="40">
        <f t="shared" si="52"/>
        <v>645</v>
      </c>
      <c r="J1244" s="40">
        <f t="shared" si="53"/>
        <v>40</v>
      </c>
      <c r="K1244" s="1">
        <v>595</v>
      </c>
      <c r="L1244" s="1">
        <v>38</v>
      </c>
      <c r="M1244">
        <f t="shared" si="54"/>
        <v>52</v>
      </c>
      <c r="N1244" s="1">
        <v>0.36009999999999998</v>
      </c>
      <c r="O1244" s="1">
        <v>145</v>
      </c>
      <c r="P1244" s="24">
        <v>0.2301</v>
      </c>
      <c r="Q1244" s="31">
        <f>C1244-N1244</f>
        <v>5.9999999999998943E-4</v>
      </c>
      <c r="R1244" s="41">
        <f>D1244-O1244</f>
        <v>0</v>
      </c>
      <c r="S1244" s="41">
        <f>E1244-P1244</f>
        <v>-1.5000000000000013E-2</v>
      </c>
    </row>
    <row r="1245" spans="1:19" x14ac:dyDescent="0.15">
      <c r="A1245" s="1">
        <v>6</v>
      </c>
      <c r="B1245" s="1">
        <v>12</v>
      </c>
      <c r="C1245" s="10">
        <v>0.36069999999999997</v>
      </c>
      <c r="D1245" s="5">
        <v>145</v>
      </c>
      <c r="E1245" s="10">
        <v>0.22009999999999999</v>
      </c>
      <c r="F1245" s="5">
        <v>656</v>
      </c>
      <c r="G1245" s="5">
        <v>41</v>
      </c>
      <c r="I1245" s="40">
        <f t="shared" si="52"/>
        <v>656</v>
      </c>
      <c r="J1245" s="40">
        <f t="shared" si="53"/>
        <v>41</v>
      </c>
      <c r="K1245" s="1">
        <v>592</v>
      </c>
      <c r="L1245" s="1">
        <v>40</v>
      </c>
      <c r="M1245">
        <f t="shared" si="54"/>
        <v>65</v>
      </c>
      <c r="N1245" s="1">
        <v>0.36009999999999998</v>
      </c>
      <c r="O1245" s="1">
        <v>145</v>
      </c>
      <c r="P1245" s="24">
        <v>0.2351</v>
      </c>
      <c r="Q1245" s="31">
        <f>C1245-N1245</f>
        <v>5.9999999999998943E-4</v>
      </c>
      <c r="R1245" s="41">
        <f>D1245-O1245</f>
        <v>0</v>
      </c>
      <c r="S1245" s="41">
        <f>E1245-P1245</f>
        <v>-1.5000000000000013E-2</v>
      </c>
    </row>
    <row r="1246" spans="1:19" x14ac:dyDescent="0.15">
      <c r="A1246" s="1">
        <v>6</v>
      </c>
      <c r="B1246" s="1">
        <v>12</v>
      </c>
      <c r="C1246" s="10">
        <v>0.36069999999999997</v>
      </c>
      <c r="D1246" s="5">
        <v>145</v>
      </c>
      <c r="E1246" s="10">
        <v>0.22509999999999999</v>
      </c>
      <c r="F1246" s="5">
        <v>606</v>
      </c>
      <c r="G1246" s="5">
        <v>40</v>
      </c>
      <c r="I1246" s="40">
        <f t="shared" si="52"/>
        <v>606</v>
      </c>
      <c r="J1246" s="40">
        <f t="shared" si="53"/>
        <v>40</v>
      </c>
      <c r="K1246" s="1">
        <v>571</v>
      </c>
      <c r="L1246" s="1">
        <v>35</v>
      </c>
      <c r="M1246">
        <f t="shared" si="54"/>
        <v>40</v>
      </c>
      <c r="N1246" s="1">
        <v>0.36009999999999998</v>
      </c>
      <c r="O1246" s="1">
        <v>145</v>
      </c>
      <c r="P1246" s="24">
        <v>0.24010000000000001</v>
      </c>
      <c r="Q1246" s="31">
        <f>C1246-N1246</f>
        <v>5.9999999999998943E-4</v>
      </c>
      <c r="R1246" s="41">
        <f>D1246-O1246</f>
        <v>0</v>
      </c>
      <c r="S1246" s="41">
        <f>E1246-P1246</f>
        <v>-1.5000000000000013E-2</v>
      </c>
    </row>
    <row r="1247" spans="1:19" x14ac:dyDescent="0.15">
      <c r="A1247" s="1">
        <v>6</v>
      </c>
      <c r="B1247" s="1">
        <v>12</v>
      </c>
      <c r="C1247" s="10">
        <v>0.36069999999999997</v>
      </c>
      <c r="D1247" s="5">
        <v>145</v>
      </c>
      <c r="E1247" s="10">
        <v>0.2301</v>
      </c>
      <c r="F1247" s="5">
        <v>595</v>
      </c>
      <c r="G1247" s="5">
        <v>38</v>
      </c>
      <c r="I1247" s="40">
        <f t="shared" si="52"/>
        <v>595</v>
      </c>
      <c r="J1247" s="40">
        <f t="shared" si="53"/>
        <v>38</v>
      </c>
      <c r="K1247" s="1">
        <v>551</v>
      </c>
      <c r="L1247" s="1">
        <v>40</v>
      </c>
      <c r="M1247">
        <f t="shared" si="54"/>
        <v>42</v>
      </c>
      <c r="N1247" s="1">
        <v>0.36009999999999998</v>
      </c>
      <c r="O1247" s="1">
        <v>145</v>
      </c>
      <c r="P1247" s="24">
        <v>0.24510000000000001</v>
      </c>
      <c r="Q1247" s="31">
        <f>C1247-N1247</f>
        <v>5.9999999999998943E-4</v>
      </c>
      <c r="R1247" s="41">
        <f>D1247-O1247</f>
        <v>0</v>
      </c>
      <c r="S1247" s="41">
        <f>E1247-P1247</f>
        <v>-1.5000000000000013E-2</v>
      </c>
    </row>
    <row r="1248" spans="1:19" x14ac:dyDescent="0.15">
      <c r="A1248" s="1">
        <v>6</v>
      </c>
      <c r="B1248" s="1">
        <v>12</v>
      </c>
      <c r="C1248" s="10">
        <v>0.36069999999999997</v>
      </c>
      <c r="D1248" s="5">
        <v>145</v>
      </c>
      <c r="E1248" s="10">
        <v>0.2351</v>
      </c>
      <c r="F1248" s="5">
        <v>592</v>
      </c>
      <c r="G1248" s="5">
        <v>40</v>
      </c>
      <c r="I1248" s="40">
        <f t="shared" si="52"/>
        <v>592</v>
      </c>
      <c r="J1248" s="40">
        <f t="shared" si="53"/>
        <v>40</v>
      </c>
      <c r="K1248" s="1">
        <v>625</v>
      </c>
      <c r="L1248" s="1">
        <v>44</v>
      </c>
      <c r="M1248">
        <f t="shared" si="54"/>
        <v>-37</v>
      </c>
      <c r="N1248" s="1">
        <v>0.36009999999999998</v>
      </c>
      <c r="O1248" s="1">
        <v>145</v>
      </c>
      <c r="P1248" s="24">
        <v>0.25009999999999999</v>
      </c>
      <c r="Q1248" s="31">
        <f>C1248-N1248</f>
        <v>5.9999999999998943E-4</v>
      </c>
      <c r="R1248" s="41">
        <f>D1248-O1248</f>
        <v>0</v>
      </c>
      <c r="S1248" s="41">
        <f>E1248-P1248</f>
        <v>-1.4999999999999986E-2</v>
      </c>
    </row>
    <row r="1249" spans="1:19" x14ac:dyDescent="0.15">
      <c r="A1249" s="1">
        <v>6</v>
      </c>
      <c r="B1249" s="1">
        <v>12</v>
      </c>
      <c r="C1249" s="10">
        <v>0.36069999999999997</v>
      </c>
      <c r="D1249" s="5">
        <v>145</v>
      </c>
      <c r="E1249" s="10">
        <v>0.24010000000000001</v>
      </c>
      <c r="F1249" s="5">
        <v>571</v>
      </c>
      <c r="G1249" s="5">
        <v>35</v>
      </c>
      <c r="I1249" s="40">
        <f t="shared" si="52"/>
        <v>571</v>
      </c>
      <c r="J1249" s="40">
        <f t="shared" si="53"/>
        <v>35</v>
      </c>
      <c r="K1249" s="1">
        <v>639</v>
      </c>
      <c r="L1249" s="1">
        <v>44</v>
      </c>
      <c r="M1249">
        <f t="shared" si="54"/>
        <v>-77</v>
      </c>
      <c r="N1249" s="1">
        <v>0.36009999999999998</v>
      </c>
      <c r="O1249" s="1">
        <v>145</v>
      </c>
      <c r="P1249" s="24">
        <v>0.25509999999999999</v>
      </c>
      <c r="Q1249" s="31">
        <f>C1249-N1249</f>
        <v>5.9999999999998943E-4</v>
      </c>
      <c r="R1249" s="41">
        <f>D1249-O1249</f>
        <v>0</v>
      </c>
      <c r="S1249" s="41">
        <f>E1249-P1249</f>
        <v>-1.4999999999999986E-2</v>
      </c>
    </row>
    <row r="1250" spans="1:19" ht="14" thickBot="1" x14ac:dyDescent="0.2">
      <c r="A1250" s="1">
        <v>6</v>
      </c>
      <c r="B1250" s="1">
        <v>12</v>
      </c>
      <c r="C1250" s="10">
        <v>0.36069999999999997</v>
      </c>
      <c r="D1250" s="5">
        <v>145</v>
      </c>
      <c r="E1250" s="10">
        <v>0.24509999999999998</v>
      </c>
      <c r="F1250" s="5">
        <v>551</v>
      </c>
      <c r="G1250" s="5">
        <v>40</v>
      </c>
      <c r="I1250" s="40">
        <f t="shared" si="52"/>
        <v>551</v>
      </c>
      <c r="J1250" s="40">
        <f t="shared" si="53"/>
        <v>40</v>
      </c>
      <c r="K1250" s="1">
        <v>697</v>
      </c>
      <c r="L1250" s="1">
        <v>48</v>
      </c>
      <c r="M1250">
        <f t="shared" si="54"/>
        <v>-154</v>
      </c>
      <c r="N1250" s="1">
        <v>0.36009999999999998</v>
      </c>
      <c r="O1250" s="1">
        <v>145</v>
      </c>
      <c r="P1250" s="44">
        <v>0.2601</v>
      </c>
      <c r="Q1250" s="31">
        <f>C1250-N1250</f>
        <v>5.9999999999998943E-4</v>
      </c>
      <c r="R1250" s="41">
        <f>D1250-O1250</f>
        <v>0</v>
      </c>
      <c r="S1250" s="41">
        <f>E1250-P1250</f>
        <v>-1.5000000000000013E-2</v>
      </c>
    </row>
    <row r="1251" spans="1:19" ht="14" thickTop="1" x14ac:dyDescent="0.15">
      <c r="A1251" s="1">
        <v>6</v>
      </c>
      <c r="B1251" s="1">
        <v>12</v>
      </c>
      <c r="C1251" s="10">
        <v>0.36069999999999997</v>
      </c>
      <c r="D1251" s="5">
        <v>145</v>
      </c>
      <c r="E1251" s="10">
        <v>0.25009999999999999</v>
      </c>
      <c r="F1251" s="5">
        <v>625</v>
      </c>
      <c r="G1251" s="5">
        <v>44</v>
      </c>
      <c r="I1251" s="40">
        <f t="shared" si="52"/>
        <v>625</v>
      </c>
      <c r="J1251" s="40">
        <f t="shared" si="53"/>
        <v>44</v>
      </c>
      <c r="K1251" s="1">
        <v>6</v>
      </c>
      <c r="L1251" s="1">
        <v>2</v>
      </c>
      <c r="M1251">
        <f t="shared" si="54"/>
        <v>661</v>
      </c>
      <c r="N1251" s="1">
        <v>0.3201</v>
      </c>
      <c r="O1251" s="1">
        <v>145</v>
      </c>
      <c r="P1251" s="24">
        <v>3.0099999999999998E-2</v>
      </c>
      <c r="Q1251" s="31">
        <f>C1251-N1251</f>
        <v>4.0599999999999969E-2</v>
      </c>
      <c r="R1251" s="41">
        <f>D1251-O1251</f>
        <v>0</v>
      </c>
      <c r="S1251" s="41">
        <f>E1251-P1251</f>
        <v>0.22</v>
      </c>
    </row>
    <row r="1252" spans="1:19" x14ac:dyDescent="0.15">
      <c r="A1252" s="1">
        <v>6</v>
      </c>
      <c r="B1252" s="1">
        <v>12</v>
      </c>
      <c r="C1252" s="10">
        <v>0.36069999999999997</v>
      </c>
      <c r="D1252" s="5">
        <v>145</v>
      </c>
      <c r="E1252" s="10">
        <v>0.25509999999999999</v>
      </c>
      <c r="F1252" s="5">
        <v>639</v>
      </c>
      <c r="G1252" s="5">
        <v>44</v>
      </c>
      <c r="I1252" s="40">
        <f t="shared" si="52"/>
        <v>639</v>
      </c>
      <c r="J1252" s="40">
        <f t="shared" si="53"/>
        <v>44</v>
      </c>
      <c r="K1252" s="1">
        <v>52</v>
      </c>
      <c r="L1252" s="1">
        <v>3</v>
      </c>
      <c r="M1252">
        <f t="shared" si="54"/>
        <v>628</v>
      </c>
      <c r="N1252" s="1">
        <v>0.3201</v>
      </c>
      <c r="O1252" s="1">
        <v>145</v>
      </c>
      <c r="P1252" s="24">
        <v>3.5099999999999999E-2</v>
      </c>
      <c r="Q1252" s="31">
        <f>C1252-N1252</f>
        <v>4.0599999999999969E-2</v>
      </c>
      <c r="R1252" s="41">
        <f>D1252-O1252</f>
        <v>0</v>
      </c>
      <c r="S1252" s="41">
        <f>E1252-P1252</f>
        <v>0.22</v>
      </c>
    </row>
    <row r="1253" spans="1:19" x14ac:dyDescent="0.15">
      <c r="A1253" s="1">
        <v>6</v>
      </c>
      <c r="B1253" s="1">
        <v>12</v>
      </c>
      <c r="C1253" s="10">
        <v>0.36069999999999997</v>
      </c>
      <c r="D1253" s="5">
        <v>145</v>
      </c>
      <c r="E1253" s="10">
        <v>0.2601</v>
      </c>
      <c r="F1253" s="5">
        <v>697</v>
      </c>
      <c r="G1253" s="5">
        <v>48</v>
      </c>
      <c r="I1253" s="40">
        <f t="shared" si="52"/>
        <v>697</v>
      </c>
      <c r="J1253" s="40">
        <f t="shared" si="53"/>
        <v>48</v>
      </c>
      <c r="K1253" s="1">
        <v>51</v>
      </c>
      <c r="L1253" s="1">
        <v>4</v>
      </c>
      <c r="M1253">
        <f t="shared" si="54"/>
        <v>690</v>
      </c>
      <c r="N1253" s="1">
        <v>0.3201</v>
      </c>
      <c r="O1253" s="1">
        <v>145</v>
      </c>
      <c r="P1253" s="24">
        <v>4.0099999999999997E-2</v>
      </c>
      <c r="Q1253" s="31">
        <f>C1253-N1253</f>
        <v>4.0599999999999969E-2</v>
      </c>
      <c r="R1253" s="41">
        <f>D1253-O1253</f>
        <v>0</v>
      </c>
      <c r="S1253" s="41">
        <f>E1253-P1253</f>
        <v>0.22</v>
      </c>
    </row>
    <row r="1254" spans="1:19" x14ac:dyDescent="0.15">
      <c r="A1254" s="1">
        <v>6</v>
      </c>
      <c r="B1254" s="1">
        <v>12</v>
      </c>
      <c r="C1254" s="10">
        <v>0.3201</v>
      </c>
      <c r="D1254" s="5">
        <v>145</v>
      </c>
      <c r="E1254" s="10">
        <v>3.0100000000000002E-2</v>
      </c>
      <c r="F1254" s="5">
        <v>6</v>
      </c>
      <c r="G1254" s="5">
        <v>2</v>
      </c>
      <c r="I1254" s="40">
        <f t="shared" si="52"/>
        <v>6</v>
      </c>
      <c r="J1254" s="40">
        <f t="shared" si="53"/>
        <v>2</v>
      </c>
      <c r="K1254" s="1">
        <v>81</v>
      </c>
      <c r="L1254" s="1">
        <v>7</v>
      </c>
      <c r="M1254">
        <f t="shared" si="54"/>
        <v>-80</v>
      </c>
      <c r="N1254" s="1">
        <v>0.3201</v>
      </c>
      <c r="O1254" s="1">
        <v>145</v>
      </c>
      <c r="P1254" s="24">
        <v>4.5100000000000001E-2</v>
      </c>
      <c r="Q1254" s="31">
        <f>C1254-N1254</f>
        <v>0</v>
      </c>
      <c r="R1254" s="41">
        <f>D1254-O1254</f>
        <v>0</v>
      </c>
      <c r="S1254" s="41">
        <f>E1254-P1254</f>
        <v>-1.4999999999999999E-2</v>
      </c>
    </row>
    <row r="1255" spans="1:19" x14ac:dyDescent="0.15">
      <c r="A1255" s="1">
        <v>6</v>
      </c>
      <c r="B1255" s="1">
        <v>12</v>
      </c>
      <c r="C1255" s="10">
        <v>0.3201</v>
      </c>
      <c r="D1255" s="5">
        <v>145</v>
      </c>
      <c r="E1255" s="10">
        <v>3.5099999999999999E-2</v>
      </c>
      <c r="F1255" s="5">
        <v>52</v>
      </c>
      <c r="G1255" s="5">
        <v>3</v>
      </c>
      <c r="I1255" s="40">
        <f t="shared" si="52"/>
        <v>52</v>
      </c>
      <c r="J1255" s="40">
        <f t="shared" si="53"/>
        <v>3</v>
      </c>
      <c r="K1255" s="1">
        <v>110</v>
      </c>
      <c r="L1255" s="1">
        <v>7</v>
      </c>
      <c r="M1255">
        <f t="shared" si="54"/>
        <v>-62</v>
      </c>
      <c r="N1255" s="1">
        <v>0.3201</v>
      </c>
      <c r="O1255" s="1">
        <v>145</v>
      </c>
      <c r="P1255" s="24">
        <v>5.0099999999999999E-2</v>
      </c>
      <c r="Q1255" s="31">
        <f>C1255-N1255</f>
        <v>0</v>
      </c>
      <c r="R1255" s="41">
        <f>D1255-O1255</f>
        <v>0</v>
      </c>
      <c r="S1255" s="41">
        <f>E1255-P1255</f>
        <v>-1.4999999999999999E-2</v>
      </c>
    </row>
    <row r="1256" spans="1:19" x14ac:dyDescent="0.15">
      <c r="A1256" s="1">
        <v>6</v>
      </c>
      <c r="B1256" s="1">
        <v>12</v>
      </c>
      <c r="C1256" s="10">
        <v>0.3201</v>
      </c>
      <c r="D1256" s="5">
        <v>145</v>
      </c>
      <c r="E1256" s="10">
        <v>4.0100000000000004E-2</v>
      </c>
      <c r="F1256" s="5">
        <v>51</v>
      </c>
      <c r="G1256" s="5">
        <v>4</v>
      </c>
      <c r="I1256" s="40">
        <f t="shared" si="52"/>
        <v>51</v>
      </c>
      <c r="J1256" s="40">
        <f t="shared" si="53"/>
        <v>4</v>
      </c>
      <c r="K1256" s="1">
        <v>150</v>
      </c>
      <c r="L1256" s="1">
        <v>10</v>
      </c>
      <c r="M1256">
        <f t="shared" si="54"/>
        <v>-105</v>
      </c>
      <c r="N1256" s="1">
        <v>0.3201</v>
      </c>
      <c r="O1256" s="1">
        <v>145</v>
      </c>
      <c r="P1256" s="24">
        <v>5.5100000000000003E-2</v>
      </c>
      <c r="Q1256" s="31">
        <f>C1256-N1256</f>
        <v>0</v>
      </c>
      <c r="R1256" s="41">
        <f>D1256-O1256</f>
        <v>0</v>
      </c>
      <c r="S1256" s="41">
        <f>E1256-P1256</f>
        <v>-1.4999999999999999E-2</v>
      </c>
    </row>
    <row r="1257" spans="1:19" x14ac:dyDescent="0.15">
      <c r="A1257" s="1">
        <v>6</v>
      </c>
      <c r="B1257" s="1">
        <v>12</v>
      </c>
      <c r="C1257" s="10">
        <v>0.3201</v>
      </c>
      <c r="D1257" s="5">
        <v>145</v>
      </c>
      <c r="E1257" s="10">
        <v>4.5100000000000001E-2</v>
      </c>
      <c r="F1257" s="5">
        <v>81</v>
      </c>
      <c r="G1257" s="5">
        <v>7</v>
      </c>
      <c r="I1257" s="40">
        <f t="shared" si="52"/>
        <v>81</v>
      </c>
      <c r="J1257" s="40">
        <f t="shared" si="53"/>
        <v>7</v>
      </c>
      <c r="K1257" s="1">
        <v>210</v>
      </c>
      <c r="L1257" s="1">
        <v>12</v>
      </c>
      <c r="M1257">
        <f t="shared" si="54"/>
        <v>-134</v>
      </c>
      <c r="N1257" s="1">
        <v>0.3201</v>
      </c>
      <c r="O1257" s="1">
        <v>145</v>
      </c>
      <c r="P1257" s="24">
        <v>6.0100000000000001E-2</v>
      </c>
      <c r="Q1257" s="31">
        <f>C1257-N1257</f>
        <v>0</v>
      </c>
      <c r="R1257" s="41">
        <f>D1257-O1257</f>
        <v>0</v>
      </c>
      <c r="S1257" s="41">
        <f>E1257-P1257</f>
        <v>-1.4999999999999999E-2</v>
      </c>
    </row>
    <row r="1258" spans="1:19" x14ac:dyDescent="0.15">
      <c r="A1258" s="1">
        <v>6</v>
      </c>
      <c r="B1258" s="1">
        <v>12</v>
      </c>
      <c r="C1258" s="10">
        <v>0.3201</v>
      </c>
      <c r="D1258" s="5">
        <v>145</v>
      </c>
      <c r="E1258" s="10">
        <v>5.0099999999999999E-2</v>
      </c>
      <c r="F1258" s="5">
        <v>110</v>
      </c>
      <c r="G1258" s="5">
        <v>7</v>
      </c>
      <c r="I1258" s="40">
        <f t="shared" si="52"/>
        <v>110</v>
      </c>
      <c r="J1258" s="40">
        <f t="shared" si="53"/>
        <v>7</v>
      </c>
      <c r="K1258" s="1">
        <v>260</v>
      </c>
      <c r="L1258" s="1">
        <v>12</v>
      </c>
      <c r="M1258">
        <f t="shared" si="54"/>
        <v>-155</v>
      </c>
      <c r="N1258" s="1">
        <v>0.3201</v>
      </c>
      <c r="O1258" s="1">
        <v>145</v>
      </c>
      <c r="P1258" s="24">
        <v>6.5100000000000005E-2</v>
      </c>
      <c r="Q1258" s="31">
        <f>C1258-N1258</f>
        <v>0</v>
      </c>
      <c r="R1258" s="41">
        <f>D1258-O1258</f>
        <v>0</v>
      </c>
      <c r="S1258" s="41">
        <f>E1258-P1258</f>
        <v>-1.5000000000000006E-2</v>
      </c>
    </row>
    <row r="1259" spans="1:19" x14ac:dyDescent="0.15">
      <c r="A1259" s="1">
        <v>6</v>
      </c>
      <c r="B1259" s="1">
        <v>12</v>
      </c>
      <c r="C1259" s="10">
        <v>0.3201</v>
      </c>
      <c r="D1259" s="5">
        <v>145</v>
      </c>
      <c r="E1259" s="10">
        <v>5.5100000000000003E-2</v>
      </c>
      <c r="F1259" s="5">
        <v>150</v>
      </c>
      <c r="G1259" s="5">
        <v>10</v>
      </c>
      <c r="I1259" s="40">
        <f t="shared" si="52"/>
        <v>150</v>
      </c>
      <c r="J1259" s="40">
        <f t="shared" si="53"/>
        <v>10</v>
      </c>
      <c r="K1259" s="1">
        <v>323</v>
      </c>
      <c r="L1259" s="1">
        <v>14</v>
      </c>
      <c r="M1259">
        <f t="shared" si="54"/>
        <v>-177</v>
      </c>
      <c r="N1259" s="1">
        <v>0.3201</v>
      </c>
      <c r="O1259" s="1">
        <v>145</v>
      </c>
      <c r="P1259" s="24">
        <v>7.0099999999999996E-2</v>
      </c>
      <c r="Q1259" s="31">
        <f>C1259-N1259</f>
        <v>0</v>
      </c>
      <c r="R1259" s="41">
        <f>D1259-O1259</f>
        <v>0</v>
      </c>
      <c r="S1259" s="41">
        <f>E1259-P1259</f>
        <v>-1.4999999999999993E-2</v>
      </c>
    </row>
    <row r="1260" spans="1:19" x14ac:dyDescent="0.15">
      <c r="A1260" s="1">
        <v>6</v>
      </c>
      <c r="B1260" s="1">
        <v>12</v>
      </c>
      <c r="C1260" s="10">
        <v>0.3201</v>
      </c>
      <c r="D1260" s="5">
        <v>145</v>
      </c>
      <c r="E1260" s="10">
        <v>6.0100000000000001E-2</v>
      </c>
      <c r="F1260" s="5">
        <v>210</v>
      </c>
      <c r="G1260" s="5">
        <v>12</v>
      </c>
      <c r="I1260" s="40">
        <f t="shared" si="52"/>
        <v>210</v>
      </c>
      <c r="J1260" s="40">
        <f t="shared" si="53"/>
        <v>12</v>
      </c>
      <c r="K1260" s="1">
        <v>427</v>
      </c>
      <c r="L1260" s="1">
        <v>20</v>
      </c>
      <c r="M1260">
        <f t="shared" si="54"/>
        <v>-225</v>
      </c>
      <c r="N1260" s="1">
        <v>0.3201</v>
      </c>
      <c r="O1260" s="1">
        <v>145</v>
      </c>
      <c r="P1260" s="24">
        <v>7.51E-2</v>
      </c>
      <c r="Q1260" s="31">
        <f>C1260-N1260</f>
        <v>0</v>
      </c>
      <c r="R1260" s="41">
        <f>D1260-O1260</f>
        <v>0</v>
      </c>
      <c r="S1260" s="41">
        <f>E1260-P1260</f>
        <v>-1.4999999999999999E-2</v>
      </c>
    </row>
    <row r="1261" spans="1:19" x14ac:dyDescent="0.15">
      <c r="A1261" s="1">
        <v>6</v>
      </c>
      <c r="B1261" s="1">
        <v>12</v>
      </c>
      <c r="C1261" s="10">
        <v>0.3201</v>
      </c>
      <c r="D1261" s="5">
        <v>145</v>
      </c>
      <c r="E1261" s="10">
        <v>6.5099999999999991E-2</v>
      </c>
      <c r="F1261" s="5">
        <v>260</v>
      </c>
      <c r="G1261" s="5">
        <v>12</v>
      </c>
      <c r="I1261" s="40">
        <f t="shared" si="52"/>
        <v>260</v>
      </c>
      <c r="J1261" s="40">
        <f t="shared" si="53"/>
        <v>12</v>
      </c>
      <c r="K1261" s="1">
        <v>456</v>
      </c>
      <c r="L1261" s="1">
        <v>20</v>
      </c>
      <c r="M1261">
        <f t="shared" si="54"/>
        <v>-204</v>
      </c>
      <c r="N1261" s="1">
        <v>0.3201</v>
      </c>
      <c r="O1261" s="1">
        <v>145</v>
      </c>
      <c r="P1261" s="24">
        <v>8.0100000000000005E-2</v>
      </c>
      <c r="Q1261" s="31">
        <f>C1261-N1261</f>
        <v>0</v>
      </c>
      <c r="R1261" s="41">
        <f>D1261-O1261</f>
        <v>0</v>
      </c>
      <c r="S1261" s="41">
        <f>E1261-P1261</f>
        <v>-1.5000000000000013E-2</v>
      </c>
    </row>
    <row r="1262" spans="1:19" x14ac:dyDescent="0.15">
      <c r="A1262" s="1">
        <v>6</v>
      </c>
      <c r="B1262" s="1">
        <v>12</v>
      </c>
      <c r="C1262" s="10">
        <v>0.3201</v>
      </c>
      <c r="D1262" s="5">
        <v>145</v>
      </c>
      <c r="E1262" s="10">
        <v>7.0099999999999996E-2</v>
      </c>
      <c r="F1262" s="5">
        <v>323</v>
      </c>
      <c r="G1262" s="5">
        <v>14</v>
      </c>
      <c r="I1262" s="40">
        <f t="shared" si="52"/>
        <v>323</v>
      </c>
      <c r="J1262" s="40">
        <f t="shared" si="53"/>
        <v>14</v>
      </c>
      <c r="K1262" s="1">
        <v>560</v>
      </c>
      <c r="L1262" s="1">
        <v>21</v>
      </c>
      <c r="M1262">
        <f t="shared" si="54"/>
        <v>-244</v>
      </c>
      <c r="N1262" s="1">
        <v>0.3201</v>
      </c>
      <c r="O1262" s="1">
        <v>145</v>
      </c>
      <c r="P1262" s="24">
        <v>8.5099999999999995E-2</v>
      </c>
      <c r="Q1262" s="31">
        <f>C1262-N1262</f>
        <v>0</v>
      </c>
      <c r="R1262" s="41">
        <f>D1262-O1262</f>
        <v>0</v>
      </c>
      <c r="S1262" s="41">
        <f>E1262-P1262</f>
        <v>-1.4999999999999999E-2</v>
      </c>
    </row>
    <row r="1263" spans="1:19" x14ac:dyDescent="0.15">
      <c r="A1263" s="1">
        <v>6</v>
      </c>
      <c r="B1263" s="1">
        <v>12</v>
      </c>
      <c r="C1263" s="10">
        <v>0.3201</v>
      </c>
      <c r="D1263" s="5">
        <v>145</v>
      </c>
      <c r="E1263" s="10">
        <v>7.51E-2</v>
      </c>
      <c r="F1263" s="5">
        <v>427</v>
      </c>
      <c r="G1263" s="5">
        <v>20</v>
      </c>
      <c r="I1263" s="40">
        <f t="shared" si="52"/>
        <v>427</v>
      </c>
      <c r="J1263" s="40">
        <f t="shared" si="53"/>
        <v>20</v>
      </c>
      <c r="K1263" s="1">
        <v>641</v>
      </c>
      <c r="L1263" s="1">
        <v>21</v>
      </c>
      <c r="M1263">
        <f t="shared" si="54"/>
        <v>-215</v>
      </c>
      <c r="N1263" s="1">
        <v>0.3201</v>
      </c>
      <c r="O1263" s="1">
        <v>145</v>
      </c>
      <c r="P1263" s="24">
        <v>9.01E-2</v>
      </c>
      <c r="Q1263" s="31">
        <f>C1263-N1263</f>
        <v>0</v>
      </c>
      <c r="R1263" s="41">
        <f>D1263-O1263</f>
        <v>0</v>
      </c>
      <c r="S1263" s="41">
        <f>E1263-P1263</f>
        <v>-1.4999999999999999E-2</v>
      </c>
    </row>
    <row r="1264" spans="1:19" x14ac:dyDescent="0.15">
      <c r="A1264" s="1">
        <v>6</v>
      </c>
      <c r="B1264" s="1">
        <v>12</v>
      </c>
      <c r="C1264" s="10">
        <v>0.3201</v>
      </c>
      <c r="D1264" s="5">
        <v>145</v>
      </c>
      <c r="E1264" s="10">
        <v>8.0099999999999991E-2</v>
      </c>
      <c r="F1264" s="5">
        <v>456</v>
      </c>
      <c r="G1264" s="5">
        <v>20</v>
      </c>
      <c r="I1264" s="40">
        <f t="shared" si="52"/>
        <v>456</v>
      </c>
      <c r="J1264" s="40">
        <f t="shared" si="53"/>
        <v>20</v>
      </c>
      <c r="K1264" s="1">
        <v>724</v>
      </c>
      <c r="L1264" s="1">
        <v>27</v>
      </c>
      <c r="M1264">
        <f t="shared" si="54"/>
        <v>-275</v>
      </c>
      <c r="N1264" s="1">
        <v>0.3201</v>
      </c>
      <c r="O1264" s="1">
        <v>145</v>
      </c>
      <c r="P1264" s="24">
        <v>9.5100000000000004E-2</v>
      </c>
      <c r="Q1264" s="31">
        <f>C1264-N1264</f>
        <v>0</v>
      </c>
      <c r="R1264" s="41">
        <f>D1264-O1264</f>
        <v>0</v>
      </c>
      <c r="S1264" s="41">
        <f>E1264-P1264</f>
        <v>-1.5000000000000013E-2</v>
      </c>
    </row>
    <row r="1265" spans="1:19" x14ac:dyDescent="0.15">
      <c r="A1265" s="1">
        <v>6</v>
      </c>
      <c r="B1265" s="1">
        <v>12</v>
      </c>
      <c r="C1265" s="10">
        <v>0.3201</v>
      </c>
      <c r="D1265" s="5">
        <v>145</v>
      </c>
      <c r="E1265" s="10">
        <v>8.5099999999999995E-2</v>
      </c>
      <c r="F1265" s="5">
        <v>560</v>
      </c>
      <c r="G1265" s="5">
        <v>21</v>
      </c>
      <c r="I1265" s="40">
        <f t="shared" si="52"/>
        <v>560</v>
      </c>
      <c r="J1265" s="40">
        <f t="shared" si="53"/>
        <v>21</v>
      </c>
      <c r="K1265" s="1">
        <v>851</v>
      </c>
      <c r="L1265" s="1">
        <v>35</v>
      </c>
      <c r="M1265">
        <f t="shared" si="54"/>
        <v>-305</v>
      </c>
      <c r="N1265" s="1">
        <v>0.3201</v>
      </c>
      <c r="O1265" s="1">
        <v>145</v>
      </c>
      <c r="P1265" s="24">
        <v>0.10009999999999999</v>
      </c>
      <c r="Q1265" s="31">
        <f>C1265-N1265</f>
        <v>0</v>
      </c>
      <c r="R1265" s="41">
        <f>D1265-O1265</f>
        <v>0</v>
      </c>
      <c r="S1265" s="41">
        <f>E1265-P1265</f>
        <v>-1.4999999999999999E-2</v>
      </c>
    </row>
    <row r="1266" spans="1:19" x14ac:dyDescent="0.15">
      <c r="A1266" s="1">
        <v>6</v>
      </c>
      <c r="B1266" s="1">
        <v>12</v>
      </c>
      <c r="C1266" s="10">
        <v>0.3201</v>
      </c>
      <c r="D1266" s="5">
        <v>145</v>
      </c>
      <c r="E1266" s="10">
        <v>9.01E-2</v>
      </c>
      <c r="F1266" s="5">
        <v>641</v>
      </c>
      <c r="G1266" s="5">
        <v>21</v>
      </c>
      <c r="I1266" s="40">
        <f t="shared" si="52"/>
        <v>641</v>
      </c>
      <c r="J1266" s="40">
        <f t="shared" si="53"/>
        <v>21</v>
      </c>
      <c r="K1266" s="1">
        <v>924</v>
      </c>
      <c r="L1266" s="1">
        <v>36</v>
      </c>
      <c r="M1266">
        <f t="shared" si="54"/>
        <v>-298</v>
      </c>
      <c r="N1266" s="1">
        <v>0.3201</v>
      </c>
      <c r="O1266" s="1">
        <v>145</v>
      </c>
      <c r="P1266" s="24">
        <v>0.1051</v>
      </c>
      <c r="Q1266" s="31">
        <f>C1266-N1266</f>
        <v>0</v>
      </c>
      <c r="R1266" s="41">
        <f>D1266-O1266</f>
        <v>0</v>
      </c>
      <c r="S1266" s="41">
        <f>E1266-P1266</f>
        <v>-1.4999999999999999E-2</v>
      </c>
    </row>
    <row r="1267" spans="1:19" x14ac:dyDescent="0.15">
      <c r="A1267" s="1">
        <v>6</v>
      </c>
      <c r="B1267" s="1">
        <v>12</v>
      </c>
      <c r="C1267" s="10">
        <v>0.3201</v>
      </c>
      <c r="D1267" s="5">
        <v>145</v>
      </c>
      <c r="E1267" s="10">
        <v>9.509999999999999E-2</v>
      </c>
      <c r="F1267" s="5">
        <v>724</v>
      </c>
      <c r="G1267" s="5">
        <v>27</v>
      </c>
      <c r="I1267" s="40">
        <f t="shared" si="52"/>
        <v>724</v>
      </c>
      <c r="J1267" s="40">
        <f t="shared" si="53"/>
        <v>27</v>
      </c>
      <c r="K1267" s="1">
        <v>1016</v>
      </c>
      <c r="L1267" s="1">
        <v>45</v>
      </c>
      <c r="M1267">
        <f t="shared" si="54"/>
        <v>-310</v>
      </c>
      <c r="N1267" s="1">
        <v>0.3201</v>
      </c>
      <c r="O1267" s="1">
        <v>145</v>
      </c>
      <c r="P1267" s="24">
        <v>0.1101</v>
      </c>
      <c r="Q1267" s="31">
        <f>C1267-N1267</f>
        <v>0</v>
      </c>
      <c r="R1267" s="41">
        <f>D1267-O1267</f>
        <v>0</v>
      </c>
      <c r="S1267" s="41">
        <f>E1267-P1267</f>
        <v>-1.5000000000000013E-2</v>
      </c>
    </row>
    <row r="1268" spans="1:19" x14ac:dyDescent="0.15">
      <c r="A1268" s="1">
        <v>6</v>
      </c>
      <c r="B1268" s="1">
        <v>12</v>
      </c>
      <c r="C1268" s="10">
        <v>0.3201</v>
      </c>
      <c r="D1268" s="5">
        <v>145</v>
      </c>
      <c r="E1268" s="10">
        <v>0.10009999999999999</v>
      </c>
      <c r="F1268" s="5">
        <v>851</v>
      </c>
      <c r="G1268" s="5">
        <v>35</v>
      </c>
      <c r="I1268" s="40">
        <f t="shared" si="52"/>
        <v>851</v>
      </c>
      <c r="J1268" s="40">
        <f t="shared" si="53"/>
        <v>35</v>
      </c>
      <c r="K1268" s="1">
        <v>1074</v>
      </c>
      <c r="L1268" s="1">
        <v>41</v>
      </c>
      <c r="M1268">
        <f t="shared" si="54"/>
        <v>-229</v>
      </c>
      <c r="N1268" s="1">
        <v>0.3201</v>
      </c>
      <c r="O1268" s="1">
        <v>145</v>
      </c>
      <c r="P1268" s="24">
        <v>0.11509999999999999</v>
      </c>
      <c r="Q1268" s="31">
        <f>C1268-N1268</f>
        <v>0</v>
      </c>
      <c r="R1268" s="41">
        <f>D1268-O1268</f>
        <v>0</v>
      </c>
      <c r="S1268" s="41">
        <f>E1268-P1268</f>
        <v>-1.4999999999999999E-2</v>
      </c>
    </row>
    <row r="1269" spans="1:19" x14ac:dyDescent="0.15">
      <c r="A1269" s="1">
        <v>6</v>
      </c>
      <c r="B1269" s="1">
        <v>12</v>
      </c>
      <c r="C1269" s="10">
        <v>0.3201</v>
      </c>
      <c r="D1269" s="5">
        <v>145</v>
      </c>
      <c r="E1269" s="10">
        <v>0.1051</v>
      </c>
      <c r="F1269" s="5">
        <v>924</v>
      </c>
      <c r="G1269" s="5">
        <v>36</v>
      </c>
      <c r="I1269" s="40">
        <f t="shared" si="52"/>
        <v>924</v>
      </c>
      <c r="J1269" s="40">
        <f t="shared" si="53"/>
        <v>36</v>
      </c>
      <c r="K1269" s="1">
        <v>1237</v>
      </c>
      <c r="L1269" s="1">
        <v>47</v>
      </c>
      <c r="M1269">
        <f t="shared" si="54"/>
        <v>-324</v>
      </c>
      <c r="N1269" s="1">
        <v>0.3201</v>
      </c>
      <c r="O1269" s="1">
        <v>145</v>
      </c>
      <c r="P1269" s="24">
        <v>0.1201</v>
      </c>
      <c r="Q1269" s="31">
        <f>C1269-N1269</f>
        <v>0</v>
      </c>
      <c r="R1269" s="41">
        <f>D1269-O1269</f>
        <v>0</v>
      </c>
      <c r="S1269" s="41">
        <f>E1269-P1269</f>
        <v>-1.4999999999999999E-2</v>
      </c>
    </row>
    <row r="1270" spans="1:19" x14ac:dyDescent="0.15">
      <c r="A1270" s="1">
        <v>6</v>
      </c>
      <c r="B1270" s="1">
        <v>12</v>
      </c>
      <c r="C1270" s="10">
        <v>0.3201</v>
      </c>
      <c r="D1270" s="5">
        <v>145</v>
      </c>
      <c r="E1270" s="10">
        <v>0.11009999999999999</v>
      </c>
      <c r="F1270" s="5">
        <v>1046</v>
      </c>
      <c r="G1270" s="5">
        <v>45</v>
      </c>
      <c r="I1270" s="40">
        <f t="shared" si="52"/>
        <v>1046</v>
      </c>
      <c r="J1270" s="40">
        <f t="shared" si="53"/>
        <v>45</v>
      </c>
      <c r="K1270" s="1">
        <v>1230</v>
      </c>
      <c r="L1270" s="1">
        <v>55</v>
      </c>
      <c r="M1270">
        <f t="shared" si="54"/>
        <v>-194</v>
      </c>
      <c r="N1270" s="1">
        <v>0.3201</v>
      </c>
      <c r="O1270" s="1">
        <v>145</v>
      </c>
      <c r="P1270" s="24">
        <v>0.12509999999999999</v>
      </c>
      <c r="Q1270" s="31">
        <f>C1270-N1270</f>
        <v>0</v>
      </c>
      <c r="R1270" s="41">
        <f>D1270-O1270</f>
        <v>0</v>
      </c>
      <c r="S1270" s="41">
        <f>E1270-P1270</f>
        <v>-1.4999999999999999E-2</v>
      </c>
    </row>
    <row r="1271" spans="1:19" x14ac:dyDescent="0.15">
      <c r="A1271" s="1">
        <v>6</v>
      </c>
      <c r="B1271" s="1">
        <v>12</v>
      </c>
      <c r="C1271" s="10">
        <v>0.3201</v>
      </c>
      <c r="D1271" s="5">
        <v>145</v>
      </c>
      <c r="E1271" s="10">
        <v>0.11509999999999999</v>
      </c>
      <c r="F1271" s="5">
        <v>1074</v>
      </c>
      <c r="G1271" s="5">
        <v>41</v>
      </c>
      <c r="I1271" s="40">
        <f t="shared" si="52"/>
        <v>1074</v>
      </c>
      <c r="J1271" s="40">
        <f t="shared" si="53"/>
        <v>41</v>
      </c>
      <c r="K1271" s="1">
        <v>1300</v>
      </c>
      <c r="L1271" s="1">
        <v>51</v>
      </c>
      <c r="M1271">
        <f t="shared" si="54"/>
        <v>-236</v>
      </c>
      <c r="N1271" s="1">
        <v>0.3201</v>
      </c>
      <c r="O1271" s="1">
        <v>145</v>
      </c>
      <c r="P1271" s="24">
        <v>0.13009999999999999</v>
      </c>
      <c r="Q1271" s="31">
        <f>C1271-N1271</f>
        <v>0</v>
      </c>
      <c r="R1271" s="41">
        <f>D1271-O1271</f>
        <v>0</v>
      </c>
      <c r="S1271" s="41">
        <f>E1271-P1271</f>
        <v>-1.4999999999999999E-2</v>
      </c>
    </row>
    <row r="1272" spans="1:19" x14ac:dyDescent="0.15">
      <c r="A1272" s="1">
        <v>6</v>
      </c>
      <c r="B1272" s="1">
        <v>12</v>
      </c>
      <c r="C1272" s="10">
        <v>0.3201</v>
      </c>
      <c r="D1272" s="5">
        <v>145</v>
      </c>
      <c r="E1272" s="10">
        <v>0.1201</v>
      </c>
      <c r="F1272" s="5">
        <v>1237</v>
      </c>
      <c r="G1272" s="5">
        <v>47</v>
      </c>
      <c r="I1272" s="40">
        <f t="shared" si="52"/>
        <v>1237</v>
      </c>
      <c r="J1272" s="40">
        <f t="shared" si="53"/>
        <v>47</v>
      </c>
      <c r="K1272" s="1">
        <v>1305</v>
      </c>
      <c r="L1272" s="1">
        <v>46</v>
      </c>
      <c r="M1272">
        <f t="shared" si="54"/>
        <v>-67</v>
      </c>
      <c r="N1272" s="1">
        <v>0.3201</v>
      </c>
      <c r="O1272" s="1">
        <v>145</v>
      </c>
      <c r="P1272" s="24">
        <v>0.1351</v>
      </c>
      <c r="Q1272" s="31">
        <f>C1272-N1272</f>
        <v>0</v>
      </c>
      <c r="R1272" s="41">
        <f>D1272-O1272</f>
        <v>0</v>
      </c>
      <c r="S1272" s="41">
        <f>E1272-P1272</f>
        <v>-1.4999999999999999E-2</v>
      </c>
    </row>
    <row r="1273" spans="1:19" x14ac:dyDescent="0.15">
      <c r="A1273" s="1">
        <v>6</v>
      </c>
      <c r="B1273" s="1">
        <v>12</v>
      </c>
      <c r="C1273" s="10">
        <v>0.3201</v>
      </c>
      <c r="D1273" s="5">
        <v>145</v>
      </c>
      <c r="E1273" s="10">
        <v>0.12509999999999999</v>
      </c>
      <c r="F1273" s="5">
        <v>1230</v>
      </c>
      <c r="G1273" s="5">
        <v>55</v>
      </c>
      <c r="I1273" s="40">
        <f t="shared" ref="I1273:I1336" si="55">F1273</f>
        <v>1230</v>
      </c>
      <c r="J1273" s="40">
        <f t="shared" ref="J1273:J1336" si="56">G1273</f>
        <v>55</v>
      </c>
      <c r="K1273" s="1">
        <v>1388</v>
      </c>
      <c r="L1273" s="1">
        <v>51</v>
      </c>
      <c r="M1273">
        <f t="shared" si="54"/>
        <v>-154</v>
      </c>
      <c r="N1273" s="1">
        <v>0.3201</v>
      </c>
      <c r="O1273" s="1">
        <v>145</v>
      </c>
      <c r="P1273" s="24">
        <v>0.1401</v>
      </c>
      <c r="Q1273" s="31">
        <f>C1273-N1273</f>
        <v>0</v>
      </c>
      <c r="R1273" s="41">
        <f>D1273-O1273</f>
        <v>0</v>
      </c>
      <c r="S1273" s="41">
        <f>E1273-P1273</f>
        <v>-1.5000000000000013E-2</v>
      </c>
    </row>
    <row r="1274" spans="1:19" x14ac:dyDescent="0.15">
      <c r="A1274" s="1">
        <v>6</v>
      </c>
      <c r="B1274" s="1">
        <v>12</v>
      </c>
      <c r="C1274" s="10">
        <v>0.3201</v>
      </c>
      <c r="D1274" s="5">
        <v>145</v>
      </c>
      <c r="E1274" s="10">
        <v>0.13009999999999999</v>
      </c>
      <c r="F1274" s="5">
        <v>1300</v>
      </c>
      <c r="G1274" s="5">
        <v>51</v>
      </c>
      <c r="I1274" s="40">
        <f t="shared" si="55"/>
        <v>1300</v>
      </c>
      <c r="J1274" s="40">
        <f t="shared" si="56"/>
        <v>51</v>
      </c>
      <c r="K1274" s="1">
        <v>1395</v>
      </c>
      <c r="L1274" s="1">
        <v>52</v>
      </c>
      <c r="M1274">
        <f t="shared" si="54"/>
        <v>-96</v>
      </c>
      <c r="N1274" s="1">
        <v>0.3201</v>
      </c>
      <c r="O1274" s="1">
        <v>145</v>
      </c>
      <c r="P1274" s="24">
        <v>0.14510000000000001</v>
      </c>
      <c r="Q1274" s="31">
        <f>C1274-N1274</f>
        <v>0</v>
      </c>
      <c r="R1274" s="41">
        <f>D1274-O1274</f>
        <v>0</v>
      </c>
      <c r="S1274" s="41">
        <f>E1274-P1274</f>
        <v>-1.5000000000000013E-2</v>
      </c>
    </row>
    <row r="1275" spans="1:19" x14ac:dyDescent="0.15">
      <c r="A1275" s="1">
        <v>6</v>
      </c>
      <c r="B1275" s="1">
        <v>12</v>
      </c>
      <c r="C1275" s="10">
        <v>0.3201</v>
      </c>
      <c r="D1275" s="5">
        <v>145</v>
      </c>
      <c r="E1275" s="10">
        <v>0.1351</v>
      </c>
      <c r="F1275" s="5">
        <v>1305</v>
      </c>
      <c r="G1275" s="5">
        <v>46</v>
      </c>
      <c r="I1275" s="40">
        <f t="shared" si="55"/>
        <v>1305</v>
      </c>
      <c r="J1275" s="40">
        <f t="shared" si="56"/>
        <v>46</v>
      </c>
      <c r="K1275" s="1">
        <v>1357</v>
      </c>
      <c r="L1275" s="1">
        <v>54</v>
      </c>
      <c r="M1275">
        <f t="shared" si="54"/>
        <v>-60</v>
      </c>
      <c r="N1275" s="1">
        <v>0.3201</v>
      </c>
      <c r="O1275" s="1">
        <v>145</v>
      </c>
      <c r="P1275" s="24">
        <v>0.15010000000000001</v>
      </c>
      <c r="Q1275" s="31">
        <f>C1275-N1275</f>
        <v>0</v>
      </c>
      <c r="R1275" s="41">
        <f>D1275-O1275</f>
        <v>0</v>
      </c>
      <c r="S1275" s="41">
        <f>E1275-P1275</f>
        <v>-1.5000000000000013E-2</v>
      </c>
    </row>
    <row r="1276" spans="1:19" x14ac:dyDescent="0.15">
      <c r="A1276" s="1">
        <v>6</v>
      </c>
      <c r="B1276" s="1">
        <v>12</v>
      </c>
      <c r="C1276" s="10">
        <v>0.3201</v>
      </c>
      <c r="D1276" s="5">
        <v>145</v>
      </c>
      <c r="E1276" s="10">
        <v>0.1401</v>
      </c>
      <c r="F1276" s="5">
        <v>1388</v>
      </c>
      <c r="G1276" s="5">
        <v>51</v>
      </c>
      <c r="I1276" s="40">
        <f t="shared" si="55"/>
        <v>1388</v>
      </c>
      <c r="J1276" s="40">
        <f t="shared" si="56"/>
        <v>51</v>
      </c>
      <c r="K1276" s="1">
        <v>1324</v>
      </c>
      <c r="L1276" s="1">
        <v>53</v>
      </c>
      <c r="M1276">
        <f t="shared" si="54"/>
        <v>62</v>
      </c>
      <c r="N1276" s="1">
        <v>0.3201</v>
      </c>
      <c r="O1276" s="1">
        <v>145</v>
      </c>
      <c r="P1276" s="24">
        <v>0.15509999999999999</v>
      </c>
      <c r="Q1276" s="31">
        <f>C1276-N1276</f>
        <v>0</v>
      </c>
      <c r="R1276" s="41">
        <f>D1276-O1276</f>
        <v>0</v>
      </c>
      <c r="S1276" s="41">
        <f>E1276-P1276</f>
        <v>-1.4999999999999986E-2</v>
      </c>
    </row>
    <row r="1277" spans="1:19" x14ac:dyDescent="0.15">
      <c r="A1277" s="1">
        <v>6</v>
      </c>
      <c r="B1277" s="1">
        <v>12</v>
      </c>
      <c r="C1277" s="10">
        <v>0.3201</v>
      </c>
      <c r="D1277" s="5">
        <v>145</v>
      </c>
      <c r="E1277" s="10">
        <v>0.14510000000000001</v>
      </c>
      <c r="F1277" s="5">
        <v>1395</v>
      </c>
      <c r="G1277" s="5">
        <v>52</v>
      </c>
      <c r="I1277" s="40">
        <f t="shared" si="55"/>
        <v>1395</v>
      </c>
      <c r="J1277" s="40">
        <f t="shared" si="56"/>
        <v>52</v>
      </c>
      <c r="K1277" s="1">
        <v>1330</v>
      </c>
      <c r="L1277" s="1">
        <v>56</v>
      </c>
      <c r="M1277">
        <f t="shared" si="54"/>
        <v>61</v>
      </c>
      <c r="N1277" s="1">
        <v>0.3201</v>
      </c>
      <c r="O1277" s="1">
        <v>145</v>
      </c>
      <c r="P1277" s="24">
        <v>0.16009999999999999</v>
      </c>
      <c r="Q1277" s="31">
        <f>C1277-N1277</f>
        <v>0</v>
      </c>
      <c r="R1277" s="41">
        <f>D1277-O1277</f>
        <v>0</v>
      </c>
      <c r="S1277" s="41">
        <f>E1277-P1277</f>
        <v>-1.4999999999999986E-2</v>
      </c>
    </row>
    <row r="1278" spans="1:19" x14ac:dyDescent="0.15">
      <c r="A1278" s="1">
        <v>6</v>
      </c>
      <c r="B1278" s="1">
        <v>12</v>
      </c>
      <c r="C1278" s="10">
        <v>0.3201</v>
      </c>
      <c r="D1278" s="5">
        <v>145</v>
      </c>
      <c r="E1278" s="10">
        <v>0.15009999999999998</v>
      </c>
      <c r="F1278" s="5">
        <v>1357</v>
      </c>
      <c r="G1278" s="5">
        <v>54</v>
      </c>
      <c r="I1278" s="40">
        <f t="shared" si="55"/>
        <v>1357</v>
      </c>
      <c r="J1278" s="40">
        <f t="shared" si="56"/>
        <v>54</v>
      </c>
      <c r="K1278" s="1">
        <v>1197</v>
      </c>
      <c r="L1278" s="1">
        <v>52</v>
      </c>
      <c r="M1278">
        <f t="shared" si="54"/>
        <v>162</v>
      </c>
      <c r="N1278" s="1">
        <v>0.3201</v>
      </c>
      <c r="O1278" s="1">
        <v>145</v>
      </c>
      <c r="P1278" s="24">
        <v>0.1651</v>
      </c>
      <c r="Q1278" s="31">
        <f>C1278-N1278</f>
        <v>0</v>
      </c>
      <c r="R1278" s="41">
        <f>D1278-O1278</f>
        <v>0</v>
      </c>
      <c r="S1278" s="41">
        <f>E1278-P1278</f>
        <v>-1.5000000000000013E-2</v>
      </c>
    </row>
    <row r="1279" spans="1:19" x14ac:dyDescent="0.15">
      <c r="A1279" s="1">
        <v>6</v>
      </c>
      <c r="B1279" s="1">
        <v>12</v>
      </c>
      <c r="C1279" s="10">
        <v>0.3201</v>
      </c>
      <c r="D1279" s="5">
        <v>145</v>
      </c>
      <c r="E1279" s="10">
        <v>0.15509999999999999</v>
      </c>
      <c r="F1279" s="5">
        <v>1324</v>
      </c>
      <c r="G1279" s="5">
        <v>53</v>
      </c>
      <c r="I1279" s="40">
        <f t="shared" si="55"/>
        <v>1324</v>
      </c>
      <c r="J1279" s="40">
        <f t="shared" si="56"/>
        <v>53</v>
      </c>
      <c r="K1279" s="1">
        <v>1144</v>
      </c>
      <c r="L1279" s="1">
        <v>50</v>
      </c>
      <c r="M1279">
        <f t="shared" si="54"/>
        <v>183</v>
      </c>
      <c r="N1279" s="1">
        <v>0.3201</v>
      </c>
      <c r="O1279" s="1">
        <v>145</v>
      </c>
      <c r="P1279" s="24">
        <v>0.1701</v>
      </c>
      <c r="Q1279" s="31">
        <f>C1279-N1279</f>
        <v>0</v>
      </c>
      <c r="R1279" s="41">
        <f>D1279-O1279</f>
        <v>0</v>
      </c>
      <c r="S1279" s="41">
        <f>E1279-P1279</f>
        <v>-1.5000000000000013E-2</v>
      </c>
    </row>
    <row r="1280" spans="1:19" x14ac:dyDescent="0.15">
      <c r="A1280" s="1">
        <v>6</v>
      </c>
      <c r="B1280" s="1">
        <v>12</v>
      </c>
      <c r="C1280" s="10">
        <v>0.3201</v>
      </c>
      <c r="D1280" s="5">
        <v>145</v>
      </c>
      <c r="E1280" s="10">
        <v>0.16009999999999999</v>
      </c>
      <c r="F1280" s="5">
        <v>1330</v>
      </c>
      <c r="G1280" s="5">
        <v>56</v>
      </c>
      <c r="I1280" s="40">
        <f t="shared" si="55"/>
        <v>1330</v>
      </c>
      <c r="J1280" s="40">
        <f t="shared" si="56"/>
        <v>56</v>
      </c>
      <c r="K1280" s="1">
        <v>1025</v>
      </c>
      <c r="L1280" s="1">
        <v>49</v>
      </c>
      <c r="M1280">
        <f t="shared" si="54"/>
        <v>312</v>
      </c>
      <c r="N1280" s="1">
        <v>0.3201</v>
      </c>
      <c r="O1280" s="1">
        <v>145</v>
      </c>
      <c r="P1280" s="24">
        <v>0.17510000000000001</v>
      </c>
      <c r="Q1280" s="31">
        <f>C1280-N1280</f>
        <v>0</v>
      </c>
      <c r="R1280" s="41">
        <f>D1280-O1280</f>
        <v>0</v>
      </c>
      <c r="S1280" s="41">
        <f>E1280-P1280</f>
        <v>-1.5000000000000013E-2</v>
      </c>
    </row>
    <row r="1281" spans="1:19" x14ac:dyDescent="0.15">
      <c r="A1281" s="1">
        <v>6</v>
      </c>
      <c r="B1281" s="1">
        <v>12</v>
      </c>
      <c r="C1281" s="10">
        <v>0.3201</v>
      </c>
      <c r="D1281" s="5">
        <v>145</v>
      </c>
      <c r="E1281" s="10">
        <v>0.1651</v>
      </c>
      <c r="F1281" s="5">
        <v>1197</v>
      </c>
      <c r="G1281" s="5">
        <v>52</v>
      </c>
      <c r="I1281" s="40">
        <f t="shared" si="55"/>
        <v>1197</v>
      </c>
      <c r="J1281" s="40">
        <f t="shared" si="56"/>
        <v>52</v>
      </c>
      <c r="K1281" s="1">
        <v>973</v>
      </c>
      <c r="L1281" s="1">
        <v>49</v>
      </c>
      <c r="M1281">
        <f t="shared" si="54"/>
        <v>227</v>
      </c>
      <c r="N1281" s="1">
        <v>0.3201</v>
      </c>
      <c r="O1281" s="1">
        <v>145</v>
      </c>
      <c r="P1281" s="24">
        <v>0.18010000000000001</v>
      </c>
      <c r="Q1281" s="31">
        <f>C1281-N1281</f>
        <v>0</v>
      </c>
      <c r="R1281" s="41">
        <f>D1281-O1281</f>
        <v>0</v>
      </c>
      <c r="S1281" s="41">
        <f>E1281-P1281</f>
        <v>-1.5000000000000013E-2</v>
      </c>
    </row>
    <row r="1282" spans="1:19" x14ac:dyDescent="0.15">
      <c r="A1282" s="1">
        <v>6</v>
      </c>
      <c r="B1282" s="1">
        <v>12</v>
      </c>
      <c r="C1282" s="10">
        <v>0.3201</v>
      </c>
      <c r="D1282" s="5">
        <v>145</v>
      </c>
      <c r="E1282" s="10">
        <v>0.1701</v>
      </c>
      <c r="F1282" s="5">
        <v>1144</v>
      </c>
      <c r="G1282" s="5">
        <v>50</v>
      </c>
      <c r="I1282" s="40">
        <f t="shared" si="55"/>
        <v>1144</v>
      </c>
      <c r="J1282" s="40">
        <f t="shared" si="56"/>
        <v>50</v>
      </c>
      <c r="K1282" s="1">
        <v>865</v>
      </c>
      <c r="L1282" s="1">
        <v>46</v>
      </c>
      <c r="M1282">
        <f t="shared" si="54"/>
        <v>283</v>
      </c>
      <c r="N1282" s="1">
        <v>0.3201</v>
      </c>
      <c r="O1282" s="1">
        <v>145</v>
      </c>
      <c r="P1282" s="24">
        <v>0.18509999999999999</v>
      </c>
      <c r="Q1282" s="31">
        <f>C1282-N1282</f>
        <v>0</v>
      </c>
      <c r="R1282" s="41">
        <f>D1282-O1282</f>
        <v>0</v>
      </c>
      <c r="S1282" s="41">
        <f>E1282-P1282</f>
        <v>-1.4999999999999986E-2</v>
      </c>
    </row>
    <row r="1283" spans="1:19" x14ac:dyDescent="0.15">
      <c r="A1283" s="1">
        <v>6</v>
      </c>
      <c r="B1283" s="1">
        <v>12</v>
      </c>
      <c r="C1283" s="10">
        <v>0.3201</v>
      </c>
      <c r="D1283" s="5">
        <v>145</v>
      </c>
      <c r="E1283" s="10">
        <v>0.17510000000000001</v>
      </c>
      <c r="F1283" s="5">
        <v>1025</v>
      </c>
      <c r="G1283" s="5">
        <v>49</v>
      </c>
      <c r="I1283" s="40">
        <f t="shared" si="55"/>
        <v>1025</v>
      </c>
      <c r="J1283" s="40">
        <f t="shared" si="56"/>
        <v>49</v>
      </c>
      <c r="K1283" s="1">
        <v>880</v>
      </c>
      <c r="L1283" s="1">
        <v>47</v>
      </c>
      <c r="M1283">
        <f t="shared" ref="M1283:M1346" si="57">I1283+J1283-K1283-L1283</f>
        <v>147</v>
      </c>
      <c r="N1283" s="1">
        <v>0.3201</v>
      </c>
      <c r="O1283" s="1">
        <v>145</v>
      </c>
      <c r="P1283" s="24">
        <v>0.19009999999999999</v>
      </c>
      <c r="Q1283" s="31">
        <f>C1283-N1283</f>
        <v>0</v>
      </c>
      <c r="R1283" s="41">
        <f>D1283-O1283</f>
        <v>0</v>
      </c>
      <c r="S1283" s="41">
        <f>E1283-P1283</f>
        <v>-1.4999999999999986E-2</v>
      </c>
    </row>
    <row r="1284" spans="1:19" x14ac:dyDescent="0.15">
      <c r="A1284" s="1">
        <v>6</v>
      </c>
      <c r="B1284" s="1">
        <v>12</v>
      </c>
      <c r="C1284" s="10">
        <v>0.3201</v>
      </c>
      <c r="D1284" s="5">
        <v>145</v>
      </c>
      <c r="E1284" s="10">
        <v>0.18009999999999998</v>
      </c>
      <c r="F1284" s="5">
        <v>973</v>
      </c>
      <c r="G1284" s="5">
        <v>49</v>
      </c>
      <c r="I1284" s="40">
        <f t="shared" si="55"/>
        <v>973</v>
      </c>
      <c r="J1284" s="40">
        <f t="shared" si="56"/>
        <v>49</v>
      </c>
      <c r="K1284" s="1">
        <v>785</v>
      </c>
      <c r="L1284" s="1">
        <v>45</v>
      </c>
      <c r="M1284">
        <f t="shared" si="57"/>
        <v>192</v>
      </c>
      <c r="N1284" s="1">
        <v>0.3201</v>
      </c>
      <c r="O1284" s="1">
        <v>145</v>
      </c>
      <c r="P1284" s="24">
        <v>0.1951</v>
      </c>
      <c r="Q1284" s="31">
        <f>C1284-N1284</f>
        <v>0</v>
      </c>
      <c r="R1284" s="41">
        <f>D1284-O1284</f>
        <v>0</v>
      </c>
      <c r="S1284" s="41">
        <f>E1284-P1284</f>
        <v>-1.5000000000000013E-2</v>
      </c>
    </row>
    <row r="1285" spans="1:19" x14ac:dyDescent="0.15">
      <c r="A1285" s="1">
        <v>6</v>
      </c>
      <c r="B1285" s="1">
        <v>12</v>
      </c>
      <c r="C1285" s="10">
        <v>0.3201</v>
      </c>
      <c r="D1285" s="5">
        <v>145</v>
      </c>
      <c r="E1285" s="10">
        <v>0.18509999999999999</v>
      </c>
      <c r="F1285" s="5">
        <v>865</v>
      </c>
      <c r="G1285" s="5">
        <v>46</v>
      </c>
      <c r="I1285" s="40">
        <f t="shared" si="55"/>
        <v>865</v>
      </c>
      <c r="J1285" s="40">
        <f t="shared" si="56"/>
        <v>46</v>
      </c>
      <c r="K1285" s="1">
        <v>697</v>
      </c>
      <c r="L1285" s="1">
        <v>39</v>
      </c>
      <c r="M1285">
        <f t="shared" si="57"/>
        <v>175</v>
      </c>
      <c r="N1285" s="1">
        <v>0.3201</v>
      </c>
      <c r="O1285" s="1">
        <v>145</v>
      </c>
      <c r="P1285" s="24">
        <v>0.2001</v>
      </c>
      <c r="Q1285" s="31">
        <f>C1285-N1285</f>
        <v>0</v>
      </c>
      <c r="R1285" s="41">
        <f>D1285-O1285</f>
        <v>0</v>
      </c>
      <c r="S1285" s="41">
        <f>E1285-P1285</f>
        <v>-1.5000000000000013E-2</v>
      </c>
    </row>
    <row r="1286" spans="1:19" x14ac:dyDescent="0.15">
      <c r="A1286" s="1">
        <v>6</v>
      </c>
      <c r="B1286" s="1">
        <v>12</v>
      </c>
      <c r="C1286" s="10">
        <v>0.3201</v>
      </c>
      <c r="D1286" s="5">
        <v>145</v>
      </c>
      <c r="E1286" s="10">
        <v>0.19009999999999999</v>
      </c>
      <c r="F1286" s="5">
        <v>880</v>
      </c>
      <c r="G1286" s="5">
        <v>47</v>
      </c>
      <c r="I1286" s="40">
        <f t="shared" si="55"/>
        <v>880</v>
      </c>
      <c r="J1286" s="40">
        <f t="shared" si="56"/>
        <v>47</v>
      </c>
      <c r="K1286" s="1">
        <v>688</v>
      </c>
      <c r="L1286" s="1">
        <v>43</v>
      </c>
      <c r="M1286">
        <f t="shared" si="57"/>
        <v>196</v>
      </c>
      <c r="N1286" s="1">
        <v>0.3201</v>
      </c>
      <c r="O1286" s="1">
        <v>145</v>
      </c>
      <c r="P1286" s="24">
        <v>0.2051</v>
      </c>
      <c r="Q1286" s="31">
        <f>C1286-N1286</f>
        <v>0</v>
      </c>
      <c r="R1286" s="41">
        <f>D1286-O1286</f>
        <v>0</v>
      </c>
      <c r="S1286" s="41">
        <f>E1286-P1286</f>
        <v>-1.5000000000000013E-2</v>
      </c>
    </row>
    <row r="1287" spans="1:19" x14ac:dyDescent="0.15">
      <c r="A1287" s="1">
        <v>6</v>
      </c>
      <c r="B1287" s="1">
        <v>12</v>
      </c>
      <c r="C1287" s="10">
        <v>0.3201</v>
      </c>
      <c r="D1287" s="5">
        <v>145</v>
      </c>
      <c r="E1287" s="10">
        <v>0.1951</v>
      </c>
      <c r="F1287" s="5">
        <v>785</v>
      </c>
      <c r="G1287" s="5">
        <v>45</v>
      </c>
      <c r="I1287" s="40">
        <f t="shared" si="55"/>
        <v>785</v>
      </c>
      <c r="J1287" s="40">
        <f t="shared" si="56"/>
        <v>45</v>
      </c>
      <c r="K1287" s="1">
        <v>750</v>
      </c>
      <c r="L1287" s="1">
        <v>48</v>
      </c>
      <c r="M1287">
        <f t="shared" si="57"/>
        <v>32</v>
      </c>
      <c r="N1287" s="1">
        <v>0.3201</v>
      </c>
      <c r="O1287" s="1">
        <v>145</v>
      </c>
      <c r="P1287" s="24">
        <v>0.21010000000000001</v>
      </c>
      <c r="Q1287" s="31">
        <f>C1287-N1287</f>
        <v>0</v>
      </c>
      <c r="R1287" s="41">
        <f>D1287-O1287</f>
        <v>0</v>
      </c>
      <c r="S1287" s="41">
        <f>E1287-P1287</f>
        <v>-1.5000000000000013E-2</v>
      </c>
    </row>
    <row r="1288" spans="1:19" x14ac:dyDescent="0.15">
      <c r="A1288" s="1">
        <v>6</v>
      </c>
      <c r="B1288" s="1">
        <v>12</v>
      </c>
      <c r="C1288" s="10">
        <v>0.3201</v>
      </c>
      <c r="D1288" s="5">
        <v>145</v>
      </c>
      <c r="E1288" s="10">
        <v>0.2001</v>
      </c>
      <c r="F1288" s="5">
        <v>697</v>
      </c>
      <c r="G1288" s="5">
        <v>39</v>
      </c>
      <c r="I1288" s="40">
        <f t="shared" si="55"/>
        <v>697</v>
      </c>
      <c r="J1288" s="40">
        <f t="shared" si="56"/>
        <v>39</v>
      </c>
      <c r="K1288" s="1">
        <v>637</v>
      </c>
      <c r="L1288" s="1">
        <v>44</v>
      </c>
      <c r="M1288">
        <f t="shared" si="57"/>
        <v>55</v>
      </c>
      <c r="N1288" s="1">
        <v>0.3201</v>
      </c>
      <c r="O1288" s="1">
        <v>145</v>
      </c>
      <c r="P1288" s="24">
        <v>0.21510000000000001</v>
      </c>
      <c r="Q1288" s="31">
        <f>C1288-N1288</f>
        <v>0</v>
      </c>
      <c r="R1288" s="41">
        <f>D1288-O1288</f>
        <v>0</v>
      </c>
      <c r="S1288" s="41">
        <f>E1288-P1288</f>
        <v>-1.5000000000000013E-2</v>
      </c>
    </row>
    <row r="1289" spans="1:19" ht="14" thickBot="1" x14ac:dyDescent="0.2">
      <c r="A1289" s="1">
        <v>6</v>
      </c>
      <c r="B1289" s="1">
        <v>12</v>
      </c>
      <c r="C1289" s="10">
        <v>0.3201</v>
      </c>
      <c r="D1289" s="5">
        <v>145</v>
      </c>
      <c r="E1289" s="10">
        <v>0.2051</v>
      </c>
      <c r="F1289" s="5">
        <v>688</v>
      </c>
      <c r="G1289" s="5">
        <v>43</v>
      </c>
      <c r="I1289" s="40">
        <f t="shared" si="55"/>
        <v>688</v>
      </c>
      <c r="J1289" s="40">
        <f t="shared" si="56"/>
        <v>43</v>
      </c>
      <c r="K1289" s="1">
        <v>664</v>
      </c>
      <c r="L1289" s="1">
        <v>47</v>
      </c>
      <c r="M1289">
        <f t="shared" si="57"/>
        <v>20</v>
      </c>
      <c r="N1289" s="1">
        <v>0.3201</v>
      </c>
      <c r="O1289" s="1">
        <v>145</v>
      </c>
      <c r="P1289" s="44">
        <v>0.22009999999999999</v>
      </c>
      <c r="Q1289" s="31">
        <f>C1289-N1289</f>
        <v>0</v>
      </c>
      <c r="R1289" s="41">
        <f>D1289-O1289</f>
        <v>0</v>
      </c>
      <c r="S1289" s="41">
        <f>E1289-P1289</f>
        <v>-1.4999999999999986E-2</v>
      </c>
    </row>
    <row r="1290" spans="1:19" ht="14" thickTop="1" x14ac:dyDescent="0.15">
      <c r="A1290" s="1">
        <v>6</v>
      </c>
      <c r="B1290" s="1">
        <v>12</v>
      </c>
      <c r="C1290" s="10">
        <v>0.3201</v>
      </c>
      <c r="D1290" s="5">
        <v>145</v>
      </c>
      <c r="E1290" s="10">
        <v>0.21009999999999998</v>
      </c>
      <c r="F1290" s="5">
        <v>750</v>
      </c>
      <c r="G1290" s="5">
        <v>58</v>
      </c>
      <c r="I1290" s="40">
        <f t="shared" si="55"/>
        <v>750</v>
      </c>
      <c r="J1290" s="40">
        <f t="shared" si="56"/>
        <v>58</v>
      </c>
      <c r="K1290" s="1">
        <v>8</v>
      </c>
      <c r="L1290" s="1">
        <v>5</v>
      </c>
      <c r="M1290">
        <f t="shared" si="57"/>
        <v>795</v>
      </c>
      <c r="N1290" s="1">
        <v>0.28010000000000002</v>
      </c>
      <c r="O1290" s="1">
        <v>145</v>
      </c>
      <c r="P1290" s="24">
        <v>2.2599999999999999E-2</v>
      </c>
      <c r="Q1290" s="31">
        <f>C1290-N1290</f>
        <v>3.999999999999998E-2</v>
      </c>
      <c r="R1290" s="41">
        <f>D1290-O1290</f>
        <v>0</v>
      </c>
      <c r="S1290" s="41">
        <f>E1290-P1290</f>
        <v>0.18749999999999997</v>
      </c>
    </row>
    <row r="1291" spans="1:19" x14ac:dyDescent="0.15">
      <c r="A1291" s="1">
        <v>6</v>
      </c>
      <c r="B1291" s="1">
        <v>12</v>
      </c>
      <c r="C1291" s="10">
        <v>0.3201</v>
      </c>
      <c r="D1291" s="5">
        <v>145</v>
      </c>
      <c r="E1291" s="10">
        <v>0.21509999999999999</v>
      </c>
      <c r="F1291" s="5">
        <v>637</v>
      </c>
      <c r="G1291" s="5">
        <v>44</v>
      </c>
      <c r="I1291" s="40">
        <f t="shared" si="55"/>
        <v>637</v>
      </c>
      <c r="J1291" s="40">
        <f t="shared" si="56"/>
        <v>44</v>
      </c>
      <c r="K1291" s="1">
        <v>75</v>
      </c>
      <c r="L1291" s="1">
        <v>7</v>
      </c>
      <c r="M1291">
        <f t="shared" si="57"/>
        <v>599</v>
      </c>
      <c r="N1291" s="1">
        <v>0.28010000000000002</v>
      </c>
      <c r="O1291" s="1">
        <v>145</v>
      </c>
      <c r="P1291" s="24">
        <v>2.76E-2</v>
      </c>
      <c r="Q1291" s="31">
        <f>C1291-N1291</f>
        <v>3.999999999999998E-2</v>
      </c>
      <c r="R1291" s="41">
        <f>D1291-O1291</f>
        <v>0</v>
      </c>
      <c r="S1291" s="41">
        <f>E1291-P1291</f>
        <v>0.1875</v>
      </c>
    </row>
    <row r="1292" spans="1:19" x14ac:dyDescent="0.15">
      <c r="A1292" s="1">
        <v>6</v>
      </c>
      <c r="B1292" s="1">
        <v>12</v>
      </c>
      <c r="C1292" s="10">
        <v>0.3201</v>
      </c>
      <c r="D1292" s="5">
        <v>145</v>
      </c>
      <c r="E1292" s="10">
        <v>0.22009999999999999</v>
      </c>
      <c r="F1292" s="5">
        <v>664</v>
      </c>
      <c r="G1292" s="5">
        <v>47</v>
      </c>
      <c r="I1292" s="40">
        <f t="shared" si="55"/>
        <v>664</v>
      </c>
      <c r="J1292" s="40">
        <f t="shared" si="56"/>
        <v>47</v>
      </c>
      <c r="K1292" s="1">
        <v>290</v>
      </c>
      <c r="L1292" s="1">
        <v>15</v>
      </c>
      <c r="M1292">
        <f t="shared" si="57"/>
        <v>406</v>
      </c>
      <c r="N1292" s="1">
        <v>0.28010000000000002</v>
      </c>
      <c r="O1292" s="1">
        <v>145</v>
      </c>
      <c r="P1292" s="24">
        <v>3.2599999999999997E-2</v>
      </c>
      <c r="Q1292" s="31">
        <f>C1292-N1292</f>
        <v>3.999999999999998E-2</v>
      </c>
      <c r="R1292" s="41">
        <f>D1292-O1292</f>
        <v>0</v>
      </c>
      <c r="S1292" s="41">
        <f>E1292-P1292</f>
        <v>0.1875</v>
      </c>
    </row>
    <row r="1293" spans="1:19" x14ac:dyDescent="0.15">
      <c r="A1293" s="1">
        <v>6</v>
      </c>
      <c r="B1293" s="1">
        <v>12</v>
      </c>
      <c r="C1293" s="10">
        <v>0.28010000000000002</v>
      </c>
      <c r="D1293" s="5">
        <v>145</v>
      </c>
      <c r="E1293" s="10">
        <v>2.2600000000000002E-2</v>
      </c>
      <c r="F1293" s="5">
        <v>8</v>
      </c>
      <c r="G1293" s="5">
        <v>5</v>
      </c>
      <c r="I1293" s="40">
        <f t="shared" si="55"/>
        <v>8</v>
      </c>
      <c r="J1293" s="40">
        <f t="shared" si="56"/>
        <v>5</v>
      </c>
      <c r="K1293" s="1">
        <v>250</v>
      </c>
      <c r="L1293" s="1">
        <v>18</v>
      </c>
      <c r="M1293">
        <f t="shared" si="57"/>
        <v>-255</v>
      </c>
      <c r="N1293" s="1">
        <v>0.28010000000000002</v>
      </c>
      <c r="O1293" s="1">
        <v>145</v>
      </c>
      <c r="P1293" s="24">
        <v>3.7600000000000001E-2</v>
      </c>
      <c r="Q1293" s="31">
        <f>C1293-N1293</f>
        <v>0</v>
      </c>
      <c r="R1293" s="41">
        <f>D1293-O1293</f>
        <v>0</v>
      </c>
      <c r="S1293" s="41">
        <f>E1293-P1293</f>
        <v>-1.4999999999999999E-2</v>
      </c>
    </row>
    <row r="1294" spans="1:19" x14ac:dyDescent="0.15">
      <c r="A1294" s="1">
        <v>6</v>
      </c>
      <c r="B1294" s="1">
        <v>12</v>
      </c>
      <c r="C1294" s="10">
        <v>0.28010000000000002</v>
      </c>
      <c r="D1294" s="5">
        <v>145</v>
      </c>
      <c r="E1294" s="10">
        <v>2.7600000000000003E-2</v>
      </c>
      <c r="F1294" s="5">
        <v>75</v>
      </c>
      <c r="G1294" s="5">
        <v>7</v>
      </c>
      <c r="I1294" s="40">
        <f t="shared" si="55"/>
        <v>75</v>
      </c>
      <c r="J1294" s="40">
        <f t="shared" si="56"/>
        <v>7</v>
      </c>
      <c r="K1294" s="1">
        <v>354</v>
      </c>
      <c r="L1294" s="1">
        <v>17</v>
      </c>
      <c r="M1294">
        <f t="shared" si="57"/>
        <v>-289</v>
      </c>
      <c r="N1294" s="1">
        <v>0.28010000000000002</v>
      </c>
      <c r="O1294" s="1">
        <v>145</v>
      </c>
      <c r="P1294" s="24">
        <v>4.2599999999999999E-2</v>
      </c>
      <c r="Q1294" s="31">
        <f>C1294-N1294</f>
        <v>0</v>
      </c>
      <c r="R1294" s="41">
        <f>D1294-O1294</f>
        <v>0</v>
      </c>
      <c r="S1294" s="41">
        <f>E1294-P1294</f>
        <v>-1.4999999999999996E-2</v>
      </c>
    </row>
    <row r="1295" spans="1:19" x14ac:dyDescent="0.15">
      <c r="A1295" s="1">
        <v>6</v>
      </c>
      <c r="B1295" s="1">
        <v>12</v>
      </c>
      <c r="C1295" s="10">
        <v>0.28010000000000002</v>
      </c>
      <c r="D1295" s="5">
        <v>145</v>
      </c>
      <c r="E1295" s="10">
        <v>3.2600000000000004E-2</v>
      </c>
      <c r="F1295" s="5">
        <v>290</v>
      </c>
      <c r="G1295" s="5">
        <v>15</v>
      </c>
      <c r="I1295" s="40">
        <f t="shared" si="55"/>
        <v>290</v>
      </c>
      <c r="J1295" s="40">
        <f t="shared" si="56"/>
        <v>15</v>
      </c>
      <c r="K1295" s="1">
        <v>434</v>
      </c>
      <c r="L1295" s="1">
        <v>18</v>
      </c>
      <c r="M1295">
        <f t="shared" si="57"/>
        <v>-147</v>
      </c>
      <c r="N1295" s="1">
        <v>0.28010000000000002</v>
      </c>
      <c r="O1295" s="1">
        <v>145</v>
      </c>
      <c r="P1295" s="24">
        <v>4.7600000000000003E-2</v>
      </c>
      <c r="Q1295" s="31">
        <f>C1295-N1295</f>
        <v>0</v>
      </c>
      <c r="R1295" s="41">
        <f>D1295-O1295</f>
        <v>0</v>
      </c>
      <c r="S1295" s="41">
        <f>E1295-P1295</f>
        <v>-1.4999999999999999E-2</v>
      </c>
    </row>
    <row r="1296" spans="1:19" x14ac:dyDescent="0.15">
      <c r="A1296" s="1">
        <v>6</v>
      </c>
      <c r="B1296" s="1">
        <v>12</v>
      </c>
      <c r="C1296" s="10">
        <v>0.28010000000000002</v>
      </c>
      <c r="D1296" s="5">
        <v>145</v>
      </c>
      <c r="E1296" s="10">
        <v>3.7600000000000001E-2</v>
      </c>
      <c r="F1296" s="5">
        <v>250</v>
      </c>
      <c r="G1296" s="5">
        <v>18</v>
      </c>
      <c r="I1296" s="40">
        <f t="shared" si="55"/>
        <v>250</v>
      </c>
      <c r="J1296" s="40">
        <f t="shared" si="56"/>
        <v>18</v>
      </c>
      <c r="K1296" s="1">
        <v>552</v>
      </c>
      <c r="L1296" s="1">
        <v>19</v>
      </c>
      <c r="M1296">
        <f t="shared" si="57"/>
        <v>-303</v>
      </c>
      <c r="N1296" s="1">
        <v>0.28010000000000002</v>
      </c>
      <c r="O1296" s="1">
        <v>145</v>
      </c>
      <c r="P1296" s="24">
        <v>5.2600000000000001E-2</v>
      </c>
      <c r="Q1296" s="31">
        <f>C1296-N1296</f>
        <v>0</v>
      </c>
      <c r="R1296" s="41">
        <f>D1296-O1296</f>
        <v>0</v>
      </c>
      <c r="S1296" s="41">
        <f>E1296-P1296</f>
        <v>-1.4999999999999999E-2</v>
      </c>
    </row>
    <row r="1297" spans="1:19" x14ac:dyDescent="0.15">
      <c r="A1297" s="1">
        <v>6</v>
      </c>
      <c r="B1297" s="1">
        <v>12</v>
      </c>
      <c r="C1297" s="10">
        <v>0.28010000000000002</v>
      </c>
      <c r="D1297" s="5">
        <v>145</v>
      </c>
      <c r="E1297" s="10">
        <v>4.2599999999999999E-2</v>
      </c>
      <c r="F1297" s="5">
        <v>354</v>
      </c>
      <c r="G1297" s="5">
        <v>17</v>
      </c>
      <c r="I1297" s="40">
        <f t="shared" si="55"/>
        <v>354</v>
      </c>
      <c r="J1297" s="40">
        <f t="shared" si="56"/>
        <v>17</v>
      </c>
      <c r="K1297" s="1">
        <v>720</v>
      </c>
      <c r="L1297" s="1">
        <v>28</v>
      </c>
      <c r="M1297">
        <f t="shared" si="57"/>
        <v>-377</v>
      </c>
      <c r="N1297" s="1">
        <v>0.28010000000000002</v>
      </c>
      <c r="O1297" s="1">
        <v>145</v>
      </c>
      <c r="P1297" s="24">
        <v>5.7599999999999998E-2</v>
      </c>
      <c r="Q1297" s="31">
        <f>C1297-N1297</f>
        <v>0</v>
      </c>
      <c r="R1297" s="41">
        <f>D1297-O1297</f>
        <v>0</v>
      </c>
      <c r="S1297" s="41">
        <f>E1297-P1297</f>
        <v>-1.4999999999999999E-2</v>
      </c>
    </row>
    <row r="1298" spans="1:19" x14ac:dyDescent="0.15">
      <c r="A1298" s="1">
        <v>6</v>
      </c>
      <c r="B1298" s="1">
        <v>12</v>
      </c>
      <c r="C1298" s="10">
        <v>0.28010000000000002</v>
      </c>
      <c r="D1298" s="5">
        <v>145</v>
      </c>
      <c r="E1298" s="10">
        <v>4.7600000000000003E-2</v>
      </c>
      <c r="F1298" s="5">
        <v>434</v>
      </c>
      <c r="G1298" s="5">
        <v>18</v>
      </c>
      <c r="I1298" s="40">
        <f t="shared" si="55"/>
        <v>434</v>
      </c>
      <c r="J1298" s="40">
        <f t="shared" si="56"/>
        <v>18</v>
      </c>
      <c r="K1298" s="1">
        <v>810</v>
      </c>
      <c r="L1298" s="1">
        <v>30</v>
      </c>
      <c r="M1298">
        <f t="shared" si="57"/>
        <v>-388</v>
      </c>
      <c r="N1298" s="1">
        <v>0.28010000000000002</v>
      </c>
      <c r="O1298" s="1">
        <v>145</v>
      </c>
      <c r="P1298" s="24">
        <v>6.2600000000000003E-2</v>
      </c>
      <c r="Q1298" s="31">
        <f>C1298-N1298</f>
        <v>0</v>
      </c>
      <c r="R1298" s="41">
        <f>D1298-O1298</f>
        <v>0</v>
      </c>
      <c r="S1298" s="41">
        <f>E1298-P1298</f>
        <v>-1.4999999999999999E-2</v>
      </c>
    </row>
    <row r="1299" spans="1:19" x14ac:dyDescent="0.15">
      <c r="A1299" s="1">
        <v>6</v>
      </c>
      <c r="B1299" s="1">
        <v>12</v>
      </c>
      <c r="C1299" s="10">
        <v>0.28010000000000002</v>
      </c>
      <c r="D1299" s="5">
        <v>145</v>
      </c>
      <c r="E1299" s="10">
        <v>5.2600000000000001E-2</v>
      </c>
      <c r="F1299" s="5">
        <v>552</v>
      </c>
      <c r="G1299" s="5">
        <v>19</v>
      </c>
      <c r="I1299" s="40">
        <f t="shared" si="55"/>
        <v>552</v>
      </c>
      <c r="J1299" s="40">
        <f t="shared" si="56"/>
        <v>19</v>
      </c>
      <c r="K1299" s="1">
        <v>973</v>
      </c>
      <c r="L1299" s="1">
        <v>40</v>
      </c>
      <c r="M1299">
        <f t="shared" si="57"/>
        <v>-442</v>
      </c>
      <c r="N1299" s="1">
        <v>0.28010000000000002</v>
      </c>
      <c r="O1299" s="1">
        <v>145</v>
      </c>
      <c r="P1299" s="24">
        <v>6.7599999999999993E-2</v>
      </c>
      <c r="Q1299" s="31">
        <f>C1299-N1299</f>
        <v>0</v>
      </c>
      <c r="R1299" s="41">
        <f>D1299-O1299</f>
        <v>0</v>
      </c>
      <c r="S1299" s="41">
        <f>E1299-P1299</f>
        <v>-1.4999999999999993E-2</v>
      </c>
    </row>
    <row r="1300" spans="1:19" x14ac:dyDescent="0.15">
      <c r="A1300" s="1">
        <v>6</v>
      </c>
      <c r="B1300" s="1">
        <v>12</v>
      </c>
      <c r="C1300" s="10">
        <v>0.28010000000000002</v>
      </c>
      <c r="D1300" s="5">
        <v>145</v>
      </c>
      <c r="E1300" s="10">
        <v>5.7599999999999998E-2</v>
      </c>
      <c r="F1300" s="5">
        <v>720</v>
      </c>
      <c r="G1300" s="5">
        <v>28</v>
      </c>
      <c r="I1300" s="40">
        <f t="shared" si="55"/>
        <v>720</v>
      </c>
      <c r="J1300" s="40">
        <f t="shared" si="56"/>
        <v>28</v>
      </c>
      <c r="K1300" s="1">
        <v>1042</v>
      </c>
      <c r="L1300" s="1">
        <v>37</v>
      </c>
      <c r="M1300">
        <f t="shared" si="57"/>
        <v>-331</v>
      </c>
      <c r="N1300" s="1">
        <v>0.28010000000000002</v>
      </c>
      <c r="O1300" s="1">
        <v>145</v>
      </c>
      <c r="P1300" s="24">
        <v>7.2599999999999998E-2</v>
      </c>
      <c r="Q1300" s="31">
        <f>C1300-N1300</f>
        <v>0</v>
      </c>
      <c r="R1300" s="41">
        <f>D1300-O1300</f>
        <v>0</v>
      </c>
      <c r="S1300" s="41">
        <f>E1300-P1300</f>
        <v>-1.4999999999999999E-2</v>
      </c>
    </row>
    <row r="1301" spans="1:19" x14ac:dyDescent="0.15">
      <c r="A1301" s="1">
        <v>6</v>
      </c>
      <c r="B1301" s="1">
        <v>12</v>
      </c>
      <c r="C1301" s="10">
        <v>0.28010000000000002</v>
      </c>
      <c r="D1301" s="5">
        <v>145</v>
      </c>
      <c r="E1301" s="10">
        <v>6.2600000000000003E-2</v>
      </c>
      <c r="F1301" s="5">
        <v>810</v>
      </c>
      <c r="G1301" s="5">
        <v>30</v>
      </c>
      <c r="I1301" s="40">
        <f t="shared" si="55"/>
        <v>810</v>
      </c>
      <c r="J1301" s="40">
        <f t="shared" si="56"/>
        <v>30</v>
      </c>
      <c r="K1301" s="1">
        <v>1190</v>
      </c>
      <c r="L1301" s="1">
        <v>41</v>
      </c>
      <c r="M1301">
        <f t="shared" si="57"/>
        <v>-391</v>
      </c>
      <c r="N1301" s="1">
        <v>0.28010000000000002</v>
      </c>
      <c r="O1301" s="1">
        <v>145</v>
      </c>
      <c r="P1301" s="24">
        <v>7.7600000000000002E-2</v>
      </c>
      <c r="Q1301" s="31">
        <f>C1301-N1301</f>
        <v>0</v>
      </c>
      <c r="R1301" s="41">
        <f>D1301-O1301</f>
        <v>0</v>
      </c>
      <c r="S1301" s="41">
        <f>E1301-P1301</f>
        <v>-1.4999999999999999E-2</v>
      </c>
    </row>
    <row r="1302" spans="1:19" x14ac:dyDescent="0.15">
      <c r="A1302" s="1">
        <v>6</v>
      </c>
      <c r="B1302" s="1">
        <v>12</v>
      </c>
      <c r="C1302" s="10">
        <v>0.28010000000000002</v>
      </c>
      <c r="D1302" s="5">
        <v>145</v>
      </c>
      <c r="E1302" s="10">
        <v>6.7599999999999993E-2</v>
      </c>
      <c r="F1302" s="5">
        <v>973</v>
      </c>
      <c r="G1302" s="5">
        <v>40</v>
      </c>
      <c r="I1302" s="40">
        <f t="shared" si="55"/>
        <v>973</v>
      </c>
      <c r="J1302" s="40">
        <f t="shared" si="56"/>
        <v>40</v>
      </c>
      <c r="K1302" s="1">
        <v>1322</v>
      </c>
      <c r="L1302" s="1">
        <v>53</v>
      </c>
      <c r="M1302">
        <f t="shared" si="57"/>
        <v>-362</v>
      </c>
      <c r="N1302" s="1">
        <v>0.28010000000000002</v>
      </c>
      <c r="O1302" s="1">
        <v>145</v>
      </c>
      <c r="P1302" s="24">
        <v>8.2600000000000007E-2</v>
      </c>
      <c r="Q1302" s="31">
        <f>C1302-N1302</f>
        <v>0</v>
      </c>
      <c r="R1302" s="41">
        <f>D1302-O1302</f>
        <v>0</v>
      </c>
      <c r="S1302" s="41">
        <f>E1302-P1302</f>
        <v>-1.5000000000000013E-2</v>
      </c>
    </row>
    <row r="1303" spans="1:19" x14ac:dyDescent="0.15">
      <c r="A1303" s="1">
        <v>6</v>
      </c>
      <c r="B1303" s="1">
        <v>12</v>
      </c>
      <c r="C1303" s="10">
        <v>0.28010000000000002</v>
      </c>
      <c r="D1303" s="5">
        <v>145</v>
      </c>
      <c r="E1303" s="10">
        <v>7.2599999999999998E-2</v>
      </c>
      <c r="F1303" s="5">
        <v>1042</v>
      </c>
      <c r="G1303" s="5">
        <v>37</v>
      </c>
      <c r="I1303" s="40">
        <f t="shared" si="55"/>
        <v>1042</v>
      </c>
      <c r="J1303" s="40">
        <f t="shared" si="56"/>
        <v>37</v>
      </c>
      <c r="K1303" s="1">
        <v>1518</v>
      </c>
      <c r="L1303" s="1">
        <v>51</v>
      </c>
      <c r="M1303">
        <f t="shared" si="57"/>
        <v>-490</v>
      </c>
      <c r="N1303" s="1">
        <v>0.28010000000000002</v>
      </c>
      <c r="O1303" s="1">
        <v>145</v>
      </c>
      <c r="P1303" s="24">
        <v>8.7599999999999997E-2</v>
      </c>
      <c r="Q1303" s="31">
        <f>C1303-N1303</f>
        <v>0</v>
      </c>
      <c r="R1303" s="41">
        <f>D1303-O1303</f>
        <v>0</v>
      </c>
      <c r="S1303" s="41">
        <f>E1303-P1303</f>
        <v>-1.4999999999999999E-2</v>
      </c>
    </row>
    <row r="1304" spans="1:19" x14ac:dyDescent="0.15">
      <c r="A1304" s="1">
        <v>6</v>
      </c>
      <c r="B1304" s="1">
        <v>12</v>
      </c>
      <c r="C1304" s="10">
        <v>0.28010000000000002</v>
      </c>
      <c r="D1304" s="5">
        <v>145</v>
      </c>
      <c r="E1304" s="10">
        <v>7.7599999999999988E-2</v>
      </c>
      <c r="F1304" s="5">
        <v>1190</v>
      </c>
      <c r="G1304" s="5">
        <v>41</v>
      </c>
      <c r="I1304" s="40">
        <f t="shared" si="55"/>
        <v>1190</v>
      </c>
      <c r="J1304" s="40">
        <f t="shared" si="56"/>
        <v>41</v>
      </c>
      <c r="K1304" s="1">
        <v>1584</v>
      </c>
      <c r="L1304" s="1">
        <v>54</v>
      </c>
      <c r="M1304">
        <f t="shared" si="57"/>
        <v>-407</v>
      </c>
      <c r="N1304" s="1">
        <v>0.28010000000000002</v>
      </c>
      <c r="O1304" s="1">
        <v>145</v>
      </c>
      <c r="P1304" s="24">
        <v>9.2600000000000002E-2</v>
      </c>
      <c r="Q1304" s="31">
        <f>C1304-N1304</f>
        <v>0</v>
      </c>
      <c r="R1304" s="41">
        <f>D1304-O1304</f>
        <v>0</v>
      </c>
      <c r="S1304" s="41">
        <f>E1304-P1304</f>
        <v>-1.5000000000000013E-2</v>
      </c>
    </row>
    <row r="1305" spans="1:19" x14ac:dyDescent="0.15">
      <c r="A1305" s="1">
        <v>6</v>
      </c>
      <c r="B1305" s="1">
        <v>12</v>
      </c>
      <c r="C1305" s="10">
        <v>0.28010000000000002</v>
      </c>
      <c r="D1305" s="5">
        <v>145</v>
      </c>
      <c r="E1305" s="10">
        <v>8.2599999999999993E-2</v>
      </c>
      <c r="F1305" s="5">
        <v>1322</v>
      </c>
      <c r="G1305" s="5">
        <v>53</v>
      </c>
      <c r="I1305" s="40">
        <f t="shared" si="55"/>
        <v>1322</v>
      </c>
      <c r="J1305" s="40">
        <f t="shared" si="56"/>
        <v>53</v>
      </c>
      <c r="K1305" s="1">
        <v>1672</v>
      </c>
      <c r="L1305" s="1">
        <v>56</v>
      </c>
      <c r="M1305">
        <f t="shared" si="57"/>
        <v>-353</v>
      </c>
      <c r="N1305" s="1">
        <v>0.28010000000000002</v>
      </c>
      <c r="O1305" s="1">
        <v>145</v>
      </c>
      <c r="P1305" s="24">
        <v>9.7600000000000006E-2</v>
      </c>
      <c r="Q1305" s="31">
        <f>C1305-N1305</f>
        <v>0</v>
      </c>
      <c r="R1305" s="41">
        <f>D1305-O1305</f>
        <v>0</v>
      </c>
      <c r="S1305" s="41">
        <f>E1305-P1305</f>
        <v>-1.5000000000000013E-2</v>
      </c>
    </row>
    <row r="1306" spans="1:19" x14ac:dyDescent="0.15">
      <c r="A1306" s="1">
        <v>6</v>
      </c>
      <c r="B1306" s="1">
        <v>12</v>
      </c>
      <c r="C1306" s="10">
        <v>0.28010000000000002</v>
      </c>
      <c r="D1306" s="5">
        <v>145</v>
      </c>
      <c r="E1306" s="10">
        <v>8.7599999999999997E-2</v>
      </c>
      <c r="F1306" s="5">
        <v>1418</v>
      </c>
      <c r="G1306" s="5">
        <v>51</v>
      </c>
      <c r="I1306" s="40">
        <f t="shared" si="55"/>
        <v>1418</v>
      </c>
      <c r="J1306" s="40">
        <f t="shared" si="56"/>
        <v>51</v>
      </c>
      <c r="K1306" s="1">
        <v>1811</v>
      </c>
      <c r="L1306" s="1">
        <v>65</v>
      </c>
      <c r="M1306">
        <f t="shared" si="57"/>
        <v>-407</v>
      </c>
      <c r="N1306" s="1">
        <v>0.28010000000000002</v>
      </c>
      <c r="O1306" s="1">
        <v>145</v>
      </c>
      <c r="P1306" s="24">
        <v>0.1026</v>
      </c>
      <c r="Q1306" s="31">
        <f>C1306-N1306</f>
        <v>0</v>
      </c>
      <c r="R1306" s="41">
        <f>D1306-O1306</f>
        <v>0</v>
      </c>
      <c r="S1306" s="41">
        <f>E1306-P1306</f>
        <v>-1.4999999999999999E-2</v>
      </c>
    </row>
    <row r="1307" spans="1:19" x14ac:dyDescent="0.15">
      <c r="A1307" s="1">
        <v>6</v>
      </c>
      <c r="B1307" s="1">
        <v>12</v>
      </c>
      <c r="C1307" s="10">
        <v>0.28010000000000002</v>
      </c>
      <c r="D1307" s="5">
        <v>145</v>
      </c>
      <c r="E1307" s="10">
        <v>9.2599999999999988E-2</v>
      </c>
      <c r="F1307" s="5">
        <v>1584</v>
      </c>
      <c r="G1307" s="5">
        <v>54</v>
      </c>
      <c r="I1307" s="40">
        <f t="shared" si="55"/>
        <v>1584</v>
      </c>
      <c r="J1307" s="40">
        <f t="shared" si="56"/>
        <v>54</v>
      </c>
      <c r="K1307" s="1">
        <v>1860</v>
      </c>
      <c r="L1307" s="1">
        <v>68</v>
      </c>
      <c r="M1307">
        <f t="shared" si="57"/>
        <v>-290</v>
      </c>
      <c r="N1307" s="1">
        <v>0.28010000000000002</v>
      </c>
      <c r="O1307" s="1">
        <v>145</v>
      </c>
      <c r="P1307" s="24">
        <v>0.1076</v>
      </c>
      <c r="Q1307" s="31">
        <f>C1307-N1307</f>
        <v>0</v>
      </c>
      <c r="R1307" s="41">
        <f>D1307-O1307</f>
        <v>0</v>
      </c>
      <c r="S1307" s="41">
        <f>E1307-P1307</f>
        <v>-1.5000000000000013E-2</v>
      </c>
    </row>
    <row r="1308" spans="1:19" x14ac:dyDescent="0.15">
      <c r="A1308" s="1">
        <v>6</v>
      </c>
      <c r="B1308" s="1">
        <v>12</v>
      </c>
      <c r="C1308" s="10">
        <v>0.28010000000000002</v>
      </c>
      <c r="D1308" s="5">
        <v>145</v>
      </c>
      <c r="E1308" s="10">
        <v>9.7599999999999992E-2</v>
      </c>
      <c r="F1308" s="5">
        <v>1672</v>
      </c>
      <c r="G1308" s="5">
        <v>56</v>
      </c>
      <c r="I1308" s="40">
        <f t="shared" si="55"/>
        <v>1672</v>
      </c>
      <c r="J1308" s="40">
        <f t="shared" si="56"/>
        <v>56</v>
      </c>
      <c r="K1308" s="1">
        <v>1892</v>
      </c>
      <c r="L1308" s="1">
        <v>71</v>
      </c>
      <c r="M1308">
        <f t="shared" si="57"/>
        <v>-235</v>
      </c>
      <c r="N1308" s="1">
        <v>0.28010000000000002</v>
      </c>
      <c r="O1308" s="1">
        <v>145</v>
      </c>
      <c r="P1308" s="24">
        <v>0.11260000000000001</v>
      </c>
      <c r="Q1308" s="31">
        <f>C1308-N1308</f>
        <v>0</v>
      </c>
      <c r="R1308" s="41">
        <f>D1308-O1308</f>
        <v>0</v>
      </c>
      <c r="S1308" s="41">
        <f>E1308-P1308</f>
        <v>-1.5000000000000013E-2</v>
      </c>
    </row>
    <row r="1309" spans="1:19" x14ac:dyDescent="0.15">
      <c r="A1309" s="1">
        <v>6</v>
      </c>
      <c r="B1309" s="1">
        <v>12</v>
      </c>
      <c r="C1309" s="10">
        <v>0.28010000000000002</v>
      </c>
      <c r="D1309" s="5">
        <v>145</v>
      </c>
      <c r="E1309" s="10">
        <v>0.1026</v>
      </c>
      <c r="F1309" s="5">
        <v>1811</v>
      </c>
      <c r="G1309" s="5">
        <v>65</v>
      </c>
      <c r="I1309" s="40">
        <f t="shared" si="55"/>
        <v>1811</v>
      </c>
      <c r="J1309" s="40">
        <f t="shared" si="56"/>
        <v>65</v>
      </c>
      <c r="K1309" s="1">
        <v>1891</v>
      </c>
      <c r="L1309" s="1">
        <v>76</v>
      </c>
      <c r="M1309">
        <f t="shared" si="57"/>
        <v>-91</v>
      </c>
      <c r="N1309" s="1">
        <v>0.28010000000000002</v>
      </c>
      <c r="O1309" s="1">
        <v>145</v>
      </c>
      <c r="P1309" s="24">
        <v>0.12759999999999999</v>
      </c>
      <c r="Q1309" s="31">
        <f>C1309-N1309</f>
        <v>0</v>
      </c>
      <c r="R1309" s="41">
        <f>D1309-O1309</f>
        <v>0</v>
      </c>
      <c r="S1309" s="41">
        <f>E1309-P1309</f>
        <v>-2.4999999999999994E-2</v>
      </c>
    </row>
    <row r="1310" spans="1:19" x14ac:dyDescent="0.15">
      <c r="A1310" s="1">
        <v>6</v>
      </c>
      <c r="B1310" s="1">
        <v>12</v>
      </c>
      <c r="C1310" s="10">
        <v>0.28010000000000002</v>
      </c>
      <c r="D1310" s="5">
        <v>145</v>
      </c>
      <c r="E1310" s="10">
        <v>0.1076</v>
      </c>
      <c r="F1310" s="5">
        <v>1860</v>
      </c>
      <c r="G1310" s="5">
        <v>68</v>
      </c>
      <c r="I1310" s="40">
        <f t="shared" si="55"/>
        <v>1860</v>
      </c>
      <c r="J1310" s="40">
        <f t="shared" si="56"/>
        <v>68</v>
      </c>
      <c r="K1310" s="1">
        <v>1753</v>
      </c>
      <c r="L1310" s="1">
        <v>77</v>
      </c>
      <c r="M1310">
        <f t="shared" si="57"/>
        <v>98</v>
      </c>
      <c r="N1310" s="1">
        <v>0.28010000000000002</v>
      </c>
      <c r="O1310" s="1">
        <v>145</v>
      </c>
      <c r="P1310" s="24">
        <v>0.1326</v>
      </c>
      <c r="Q1310" s="31">
        <f>C1310-N1310</f>
        <v>0</v>
      </c>
      <c r="R1310" s="41">
        <f>D1310-O1310</f>
        <v>0</v>
      </c>
      <c r="S1310" s="41">
        <f>E1310-P1310</f>
        <v>-2.4999999999999994E-2</v>
      </c>
    </row>
    <row r="1311" spans="1:19" x14ac:dyDescent="0.15">
      <c r="A1311" s="1">
        <v>6</v>
      </c>
      <c r="B1311" s="1">
        <v>12</v>
      </c>
      <c r="C1311" s="10">
        <v>0.28010000000000002</v>
      </c>
      <c r="D1311" s="5">
        <v>145</v>
      </c>
      <c r="E1311" s="10">
        <v>0.11259999999999999</v>
      </c>
      <c r="F1311" s="5">
        <v>1892</v>
      </c>
      <c r="G1311" s="5">
        <v>71</v>
      </c>
      <c r="I1311" s="40">
        <f t="shared" si="55"/>
        <v>1892</v>
      </c>
      <c r="J1311" s="40">
        <f t="shared" si="56"/>
        <v>71</v>
      </c>
      <c r="K1311" s="1">
        <v>1702</v>
      </c>
      <c r="L1311" s="1">
        <v>82</v>
      </c>
      <c r="M1311">
        <f t="shared" si="57"/>
        <v>179</v>
      </c>
      <c r="N1311" s="1">
        <v>0.28010000000000002</v>
      </c>
      <c r="O1311" s="1">
        <v>145</v>
      </c>
      <c r="P1311" s="24">
        <v>0.1376</v>
      </c>
      <c r="Q1311" s="31">
        <f>C1311-N1311</f>
        <v>0</v>
      </c>
      <c r="R1311" s="41">
        <f>D1311-O1311</f>
        <v>0</v>
      </c>
      <c r="S1311" s="41">
        <f>E1311-P1311</f>
        <v>-2.5000000000000008E-2</v>
      </c>
    </row>
    <row r="1312" spans="1:19" x14ac:dyDescent="0.15">
      <c r="A1312" s="1">
        <v>6</v>
      </c>
      <c r="B1312" s="1">
        <v>12</v>
      </c>
      <c r="C1312" s="10">
        <v>0.28010000000000002</v>
      </c>
      <c r="D1312" s="5">
        <v>145</v>
      </c>
      <c r="E1312" s="10">
        <v>0.1176</v>
      </c>
      <c r="F1312" s="5">
        <v>1964</v>
      </c>
      <c r="G1312" s="5">
        <v>74</v>
      </c>
      <c r="I1312" s="40">
        <f t="shared" si="55"/>
        <v>1964</v>
      </c>
      <c r="J1312" s="40">
        <f t="shared" si="56"/>
        <v>74</v>
      </c>
      <c r="K1312" s="1">
        <v>1550</v>
      </c>
      <c r="L1312" s="1">
        <v>81</v>
      </c>
      <c r="M1312">
        <f t="shared" si="57"/>
        <v>407</v>
      </c>
      <c r="N1312" s="1">
        <v>0.28010000000000002</v>
      </c>
      <c r="O1312" s="1">
        <v>145</v>
      </c>
      <c r="P1312" s="24">
        <v>0.1426</v>
      </c>
      <c r="Q1312" s="31">
        <f>C1312-N1312</f>
        <v>0</v>
      </c>
      <c r="R1312" s="41">
        <f>D1312-O1312</f>
        <v>0</v>
      </c>
      <c r="S1312" s="41">
        <f>E1312-P1312</f>
        <v>-2.5000000000000008E-2</v>
      </c>
    </row>
    <row r="1313" spans="1:19" x14ac:dyDescent="0.15">
      <c r="A1313" s="1">
        <v>6</v>
      </c>
      <c r="B1313" s="1">
        <v>12</v>
      </c>
      <c r="C1313" s="10">
        <v>0.28010000000000002</v>
      </c>
      <c r="D1313" s="5">
        <v>145</v>
      </c>
      <c r="E1313" s="10">
        <v>0.1226</v>
      </c>
      <c r="F1313" s="5">
        <v>1916</v>
      </c>
      <c r="G1313" s="5">
        <v>77</v>
      </c>
      <c r="I1313" s="40">
        <f t="shared" si="55"/>
        <v>1916</v>
      </c>
      <c r="J1313" s="40">
        <f t="shared" si="56"/>
        <v>77</v>
      </c>
      <c r="K1313" s="1">
        <v>1448</v>
      </c>
      <c r="L1313" s="1">
        <v>75</v>
      </c>
      <c r="M1313">
        <f t="shared" si="57"/>
        <v>470</v>
      </c>
      <c r="N1313" s="1">
        <v>0.28010000000000002</v>
      </c>
      <c r="O1313" s="1">
        <v>145</v>
      </c>
      <c r="P1313" s="24">
        <v>0.14760000000000001</v>
      </c>
      <c r="Q1313" s="31">
        <f>C1313-N1313</f>
        <v>0</v>
      </c>
      <c r="R1313" s="41">
        <f>D1313-O1313</f>
        <v>0</v>
      </c>
      <c r="S1313" s="41">
        <f>E1313-P1313</f>
        <v>-2.5000000000000008E-2</v>
      </c>
    </row>
    <row r="1314" spans="1:19" x14ac:dyDescent="0.15">
      <c r="A1314" s="1">
        <v>6</v>
      </c>
      <c r="B1314" s="1">
        <v>12</v>
      </c>
      <c r="C1314" s="10">
        <v>0.28010000000000002</v>
      </c>
      <c r="D1314" s="5">
        <v>145</v>
      </c>
      <c r="E1314" s="10">
        <v>0.12759999999999999</v>
      </c>
      <c r="F1314" s="5">
        <v>1891</v>
      </c>
      <c r="G1314" s="5">
        <v>76</v>
      </c>
      <c r="I1314" s="40">
        <f t="shared" si="55"/>
        <v>1891</v>
      </c>
      <c r="J1314" s="40">
        <f t="shared" si="56"/>
        <v>76</v>
      </c>
      <c r="K1314" s="1">
        <v>1303</v>
      </c>
      <c r="L1314" s="1">
        <v>76</v>
      </c>
      <c r="M1314">
        <f t="shared" si="57"/>
        <v>588</v>
      </c>
      <c r="N1314" s="1">
        <v>0.28010000000000002</v>
      </c>
      <c r="O1314" s="1">
        <v>145</v>
      </c>
      <c r="P1314" s="24">
        <v>0.15260000000000001</v>
      </c>
      <c r="Q1314" s="31">
        <f>C1314-N1314</f>
        <v>0</v>
      </c>
      <c r="R1314" s="41">
        <f>D1314-O1314</f>
        <v>0</v>
      </c>
      <c r="S1314" s="41">
        <f>E1314-P1314</f>
        <v>-2.5000000000000022E-2</v>
      </c>
    </row>
    <row r="1315" spans="1:19" x14ac:dyDescent="0.15">
      <c r="A1315" s="1">
        <v>6</v>
      </c>
      <c r="B1315" s="1">
        <v>12</v>
      </c>
      <c r="C1315" s="10">
        <v>0.28010000000000002</v>
      </c>
      <c r="D1315" s="5">
        <v>145</v>
      </c>
      <c r="E1315" s="10">
        <v>0.1326</v>
      </c>
      <c r="F1315" s="5">
        <v>1753</v>
      </c>
      <c r="G1315" s="5">
        <v>77</v>
      </c>
      <c r="I1315" s="40">
        <f t="shared" si="55"/>
        <v>1753</v>
      </c>
      <c r="J1315" s="40">
        <f t="shared" si="56"/>
        <v>77</v>
      </c>
      <c r="K1315" s="1">
        <v>1156</v>
      </c>
      <c r="L1315" s="1">
        <v>65</v>
      </c>
      <c r="M1315">
        <f t="shared" si="57"/>
        <v>609</v>
      </c>
      <c r="N1315" s="1">
        <v>0.28010000000000002</v>
      </c>
      <c r="O1315" s="1">
        <v>145</v>
      </c>
      <c r="P1315" s="24">
        <v>0.15759999999999999</v>
      </c>
      <c r="Q1315" s="31">
        <f>C1315-N1315</f>
        <v>0</v>
      </c>
      <c r="R1315" s="41">
        <f>D1315-O1315</f>
        <v>0</v>
      </c>
      <c r="S1315" s="41">
        <f>E1315-P1315</f>
        <v>-2.4999999999999994E-2</v>
      </c>
    </row>
    <row r="1316" spans="1:19" x14ac:dyDescent="0.15">
      <c r="A1316" s="1">
        <v>6</v>
      </c>
      <c r="B1316" s="1">
        <v>12</v>
      </c>
      <c r="C1316" s="10">
        <v>0.28010000000000002</v>
      </c>
      <c r="D1316" s="5">
        <v>145</v>
      </c>
      <c r="E1316" s="10">
        <v>0.1376</v>
      </c>
      <c r="F1316" s="5">
        <v>1702</v>
      </c>
      <c r="G1316" s="5">
        <v>82</v>
      </c>
      <c r="I1316" s="40">
        <f t="shared" si="55"/>
        <v>1702</v>
      </c>
      <c r="J1316" s="40">
        <f t="shared" si="56"/>
        <v>82</v>
      </c>
      <c r="K1316" s="1">
        <v>1048</v>
      </c>
      <c r="L1316" s="1">
        <v>62</v>
      </c>
      <c r="M1316">
        <f t="shared" si="57"/>
        <v>674</v>
      </c>
      <c r="N1316" s="1">
        <v>0.28010000000000002</v>
      </c>
      <c r="O1316" s="1">
        <v>145</v>
      </c>
      <c r="P1316" s="24">
        <v>0.16259999999999999</v>
      </c>
      <c r="Q1316" s="31">
        <f>C1316-N1316</f>
        <v>0</v>
      </c>
      <c r="R1316" s="41">
        <f>D1316-O1316</f>
        <v>0</v>
      </c>
      <c r="S1316" s="41">
        <f>E1316-P1316</f>
        <v>-2.4999999999999994E-2</v>
      </c>
    </row>
    <row r="1317" spans="1:19" x14ac:dyDescent="0.15">
      <c r="A1317" s="1">
        <v>6</v>
      </c>
      <c r="B1317" s="1">
        <v>12</v>
      </c>
      <c r="C1317" s="10">
        <v>0.28010000000000002</v>
      </c>
      <c r="D1317" s="5">
        <v>145</v>
      </c>
      <c r="E1317" s="10">
        <v>0.1426</v>
      </c>
      <c r="F1317" s="5">
        <v>1550</v>
      </c>
      <c r="G1317" s="5">
        <v>81</v>
      </c>
      <c r="I1317" s="40">
        <f t="shared" si="55"/>
        <v>1550</v>
      </c>
      <c r="J1317" s="40">
        <f t="shared" si="56"/>
        <v>81</v>
      </c>
      <c r="K1317" s="1">
        <v>897</v>
      </c>
      <c r="L1317" s="1">
        <v>61</v>
      </c>
      <c r="M1317">
        <f t="shared" si="57"/>
        <v>673</v>
      </c>
      <c r="N1317" s="1">
        <v>0.28010000000000002</v>
      </c>
      <c r="O1317" s="1">
        <v>145</v>
      </c>
      <c r="P1317" s="24">
        <v>0.1676</v>
      </c>
      <c r="Q1317" s="31">
        <f>C1317-N1317</f>
        <v>0</v>
      </c>
      <c r="R1317" s="41">
        <f>D1317-O1317</f>
        <v>0</v>
      </c>
      <c r="S1317" s="41">
        <f>E1317-P1317</f>
        <v>-2.4999999999999994E-2</v>
      </c>
    </row>
    <row r="1318" spans="1:19" x14ac:dyDescent="0.15">
      <c r="A1318" s="1">
        <v>6</v>
      </c>
      <c r="B1318" s="1">
        <v>12</v>
      </c>
      <c r="C1318" s="10">
        <v>0.28010000000000002</v>
      </c>
      <c r="D1318" s="5">
        <v>145</v>
      </c>
      <c r="E1318" s="10">
        <v>0.14759999999999998</v>
      </c>
      <c r="F1318" s="5">
        <v>1448</v>
      </c>
      <c r="G1318" s="5">
        <v>75</v>
      </c>
      <c r="I1318" s="40">
        <f t="shared" si="55"/>
        <v>1448</v>
      </c>
      <c r="J1318" s="40">
        <f t="shared" si="56"/>
        <v>75</v>
      </c>
      <c r="K1318" s="1">
        <v>922</v>
      </c>
      <c r="L1318" s="1">
        <v>61</v>
      </c>
      <c r="M1318">
        <f t="shared" si="57"/>
        <v>540</v>
      </c>
      <c r="N1318" s="1">
        <v>0.28010000000000002</v>
      </c>
      <c r="O1318" s="1">
        <v>145</v>
      </c>
      <c r="P1318" s="24">
        <v>0.1726</v>
      </c>
      <c r="Q1318" s="31">
        <f>C1318-N1318</f>
        <v>0</v>
      </c>
      <c r="R1318" s="41">
        <f>D1318-O1318</f>
        <v>0</v>
      </c>
      <c r="S1318" s="41">
        <f>E1318-P1318</f>
        <v>-2.5000000000000022E-2</v>
      </c>
    </row>
    <row r="1319" spans="1:19" ht="14" thickBot="1" x14ac:dyDescent="0.2">
      <c r="A1319" s="1">
        <v>6</v>
      </c>
      <c r="B1319" s="1">
        <v>12</v>
      </c>
      <c r="C1319" s="10">
        <v>0.28010000000000002</v>
      </c>
      <c r="D1319" s="5">
        <v>145</v>
      </c>
      <c r="E1319" s="10">
        <v>0.15259999999999999</v>
      </c>
      <c r="F1319" s="5">
        <v>1303</v>
      </c>
      <c r="G1319" s="5">
        <v>76</v>
      </c>
      <c r="I1319" s="40">
        <f t="shared" si="55"/>
        <v>1303</v>
      </c>
      <c r="J1319" s="40">
        <f t="shared" si="56"/>
        <v>76</v>
      </c>
      <c r="K1319" s="1">
        <v>863</v>
      </c>
      <c r="L1319" s="1">
        <v>62</v>
      </c>
      <c r="M1319">
        <f t="shared" si="57"/>
        <v>454</v>
      </c>
      <c r="N1319" s="1">
        <v>0.28010000000000002</v>
      </c>
      <c r="O1319" s="1">
        <v>145</v>
      </c>
      <c r="P1319" s="44">
        <v>0.17760000000000001</v>
      </c>
      <c r="Q1319" s="31">
        <f>C1319-N1319</f>
        <v>0</v>
      </c>
      <c r="R1319" s="41">
        <f>D1319-O1319</f>
        <v>0</v>
      </c>
      <c r="S1319" s="41">
        <f>E1319-P1319</f>
        <v>-2.5000000000000022E-2</v>
      </c>
    </row>
    <row r="1320" spans="1:19" ht="14" thickTop="1" x14ac:dyDescent="0.15">
      <c r="A1320" s="1">
        <v>6</v>
      </c>
      <c r="B1320" s="1">
        <v>12</v>
      </c>
      <c r="C1320" s="10">
        <v>0.28010000000000002</v>
      </c>
      <c r="D1320" s="5">
        <v>145</v>
      </c>
      <c r="E1320" s="10">
        <v>0.15759999999999999</v>
      </c>
      <c r="F1320" s="5">
        <v>1146</v>
      </c>
      <c r="G1320" s="5">
        <v>65</v>
      </c>
      <c r="I1320" s="40">
        <f t="shared" si="55"/>
        <v>1146</v>
      </c>
      <c r="J1320" s="40">
        <f t="shared" si="56"/>
        <v>65</v>
      </c>
      <c r="K1320" s="1">
        <v>27</v>
      </c>
      <c r="L1320" s="1">
        <v>4</v>
      </c>
      <c r="M1320">
        <f t="shared" si="57"/>
        <v>1180</v>
      </c>
      <c r="N1320" s="1">
        <v>0.24110000000000001</v>
      </c>
      <c r="O1320" s="1">
        <v>145</v>
      </c>
      <c r="P1320" s="24">
        <v>8.6E-3</v>
      </c>
      <c r="Q1320" s="31">
        <f>C1320-N1320</f>
        <v>3.9000000000000007E-2</v>
      </c>
      <c r="R1320" s="41">
        <f>D1320-O1320</f>
        <v>0</v>
      </c>
      <c r="S1320" s="41">
        <f>E1320-P1320</f>
        <v>0.14899999999999999</v>
      </c>
    </row>
    <row r="1321" spans="1:19" x14ac:dyDescent="0.15">
      <c r="A1321" s="1">
        <v>6</v>
      </c>
      <c r="B1321" s="1">
        <v>12</v>
      </c>
      <c r="C1321" s="10">
        <v>0.28010000000000002</v>
      </c>
      <c r="D1321" s="5">
        <v>145</v>
      </c>
      <c r="E1321" s="10">
        <v>0.16259999999999999</v>
      </c>
      <c r="F1321" s="5">
        <v>1048</v>
      </c>
      <c r="G1321" s="5">
        <v>62</v>
      </c>
      <c r="I1321" s="40">
        <f t="shared" si="55"/>
        <v>1048</v>
      </c>
      <c r="J1321" s="40">
        <f t="shared" si="56"/>
        <v>62</v>
      </c>
      <c r="K1321" s="1">
        <v>29</v>
      </c>
      <c r="L1321" s="1">
        <v>3</v>
      </c>
      <c r="M1321">
        <f t="shared" si="57"/>
        <v>1078</v>
      </c>
      <c r="N1321" s="1">
        <v>0.24110000000000001</v>
      </c>
      <c r="O1321" s="1">
        <v>145</v>
      </c>
      <c r="P1321" s="24">
        <v>1.3599999999999999E-2</v>
      </c>
      <c r="Q1321" s="31">
        <f>C1321-N1321</f>
        <v>3.9000000000000007E-2</v>
      </c>
      <c r="R1321" s="41">
        <f>D1321-O1321</f>
        <v>0</v>
      </c>
      <c r="S1321" s="41">
        <f>E1321-P1321</f>
        <v>0.14899999999999999</v>
      </c>
    </row>
    <row r="1322" spans="1:19" x14ac:dyDescent="0.15">
      <c r="A1322" s="1">
        <v>6</v>
      </c>
      <c r="B1322" s="1">
        <v>12</v>
      </c>
      <c r="C1322" s="10">
        <v>0.28010000000000002</v>
      </c>
      <c r="D1322" s="5">
        <v>145</v>
      </c>
      <c r="E1322" s="10">
        <v>0.1676</v>
      </c>
      <c r="F1322" s="5">
        <v>897</v>
      </c>
      <c r="G1322" s="5">
        <v>61</v>
      </c>
      <c r="I1322" s="40">
        <f t="shared" si="55"/>
        <v>897</v>
      </c>
      <c r="J1322" s="40">
        <f t="shared" si="56"/>
        <v>61</v>
      </c>
      <c r="K1322" s="1">
        <v>15</v>
      </c>
      <c r="L1322" s="1">
        <v>4</v>
      </c>
      <c r="M1322">
        <f t="shared" si="57"/>
        <v>939</v>
      </c>
      <c r="N1322" s="1">
        <v>0.24110000000000001</v>
      </c>
      <c r="O1322" s="1">
        <v>145</v>
      </c>
      <c r="P1322" s="24">
        <v>1.8599999999999998E-2</v>
      </c>
      <c r="Q1322" s="31">
        <f>C1322-N1322</f>
        <v>3.9000000000000007E-2</v>
      </c>
      <c r="R1322" s="41">
        <f>D1322-O1322</f>
        <v>0</v>
      </c>
      <c r="S1322" s="41">
        <f>E1322-P1322</f>
        <v>0.14899999999999999</v>
      </c>
    </row>
    <row r="1323" spans="1:19" x14ac:dyDescent="0.15">
      <c r="A1323" s="1">
        <v>6</v>
      </c>
      <c r="B1323" s="1">
        <v>12</v>
      </c>
      <c r="C1323" s="10">
        <v>0.28010000000000002</v>
      </c>
      <c r="D1323" s="5">
        <v>145</v>
      </c>
      <c r="E1323" s="10">
        <v>0.1726</v>
      </c>
      <c r="F1323" s="5">
        <v>922</v>
      </c>
      <c r="G1323" s="5">
        <v>61</v>
      </c>
      <c r="I1323" s="40">
        <f t="shared" si="55"/>
        <v>922</v>
      </c>
      <c r="J1323" s="40">
        <f t="shared" si="56"/>
        <v>61</v>
      </c>
      <c r="K1323" s="1">
        <v>186</v>
      </c>
      <c r="L1323" s="1">
        <v>14</v>
      </c>
      <c r="M1323">
        <f t="shared" si="57"/>
        <v>783</v>
      </c>
      <c r="N1323" s="1">
        <v>0.24110000000000001</v>
      </c>
      <c r="O1323" s="1">
        <v>145</v>
      </c>
      <c r="P1323" s="24">
        <v>2.3599999999999999E-2</v>
      </c>
      <c r="Q1323" s="31">
        <f>C1323-N1323</f>
        <v>3.9000000000000007E-2</v>
      </c>
      <c r="R1323" s="41">
        <f>D1323-O1323</f>
        <v>0</v>
      </c>
      <c r="S1323" s="41">
        <f>E1323-P1323</f>
        <v>0.14899999999999999</v>
      </c>
    </row>
    <row r="1324" spans="1:19" x14ac:dyDescent="0.15">
      <c r="A1324" s="1">
        <v>6</v>
      </c>
      <c r="B1324" s="1">
        <v>12</v>
      </c>
      <c r="C1324" s="10">
        <v>0.28010000000000002</v>
      </c>
      <c r="D1324" s="5">
        <v>145</v>
      </c>
      <c r="E1324" s="10">
        <v>0.17760000000000001</v>
      </c>
      <c r="F1324" s="5">
        <v>863</v>
      </c>
      <c r="G1324" s="5">
        <v>62</v>
      </c>
      <c r="I1324" s="40">
        <f t="shared" si="55"/>
        <v>863</v>
      </c>
      <c r="J1324" s="40">
        <f t="shared" si="56"/>
        <v>62</v>
      </c>
      <c r="K1324" s="1">
        <v>816</v>
      </c>
      <c r="L1324" s="1">
        <v>47</v>
      </c>
      <c r="M1324">
        <f t="shared" si="57"/>
        <v>62</v>
      </c>
      <c r="N1324" s="1">
        <v>0.24110000000000001</v>
      </c>
      <c r="O1324" s="1">
        <v>145</v>
      </c>
      <c r="P1324" s="24">
        <v>2.86E-2</v>
      </c>
      <c r="Q1324" s="31">
        <f>C1324-N1324</f>
        <v>3.9000000000000007E-2</v>
      </c>
      <c r="R1324" s="41">
        <f>D1324-O1324</f>
        <v>0</v>
      </c>
      <c r="S1324" s="41">
        <f>E1324-P1324</f>
        <v>0.14900000000000002</v>
      </c>
    </row>
    <row r="1325" spans="1:19" x14ac:dyDescent="0.15">
      <c r="A1325" s="1">
        <v>6</v>
      </c>
      <c r="B1325" s="1">
        <v>12</v>
      </c>
      <c r="C1325" s="10">
        <v>0.28010000000000002</v>
      </c>
      <c r="D1325" s="5">
        <v>145</v>
      </c>
      <c r="E1325" s="10">
        <v>8.6E-3</v>
      </c>
      <c r="F1325" s="5">
        <v>27</v>
      </c>
      <c r="G1325" s="5">
        <v>4</v>
      </c>
      <c r="I1325" s="40">
        <f t="shared" si="55"/>
        <v>27</v>
      </c>
      <c r="J1325" s="40">
        <f t="shared" si="56"/>
        <v>4</v>
      </c>
      <c r="K1325" s="1">
        <v>652</v>
      </c>
      <c r="L1325" s="1">
        <v>30</v>
      </c>
      <c r="M1325">
        <f t="shared" si="57"/>
        <v>-651</v>
      </c>
      <c r="N1325" s="1">
        <v>0.24110000000000001</v>
      </c>
      <c r="O1325" s="1">
        <v>145</v>
      </c>
      <c r="P1325" s="24">
        <v>3.3599999999999998E-2</v>
      </c>
      <c r="Q1325" s="31">
        <f>C1325-N1325</f>
        <v>3.9000000000000007E-2</v>
      </c>
      <c r="R1325" s="41">
        <f>D1325-O1325</f>
        <v>0</v>
      </c>
      <c r="S1325" s="41">
        <f>E1325-P1325</f>
        <v>-2.4999999999999998E-2</v>
      </c>
    </row>
    <row r="1326" spans="1:19" x14ac:dyDescent="0.15">
      <c r="A1326" s="1">
        <v>6</v>
      </c>
      <c r="B1326" s="1">
        <v>12</v>
      </c>
      <c r="C1326" s="10">
        <v>0.28010000000000002</v>
      </c>
      <c r="D1326" s="5">
        <v>145</v>
      </c>
      <c r="E1326" s="10">
        <v>1.3599999999999999E-2</v>
      </c>
      <c r="F1326" s="5">
        <v>29</v>
      </c>
      <c r="G1326" s="5">
        <v>3</v>
      </c>
      <c r="I1326" s="40">
        <f t="shared" si="55"/>
        <v>29</v>
      </c>
      <c r="J1326" s="40">
        <f t="shared" si="56"/>
        <v>3</v>
      </c>
      <c r="K1326" s="1">
        <v>908</v>
      </c>
      <c r="L1326" s="1">
        <v>40</v>
      </c>
      <c r="M1326">
        <f t="shared" si="57"/>
        <v>-916</v>
      </c>
      <c r="N1326" s="1">
        <v>0.24110000000000001</v>
      </c>
      <c r="O1326" s="1">
        <v>145</v>
      </c>
      <c r="P1326" s="24">
        <v>3.8600000000000002E-2</v>
      </c>
      <c r="Q1326" s="31">
        <f>C1326-N1326</f>
        <v>3.9000000000000007E-2</v>
      </c>
      <c r="R1326" s="41">
        <f>D1326-O1326</f>
        <v>0</v>
      </c>
      <c r="S1326" s="41">
        <f>E1326-P1326</f>
        <v>-2.5000000000000001E-2</v>
      </c>
    </row>
    <row r="1327" spans="1:19" x14ac:dyDescent="0.15">
      <c r="A1327" s="1">
        <v>6</v>
      </c>
      <c r="B1327" s="1">
        <v>12</v>
      </c>
      <c r="C1327" s="10">
        <v>0.28010000000000002</v>
      </c>
      <c r="D1327" s="5">
        <v>145</v>
      </c>
      <c r="E1327" s="10">
        <v>1.8600000000000002E-2</v>
      </c>
      <c r="F1327" s="5">
        <v>15</v>
      </c>
      <c r="G1327" s="5">
        <v>4</v>
      </c>
      <c r="I1327" s="40">
        <f t="shared" si="55"/>
        <v>15</v>
      </c>
      <c r="J1327" s="40">
        <f t="shared" si="56"/>
        <v>4</v>
      </c>
      <c r="K1327" s="1">
        <v>1070</v>
      </c>
      <c r="L1327" s="1">
        <v>53</v>
      </c>
      <c r="M1327">
        <f t="shared" si="57"/>
        <v>-1104</v>
      </c>
      <c r="N1327" s="1">
        <v>0.24110000000000001</v>
      </c>
      <c r="O1327" s="1">
        <v>145</v>
      </c>
      <c r="P1327" s="24">
        <v>4.36E-2</v>
      </c>
      <c r="Q1327" s="31">
        <f>C1327-N1327</f>
        <v>3.9000000000000007E-2</v>
      </c>
      <c r="R1327" s="41">
        <f>D1327-O1327</f>
        <v>0</v>
      </c>
      <c r="S1327" s="41">
        <f>E1327-P1327</f>
        <v>-2.4999999999999998E-2</v>
      </c>
    </row>
    <row r="1328" spans="1:19" x14ac:dyDescent="0.15">
      <c r="A1328" s="1">
        <v>6</v>
      </c>
      <c r="B1328" s="1">
        <v>12</v>
      </c>
      <c r="C1328" s="10">
        <v>0.28010000000000002</v>
      </c>
      <c r="D1328" s="5">
        <v>145</v>
      </c>
      <c r="E1328" s="10">
        <v>2.3600000000000003E-2</v>
      </c>
      <c r="F1328" s="5">
        <v>186</v>
      </c>
      <c r="G1328" s="5">
        <v>14</v>
      </c>
      <c r="I1328" s="40">
        <f t="shared" si="55"/>
        <v>186</v>
      </c>
      <c r="J1328" s="40">
        <f t="shared" si="56"/>
        <v>14</v>
      </c>
      <c r="K1328" s="1">
        <v>1280</v>
      </c>
      <c r="L1328" s="1">
        <v>58</v>
      </c>
      <c r="M1328">
        <f t="shared" si="57"/>
        <v>-1138</v>
      </c>
      <c r="N1328" s="1">
        <v>0.24110000000000001</v>
      </c>
      <c r="O1328" s="1">
        <v>145</v>
      </c>
      <c r="P1328" s="24">
        <v>5.8599999999999999E-2</v>
      </c>
      <c r="Q1328" s="31">
        <f>C1328-N1328</f>
        <v>3.9000000000000007E-2</v>
      </c>
      <c r="R1328" s="41">
        <f>D1328-O1328</f>
        <v>0</v>
      </c>
      <c r="S1328" s="41">
        <f>E1328-P1328</f>
        <v>-3.4999999999999996E-2</v>
      </c>
    </row>
    <row r="1329" spans="1:19" x14ac:dyDescent="0.15">
      <c r="A1329" s="1">
        <v>6</v>
      </c>
      <c r="B1329" s="1">
        <v>12</v>
      </c>
      <c r="C1329" s="10">
        <v>0.28010000000000002</v>
      </c>
      <c r="D1329" s="5">
        <v>145</v>
      </c>
      <c r="E1329" s="10">
        <v>2.86E-2</v>
      </c>
      <c r="F1329" s="5">
        <v>816</v>
      </c>
      <c r="G1329" s="5">
        <v>47</v>
      </c>
      <c r="I1329" s="40">
        <f t="shared" si="55"/>
        <v>816</v>
      </c>
      <c r="J1329" s="40">
        <f t="shared" si="56"/>
        <v>47</v>
      </c>
      <c r="K1329" s="1">
        <v>1913</v>
      </c>
      <c r="L1329" s="1">
        <v>70</v>
      </c>
      <c r="M1329">
        <f t="shared" si="57"/>
        <v>-1120</v>
      </c>
      <c r="N1329" s="1">
        <v>0.24110000000000001</v>
      </c>
      <c r="O1329" s="1">
        <v>145</v>
      </c>
      <c r="P1329" s="24">
        <v>6.3600000000000004E-2</v>
      </c>
      <c r="Q1329" s="31">
        <f>C1329-N1329</f>
        <v>3.9000000000000007E-2</v>
      </c>
      <c r="R1329" s="41">
        <f>D1329-O1329</f>
        <v>0</v>
      </c>
      <c r="S1329" s="41">
        <f>E1329-P1329</f>
        <v>-3.5000000000000003E-2</v>
      </c>
    </row>
    <row r="1330" spans="1:19" x14ac:dyDescent="0.15">
      <c r="A1330" s="1">
        <v>6</v>
      </c>
      <c r="B1330" s="1">
        <v>12</v>
      </c>
      <c r="C1330" s="10">
        <v>0.28010000000000002</v>
      </c>
      <c r="D1330" s="5">
        <v>145</v>
      </c>
      <c r="E1330" s="10">
        <v>3.3600000000000005E-2</v>
      </c>
      <c r="F1330" s="5">
        <v>652</v>
      </c>
      <c r="G1330" s="5">
        <v>30</v>
      </c>
      <c r="I1330" s="40">
        <f t="shared" si="55"/>
        <v>652</v>
      </c>
      <c r="J1330" s="40">
        <f t="shared" si="56"/>
        <v>30</v>
      </c>
      <c r="K1330" s="1">
        <v>2051</v>
      </c>
      <c r="L1330" s="1">
        <v>75</v>
      </c>
      <c r="M1330">
        <f t="shared" si="57"/>
        <v>-1444</v>
      </c>
      <c r="N1330" s="1">
        <v>0.24110000000000001</v>
      </c>
      <c r="O1330" s="1">
        <v>145</v>
      </c>
      <c r="P1330" s="24">
        <v>6.8599999999999994E-2</v>
      </c>
      <c r="Q1330" s="31">
        <f>C1330-N1330</f>
        <v>3.9000000000000007E-2</v>
      </c>
      <c r="R1330" s="41">
        <f>D1330-O1330</f>
        <v>0</v>
      </c>
      <c r="S1330" s="41">
        <f>E1330-P1330</f>
        <v>-3.4999999999999989E-2</v>
      </c>
    </row>
    <row r="1331" spans="1:19" x14ac:dyDescent="0.15">
      <c r="A1331" s="1">
        <v>6</v>
      </c>
      <c r="B1331" s="1">
        <v>12</v>
      </c>
      <c r="C1331" s="10">
        <v>0.28010000000000002</v>
      </c>
      <c r="D1331" s="5">
        <v>145</v>
      </c>
      <c r="E1331" s="10">
        <v>3.8600000000000002E-2</v>
      </c>
      <c r="F1331" s="5">
        <v>908</v>
      </c>
      <c r="G1331" s="5">
        <v>40</v>
      </c>
      <c r="I1331" s="40">
        <f t="shared" si="55"/>
        <v>908</v>
      </c>
      <c r="J1331" s="40">
        <f t="shared" si="56"/>
        <v>40</v>
      </c>
      <c r="K1331" s="1">
        <v>2182</v>
      </c>
      <c r="L1331" s="1">
        <v>81</v>
      </c>
      <c r="M1331">
        <f t="shared" si="57"/>
        <v>-1315</v>
      </c>
      <c r="N1331" s="1">
        <v>0.24110000000000001</v>
      </c>
      <c r="O1331" s="1">
        <v>145</v>
      </c>
      <c r="P1331" s="24">
        <v>7.3599999999999999E-2</v>
      </c>
      <c r="Q1331" s="31">
        <f>C1331-N1331</f>
        <v>3.9000000000000007E-2</v>
      </c>
      <c r="R1331" s="41">
        <f>D1331-O1331</f>
        <v>0</v>
      </c>
      <c r="S1331" s="41">
        <f>E1331-P1331</f>
        <v>-3.4999999999999996E-2</v>
      </c>
    </row>
    <row r="1332" spans="1:19" x14ac:dyDescent="0.15">
      <c r="A1332" s="1">
        <v>6</v>
      </c>
      <c r="B1332" s="1">
        <v>12</v>
      </c>
      <c r="C1332" s="10">
        <v>0.28010000000000002</v>
      </c>
      <c r="D1332" s="5">
        <v>145</v>
      </c>
      <c r="E1332" s="10">
        <v>4.36E-2</v>
      </c>
      <c r="F1332" s="5">
        <v>1070</v>
      </c>
      <c r="G1332" s="5">
        <v>53</v>
      </c>
      <c r="I1332" s="40">
        <f t="shared" si="55"/>
        <v>1070</v>
      </c>
      <c r="J1332" s="40">
        <f t="shared" si="56"/>
        <v>53</v>
      </c>
      <c r="K1332" s="1">
        <v>2410</v>
      </c>
      <c r="L1332" s="1">
        <v>90</v>
      </c>
      <c r="M1332">
        <f t="shared" si="57"/>
        <v>-1377</v>
      </c>
      <c r="N1332" s="1">
        <v>0.24110000000000001</v>
      </c>
      <c r="O1332" s="1">
        <v>145</v>
      </c>
      <c r="P1332" s="24">
        <v>7.8E-2</v>
      </c>
      <c r="Q1332" s="31">
        <f>C1332-N1332</f>
        <v>3.9000000000000007E-2</v>
      </c>
      <c r="R1332" s="41">
        <f>D1332-O1332</f>
        <v>0</v>
      </c>
      <c r="S1332" s="41">
        <f>E1332-P1332</f>
        <v>-3.44E-2</v>
      </c>
    </row>
    <row r="1333" spans="1:19" x14ac:dyDescent="0.15">
      <c r="A1333" s="1">
        <v>6</v>
      </c>
      <c r="B1333" s="1">
        <v>12</v>
      </c>
      <c r="C1333" s="10">
        <v>0.28010000000000002</v>
      </c>
      <c r="D1333" s="5">
        <v>145</v>
      </c>
      <c r="E1333" s="10">
        <v>4.8600000000000004E-2</v>
      </c>
      <c r="F1333" s="5">
        <v>1280</v>
      </c>
      <c r="G1333" s="5">
        <v>52</v>
      </c>
      <c r="I1333" s="40">
        <f t="shared" si="55"/>
        <v>1280</v>
      </c>
      <c r="J1333" s="40">
        <f t="shared" si="56"/>
        <v>52</v>
      </c>
      <c r="K1333" s="1">
        <v>2630</v>
      </c>
      <c r="L1333" s="1">
        <v>102</v>
      </c>
      <c r="M1333">
        <f t="shared" si="57"/>
        <v>-1400</v>
      </c>
      <c r="N1333" s="1">
        <v>0.24110000000000001</v>
      </c>
      <c r="O1333" s="1">
        <v>145</v>
      </c>
      <c r="P1333" s="24">
        <v>8.3599999999999994E-2</v>
      </c>
      <c r="Q1333" s="31">
        <f>C1333-N1333</f>
        <v>3.9000000000000007E-2</v>
      </c>
      <c r="R1333" s="41">
        <f>D1333-O1333</f>
        <v>0</v>
      </c>
      <c r="S1333" s="41">
        <f>E1333-P1333</f>
        <v>-3.4999999999999989E-2</v>
      </c>
    </row>
    <row r="1334" spans="1:19" x14ac:dyDescent="0.15">
      <c r="A1334" s="1">
        <v>6</v>
      </c>
      <c r="B1334" s="1">
        <v>12</v>
      </c>
      <c r="C1334" s="10">
        <v>0.28010000000000002</v>
      </c>
      <c r="D1334" s="5">
        <v>145</v>
      </c>
      <c r="E1334" s="10">
        <v>5.3600000000000002E-2</v>
      </c>
      <c r="F1334" s="5">
        <v>1442</v>
      </c>
      <c r="G1334" s="5">
        <v>52</v>
      </c>
      <c r="I1334" s="40">
        <f t="shared" si="55"/>
        <v>1442</v>
      </c>
      <c r="J1334" s="40">
        <f t="shared" si="56"/>
        <v>52</v>
      </c>
      <c r="K1334" s="1">
        <v>2657</v>
      </c>
      <c r="L1334" s="1">
        <v>102</v>
      </c>
      <c r="M1334">
        <f t="shared" si="57"/>
        <v>-1265</v>
      </c>
      <c r="N1334" s="1">
        <v>0.24110000000000001</v>
      </c>
      <c r="O1334" s="1">
        <v>145</v>
      </c>
      <c r="P1334" s="24">
        <v>8.8599999999999998E-2</v>
      </c>
      <c r="Q1334" s="31">
        <f>C1334-N1334</f>
        <v>3.9000000000000007E-2</v>
      </c>
      <c r="R1334" s="41">
        <f>D1334-O1334</f>
        <v>0</v>
      </c>
      <c r="S1334" s="41">
        <f>E1334-P1334</f>
        <v>-3.4999999999999996E-2</v>
      </c>
    </row>
    <row r="1335" spans="1:19" x14ac:dyDescent="0.15">
      <c r="A1335" s="1">
        <v>6</v>
      </c>
      <c r="B1335" s="1">
        <v>12</v>
      </c>
      <c r="C1335" s="10">
        <v>0.28010000000000002</v>
      </c>
      <c r="D1335" s="5">
        <v>145</v>
      </c>
      <c r="E1335" s="10">
        <v>5.8599999999999999E-2</v>
      </c>
      <c r="F1335" s="5">
        <v>1661</v>
      </c>
      <c r="G1335" s="5">
        <v>56</v>
      </c>
      <c r="I1335" s="40">
        <f t="shared" si="55"/>
        <v>1661</v>
      </c>
      <c r="J1335" s="40">
        <f t="shared" si="56"/>
        <v>56</v>
      </c>
      <c r="K1335" s="1">
        <v>2704</v>
      </c>
      <c r="L1335" s="1">
        <v>106</v>
      </c>
      <c r="M1335">
        <f t="shared" si="57"/>
        <v>-1093</v>
      </c>
      <c r="N1335" s="1">
        <v>0.24110000000000001</v>
      </c>
      <c r="O1335" s="1">
        <v>145</v>
      </c>
      <c r="P1335" s="24">
        <v>9.3600000000000003E-2</v>
      </c>
      <c r="Q1335" s="31">
        <f>C1335-N1335</f>
        <v>3.9000000000000007E-2</v>
      </c>
      <c r="R1335" s="41">
        <f>D1335-O1335</f>
        <v>0</v>
      </c>
      <c r="S1335" s="41">
        <f>E1335-P1335</f>
        <v>-3.5000000000000003E-2</v>
      </c>
    </row>
    <row r="1336" spans="1:19" x14ac:dyDescent="0.15">
      <c r="A1336" s="1">
        <v>6</v>
      </c>
      <c r="B1336" s="1">
        <v>12</v>
      </c>
      <c r="C1336" s="10">
        <v>0.28010000000000002</v>
      </c>
      <c r="D1336" s="5">
        <v>145</v>
      </c>
      <c r="E1336" s="10">
        <v>6.3600000000000004E-2</v>
      </c>
      <c r="F1336" s="5">
        <v>1913</v>
      </c>
      <c r="G1336" s="5">
        <v>70</v>
      </c>
      <c r="I1336" s="40">
        <f t="shared" si="55"/>
        <v>1913</v>
      </c>
      <c r="J1336" s="40">
        <f t="shared" si="56"/>
        <v>70</v>
      </c>
      <c r="K1336" s="1">
        <v>2613</v>
      </c>
      <c r="L1336" s="1">
        <v>114</v>
      </c>
      <c r="M1336">
        <f t="shared" si="57"/>
        <v>-744</v>
      </c>
      <c r="N1336" s="1">
        <v>0.24110000000000001</v>
      </c>
      <c r="O1336" s="1">
        <v>145</v>
      </c>
      <c r="P1336" s="24">
        <v>9.8599999999999993E-2</v>
      </c>
      <c r="Q1336" s="31">
        <f>C1336-N1336</f>
        <v>3.9000000000000007E-2</v>
      </c>
      <c r="R1336" s="41">
        <f>D1336-O1336</f>
        <v>0</v>
      </c>
      <c r="S1336" s="41">
        <f>E1336-P1336</f>
        <v>-3.4999999999999989E-2</v>
      </c>
    </row>
    <row r="1337" spans="1:19" x14ac:dyDescent="0.15">
      <c r="A1337" s="1">
        <v>6</v>
      </c>
      <c r="B1337" s="1">
        <v>12</v>
      </c>
      <c r="C1337" s="10">
        <v>0.28010000000000002</v>
      </c>
      <c r="D1337" s="5">
        <v>145</v>
      </c>
      <c r="E1337" s="10">
        <v>6.8599999999999994E-2</v>
      </c>
      <c r="F1337" s="5">
        <v>2051</v>
      </c>
      <c r="G1337" s="5">
        <v>75</v>
      </c>
      <c r="I1337" s="40">
        <f t="shared" ref="I1337:I1400" si="58">F1337</f>
        <v>2051</v>
      </c>
      <c r="J1337" s="40">
        <f t="shared" ref="J1337:J1400" si="59">G1337</f>
        <v>75</v>
      </c>
      <c r="K1337" s="1">
        <v>2613</v>
      </c>
      <c r="L1337" s="1">
        <v>114</v>
      </c>
      <c r="M1337">
        <f t="shared" si="57"/>
        <v>-601</v>
      </c>
      <c r="N1337" s="1">
        <v>0.24110000000000001</v>
      </c>
      <c r="O1337" s="1">
        <v>145</v>
      </c>
      <c r="P1337" s="24">
        <v>0.1036</v>
      </c>
      <c r="Q1337" s="31">
        <f>C1337-N1337</f>
        <v>3.9000000000000007E-2</v>
      </c>
      <c r="R1337" s="41">
        <f>D1337-O1337</f>
        <v>0</v>
      </c>
      <c r="S1337" s="41">
        <f>E1337-P1337</f>
        <v>-3.5000000000000003E-2</v>
      </c>
    </row>
    <row r="1338" spans="1:19" x14ac:dyDescent="0.15">
      <c r="A1338" s="1">
        <v>6</v>
      </c>
      <c r="B1338" s="1">
        <v>12</v>
      </c>
      <c r="C1338" s="10">
        <v>0.28010000000000002</v>
      </c>
      <c r="D1338" s="5">
        <v>145</v>
      </c>
      <c r="E1338" s="10">
        <v>7.3599999999999999E-2</v>
      </c>
      <c r="F1338" s="5">
        <v>2182</v>
      </c>
      <c r="G1338" s="5">
        <v>81</v>
      </c>
      <c r="I1338" s="40">
        <f t="shared" si="58"/>
        <v>2182</v>
      </c>
      <c r="J1338" s="40">
        <f t="shared" si="59"/>
        <v>81</v>
      </c>
      <c r="K1338" s="1">
        <v>2400</v>
      </c>
      <c r="L1338" s="1">
        <v>110</v>
      </c>
      <c r="M1338">
        <f t="shared" si="57"/>
        <v>-247</v>
      </c>
      <c r="N1338" s="1">
        <v>0.24110000000000001</v>
      </c>
      <c r="O1338" s="1">
        <v>145</v>
      </c>
      <c r="P1338" s="24">
        <v>0.1086</v>
      </c>
      <c r="Q1338" s="31">
        <f>C1338-N1338</f>
        <v>3.9000000000000007E-2</v>
      </c>
      <c r="R1338" s="41">
        <f>D1338-O1338</f>
        <v>0</v>
      </c>
      <c r="S1338" s="41">
        <f>E1338-P1338</f>
        <v>-3.5000000000000003E-2</v>
      </c>
    </row>
    <row r="1339" spans="1:19" x14ac:dyDescent="0.15">
      <c r="A1339" s="1">
        <v>6</v>
      </c>
      <c r="B1339" s="1">
        <v>12</v>
      </c>
      <c r="C1339" s="10">
        <v>0.28010000000000002</v>
      </c>
      <c r="D1339" s="5">
        <v>145</v>
      </c>
      <c r="E1339" s="10">
        <v>7.8599999999999989E-2</v>
      </c>
      <c r="F1339" s="5">
        <v>2410</v>
      </c>
      <c r="G1339" s="5">
        <v>90</v>
      </c>
      <c r="I1339" s="40">
        <f t="shared" si="58"/>
        <v>2410</v>
      </c>
      <c r="J1339" s="40">
        <f t="shared" si="59"/>
        <v>90</v>
      </c>
      <c r="K1339" s="1">
        <v>2322</v>
      </c>
      <c r="L1339" s="1">
        <v>111</v>
      </c>
      <c r="M1339">
        <f t="shared" si="57"/>
        <v>67</v>
      </c>
      <c r="N1339" s="1">
        <v>0.24110000000000001</v>
      </c>
      <c r="O1339" s="1">
        <v>145</v>
      </c>
      <c r="P1339" s="24">
        <v>0.11360000000000001</v>
      </c>
      <c r="Q1339" s="31">
        <f>C1339-N1339</f>
        <v>3.9000000000000007E-2</v>
      </c>
      <c r="R1339" s="41">
        <f>D1339-O1339</f>
        <v>0</v>
      </c>
      <c r="S1339" s="41">
        <f>E1339-P1339</f>
        <v>-3.5000000000000017E-2</v>
      </c>
    </row>
    <row r="1340" spans="1:19" x14ac:dyDescent="0.15">
      <c r="A1340" s="1">
        <v>6</v>
      </c>
      <c r="B1340" s="1">
        <v>12</v>
      </c>
      <c r="C1340" s="10">
        <v>0.28010000000000002</v>
      </c>
      <c r="D1340" s="5">
        <v>145</v>
      </c>
      <c r="E1340" s="10">
        <v>8.3599999999999994E-2</v>
      </c>
      <c r="F1340" s="5">
        <v>2630</v>
      </c>
      <c r="G1340" s="5">
        <v>102</v>
      </c>
      <c r="I1340" s="40">
        <f t="shared" si="58"/>
        <v>2630</v>
      </c>
      <c r="J1340" s="40">
        <f t="shared" si="59"/>
        <v>102</v>
      </c>
      <c r="K1340" s="1">
        <v>2063</v>
      </c>
      <c r="L1340" s="1">
        <v>101</v>
      </c>
      <c r="M1340">
        <f t="shared" si="57"/>
        <v>568</v>
      </c>
      <c r="N1340" s="1">
        <v>0.24110000000000001</v>
      </c>
      <c r="O1340" s="1">
        <v>145</v>
      </c>
      <c r="P1340" s="24">
        <v>0.1186</v>
      </c>
      <c r="Q1340" s="31">
        <f>C1340-N1340</f>
        <v>3.9000000000000007E-2</v>
      </c>
      <c r="R1340" s="41">
        <f>D1340-O1340</f>
        <v>0</v>
      </c>
      <c r="S1340" s="41">
        <f>E1340-P1340</f>
        <v>-3.5000000000000003E-2</v>
      </c>
    </row>
    <row r="1341" spans="1:19" x14ac:dyDescent="0.15">
      <c r="A1341" s="1">
        <v>6</v>
      </c>
      <c r="B1341" s="1">
        <v>12</v>
      </c>
      <c r="C1341" s="10">
        <v>0.28010000000000002</v>
      </c>
      <c r="D1341" s="5">
        <v>145</v>
      </c>
      <c r="E1341" s="10">
        <v>8.8599999999999998E-2</v>
      </c>
      <c r="F1341" s="5">
        <v>2657</v>
      </c>
      <c r="G1341" s="5">
        <v>102</v>
      </c>
      <c r="I1341" s="40">
        <f t="shared" si="58"/>
        <v>2657</v>
      </c>
      <c r="J1341" s="40">
        <f t="shared" si="59"/>
        <v>102</v>
      </c>
      <c r="K1341" s="1">
        <v>1824</v>
      </c>
      <c r="L1341" s="1">
        <v>100</v>
      </c>
      <c r="M1341">
        <f t="shared" si="57"/>
        <v>835</v>
      </c>
      <c r="N1341" s="1">
        <v>0.24110000000000001</v>
      </c>
      <c r="O1341" s="1">
        <v>145</v>
      </c>
      <c r="P1341" s="24">
        <v>0.1236</v>
      </c>
      <c r="Q1341" s="31">
        <f>C1341-N1341</f>
        <v>3.9000000000000007E-2</v>
      </c>
      <c r="R1341" s="41">
        <f>D1341-O1341</f>
        <v>0</v>
      </c>
      <c r="S1341" s="41">
        <f>E1341-P1341</f>
        <v>-3.5000000000000003E-2</v>
      </c>
    </row>
    <row r="1342" spans="1:19" x14ac:dyDescent="0.15">
      <c r="A1342" s="1">
        <v>6</v>
      </c>
      <c r="B1342" s="1">
        <v>12</v>
      </c>
      <c r="C1342" s="10">
        <v>0.28010000000000002</v>
      </c>
      <c r="D1342" s="5">
        <v>145</v>
      </c>
      <c r="E1342" s="10">
        <v>9.3599999999999989E-2</v>
      </c>
      <c r="F1342" s="5">
        <v>2704</v>
      </c>
      <c r="G1342" s="5">
        <v>106</v>
      </c>
      <c r="I1342" s="40">
        <f t="shared" si="58"/>
        <v>2704</v>
      </c>
      <c r="J1342" s="40">
        <f t="shared" si="59"/>
        <v>106</v>
      </c>
      <c r="K1342" s="1">
        <v>1582</v>
      </c>
      <c r="L1342" s="1">
        <v>100</v>
      </c>
      <c r="M1342">
        <f t="shared" si="57"/>
        <v>1128</v>
      </c>
      <c r="N1342" s="1">
        <v>0.24110000000000001</v>
      </c>
      <c r="O1342" s="1">
        <v>145</v>
      </c>
      <c r="P1342" s="24">
        <v>0.12859999999999999</v>
      </c>
      <c r="Q1342" s="31">
        <f>C1342-N1342</f>
        <v>3.9000000000000007E-2</v>
      </c>
      <c r="R1342" s="41">
        <f>D1342-O1342</f>
        <v>0</v>
      </c>
      <c r="S1342" s="41">
        <f>E1342-P1342</f>
        <v>-3.5000000000000003E-2</v>
      </c>
    </row>
    <row r="1343" spans="1:19" x14ac:dyDescent="0.15">
      <c r="A1343" s="1">
        <v>6</v>
      </c>
      <c r="B1343" s="1">
        <v>12</v>
      </c>
      <c r="C1343" s="10">
        <v>0.28010000000000002</v>
      </c>
      <c r="D1343" s="5">
        <v>145</v>
      </c>
      <c r="E1343" s="10">
        <v>9.8599999999999993E-2</v>
      </c>
      <c r="F1343" s="5">
        <v>2750</v>
      </c>
      <c r="G1343" s="5">
        <v>114</v>
      </c>
      <c r="I1343" s="40">
        <f t="shared" si="58"/>
        <v>2750</v>
      </c>
      <c r="J1343" s="40">
        <f t="shared" si="59"/>
        <v>114</v>
      </c>
      <c r="K1343" s="1">
        <v>1491</v>
      </c>
      <c r="L1343" s="1">
        <v>92</v>
      </c>
      <c r="M1343">
        <f t="shared" si="57"/>
        <v>1281</v>
      </c>
      <c r="N1343" s="1">
        <v>0.24110000000000001</v>
      </c>
      <c r="O1343" s="1">
        <v>145</v>
      </c>
      <c r="P1343" s="24">
        <v>0.1336</v>
      </c>
      <c r="Q1343" s="31">
        <f>C1343-N1343</f>
        <v>3.9000000000000007E-2</v>
      </c>
      <c r="R1343" s="41">
        <f>D1343-O1343</f>
        <v>0</v>
      </c>
      <c r="S1343" s="41">
        <f>E1343-P1343</f>
        <v>-3.5000000000000003E-2</v>
      </c>
    </row>
    <row r="1344" spans="1:19" ht="14" thickBot="1" x14ac:dyDescent="0.2">
      <c r="A1344" s="1">
        <v>6</v>
      </c>
      <c r="B1344" s="1">
        <v>12</v>
      </c>
      <c r="C1344" s="10">
        <v>0.28010000000000002</v>
      </c>
      <c r="D1344" s="5">
        <v>145</v>
      </c>
      <c r="E1344" s="10">
        <v>0.1036</v>
      </c>
      <c r="F1344" s="5">
        <v>2613</v>
      </c>
      <c r="G1344" s="5">
        <v>114</v>
      </c>
      <c r="I1344" s="40">
        <f t="shared" si="58"/>
        <v>2613</v>
      </c>
      <c r="J1344" s="40">
        <f t="shared" si="59"/>
        <v>114</v>
      </c>
      <c r="K1344" s="1">
        <v>1253</v>
      </c>
      <c r="L1344" s="1">
        <v>87</v>
      </c>
      <c r="M1344">
        <f t="shared" si="57"/>
        <v>1387</v>
      </c>
      <c r="N1344" s="1">
        <v>0.24110000000000001</v>
      </c>
      <c r="O1344" s="1">
        <v>145</v>
      </c>
      <c r="P1344" s="44">
        <v>0.1386</v>
      </c>
      <c r="Q1344" s="31">
        <f>C1344-N1344</f>
        <v>3.9000000000000007E-2</v>
      </c>
      <c r="R1344" s="41">
        <f>D1344-O1344</f>
        <v>0</v>
      </c>
      <c r="S1344" s="41">
        <f>E1344-P1344</f>
        <v>-3.5000000000000003E-2</v>
      </c>
    </row>
    <row r="1345" spans="1:19" ht="14" thickTop="1" x14ac:dyDescent="0.15">
      <c r="A1345" s="1">
        <v>6</v>
      </c>
      <c r="B1345" s="1">
        <v>12</v>
      </c>
      <c r="C1345" s="10">
        <v>0.28010000000000002</v>
      </c>
      <c r="D1345" s="5">
        <v>145</v>
      </c>
      <c r="E1345" s="10">
        <v>0.10859999999999999</v>
      </c>
      <c r="F1345" s="5">
        <v>2400</v>
      </c>
      <c r="G1345" s="5">
        <v>110</v>
      </c>
      <c r="I1345" s="40">
        <f t="shared" si="58"/>
        <v>2400</v>
      </c>
      <c r="J1345" s="40">
        <f t="shared" si="59"/>
        <v>110</v>
      </c>
      <c r="K1345" s="1">
        <v>238</v>
      </c>
      <c r="L1345" s="1">
        <v>19</v>
      </c>
      <c r="M1345">
        <f t="shared" si="57"/>
        <v>2253</v>
      </c>
      <c r="N1345" s="1">
        <v>0.19989999999999999</v>
      </c>
      <c r="O1345" s="1">
        <v>145</v>
      </c>
      <c r="P1345" s="50">
        <v>9.9000000000000008E-3</v>
      </c>
      <c r="Q1345" s="31">
        <f>C1345-N1345</f>
        <v>8.0200000000000021E-2</v>
      </c>
      <c r="R1345" s="41">
        <f>D1345-O1345</f>
        <v>0</v>
      </c>
      <c r="S1345" s="41">
        <f>E1345-P1345</f>
        <v>9.8699999999999982E-2</v>
      </c>
    </row>
    <row r="1346" spans="1:19" x14ac:dyDescent="0.15">
      <c r="A1346" s="1">
        <v>6</v>
      </c>
      <c r="B1346" s="1">
        <v>12</v>
      </c>
      <c r="C1346" s="10">
        <v>0.28010000000000002</v>
      </c>
      <c r="D1346" s="5">
        <v>145</v>
      </c>
      <c r="E1346" s="10">
        <v>0.11359999999999999</v>
      </c>
      <c r="F1346" s="5">
        <v>2322</v>
      </c>
      <c r="G1346" s="5">
        <v>111</v>
      </c>
      <c r="I1346" s="40">
        <f t="shared" si="58"/>
        <v>2322</v>
      </c>
      <c r="J1346" s="40">
        <f t="shared" si="59"/>
        <v>111</v>
      </c>
      <c r="K1346" s="1">
        <v>207</v>
      </c>
      <c r="L1346" s="1">
        <v>13</v>
      </c>
      <c r="M1346">
        <f t="shared" si="57"/>
        <v>2213</v>
      </c>
      <c r="N1346" s="1">
        <v>0.19989999999999999</v>
      </c>
      <c r="O1346" s="1">
        <v>145</v>
      </c>
      <c r="P1346" s="24">
        <v>1.49E-2</v>
      </c>
      <c r="Q1346" s="31">
        <f>C1346-N1346</f>
        <v>8.0200000000000021E-2</v>
      </c>
      <c r="R1346" s="41">
        <f>D1346-O1346</f>
        <v>0</v>
      </c>
      <c r="S1346" s="41">
        <f>E1346-P1346</f>
        <v>9.8699999999999996E-2</v>
      </c>
    </row>
    <row r="1347" spans="1:19" x14ac:dyDescent="0.15">
      <c r="A1347" s="1">
        <v>6</v>
      </c>
      <c r="B1347" s="1">
        <v>12</v>
      </c>
      <c r="C1347" s="10">
        <v>0.28010000000000002</v>
      </c>
      <c r="D1347" s="5">
        <v>145</v>
      </c>
      <c r="E1347" s="10">
        <v>0.1186</v>
      </c>
      <c r="F1347" s="5">
        <v>2063</v>
      </c>
      <c r="G1347" s="5">
        <v>101</v>
      </c>
      <c r="I1347" s="40">
        <f t="shared" si="58"/>
        <v>2063</v>
      </c>
      <c r="J1347" s="40">
        <f t="shared" si="59"/>
        <v>101</v>
      </c>
      <c r="K1347" s="1">
        <v>840</v>
      </c>
      <c r="L1347" s="1">
        <v>45</v>
      </c>
      <c r="M1347">
        <f t="shared" ref="M1347:M1387" si="60">I1347+J1347-K1347-L1347</f>
        <v>1279</v>
      </c>
      <c r="N1347" s="1">
        <v>0.19989999999999999</v>
      </c>
      <c r="O1347" s="1">
        <v>145</v>
      </c>
      <c r="P1347" s="24">
        <v>1.9900000000000001E-2</v>
      </c>
      <c r="Q1347" s="31">
        <f>C1347-N1347</f>
        <v>8.0200000000000021E-2</v>
      </c>
      <c r="R1347" s="41">
        <f>D1347-O1347</f>
        <v>0</v>
      </c>
      <c r="S1347" s="41">
        <f>E1347-P1347</f>
        <v>9.8699999999999996E-2</v>
      </c>
    </row>
    <row r="1348" spans="1:19" x14ac:dyDescent="0.15">
      <c r="A1348" s="1">
        <v>6</v>
      </c>
      <c r="B1348" s="1">
        <v>12</v>
      </c>
      <c r="C1348" s="10">
        <v>0.28010000000000002</v>
      </c>
      <c r="D1348" s="5">
        <v>145</v>
      </c>
      <c r="E1348" s="10">
        <v>0.12359999999999999</v>
      </c>
      <c r="F1348" s="5">
        <v>1824</v>
      </c>
      <c r="G1348" s="5">
        <v>100</v>
      </c>
      <c r="I1348" s="40">
        <f t="shared" si="58"/>
        <v>1824</v>
      </c>
      <c r="J1348" s="40">
        <f t="shared" si="59"/>
        <v>100</v>
      </c>
      <c r="K1348" s="1">
        <v>2082</v>
      </c>
      <c r="L1348" s="1">
        <v>80</v>
      </c>
      <c r="M1348">
        <f t="shared" si="60"/>
        <v>-238</v>
      </c>
      <c r="N1348" s="1">
        <v>0.19989999999999999</v>
      </c>
      <c r="O1348" s="1">
        <v>145</v>
      </c>
      <c r="P1348" s="24">
        <v>2.4899999999999999E-2</v>
      </c>
      <c r="Q1348" s="31">
        <f>C1348-N1348</f>
        <v>8.0200000000000021E-2</v>
      </c>
      <c r="R1348" s="41">
        <f>D1348-O1348</f>
        <v>0</v>
      </c>
      <c r="S1348" s="41">
        <f>E1348-P1348</f>
        <v>9.8699999999999982E-2</v>
      </c>
    </row>
    <row r="1349" spans="1:19" x14ac:dyDescent="0.15">
      <c r="A1349" s="1">
        <v>6</v>
      </c>
      <c r="B1349" s="1">
        <v>12</v>
      </c>
      <c r="C1349" s="10">
        <v>0.28010000000000002</v>
      </c>
      <c r="D1349" s="5">
        <v>145</v>
      </c>
      <c r="E1349" s="10">
        <v>0.12859999999999999</v>
      </c>
      <c r="F1349" s="5">
        <v>1582</v>
      </c>
      <c r="G1349" s="5">
        <v>100</v>
      </c>
      <c r="I1349" s="40">
        <f t="shared" si="58"/>
        <v>1582</v>
      </c>
      <c r="J1349" s="40">
        <f t="shared" si="59"/>
        <v>100</v>
      </c>
      <c r="K1349" s="1">
        <v>1520</v>
      </c>
      <c r="L1349" s="1">
        <v>67</v>
      </c>
      <c r="M1349">
        <f t="shared" si="60"/>
        <v>95</v>
      </c>
      <c r="N1349" s="1">
        <v>0.19989999999999999</v>
      </c>
      <c r="O1349" s="1">
        <v>145</v>
      </c>
      <c r="P1349" s="24">
        <v>2.9899999999999999E-2</v>
      </c>
      <c r="Q1349" s="31">
        <f>C1349-N1349</f>
        <v>8.0200000000000021E-2</v>
      </c>
      <c r="R1349" s="41">
        <f>D1349-O1349</f>
        <v>0</v>
      </c>
      <c r="S1349" s="41">
        <f>E1349-P1349</f>
        <v>9.8699999999999996E-2</v>
      </c>
    </row>
    <row r="1350" spans="1:19" x14ac:dyDescent="0.15">
      <c r="A1350" s="1">
        <v>6</v>
      </c>
      <c r="B1350" s="1">
        <v>12</v>
      </c>
      <c r="C1350" s="10">
        <v>0.28010000000000002</v>
      </c>
      <c r="D1350" s="5">
        <v>145</v>
      </c>
      <c r="E1350" s="10">
        <v>0.1336</v>
      </c>
      <c r="F1350" s="5">
        <v>1491</v>
      </c>
      <c r="G1350" s="5">
        <v>92</v>
      </c>
      <c r="I1350" s="40">
        <f t="shared" si="58"/>
        <v>1491</v>
      </c>
      <c r="J1350" s="40">
        <f t="shared" si="59"/>
        <v>92</v>
      </c>
      <c r="K1350" s="1">
        <v>1822</v>
      </c>
      <c r="L1350" s="1">
        <v>74</v>
      </c>
      <c r="M1350">
        <f t="shared" si="60"/>
        <v>-313</v>
      </c>
      <c r="N1350" s="1">
        <v>0.19989999999999999</v>
      </c>
      <c r="O1350" s="1">
        <v>145</v>
      </c>
      <c r="P1350" s="24">
        <v>3.49E-2</v>
      </c>
      <c r="Q1350" s="31">
        <f>C1350-N1350</f>
        <v>8.0200000000000021E-2</v>
      </c>
      <c r="R1350" s="41">
        <f>D1350-O1350</f>
        <v>0</v>
      </c>
      <c r="S1350" s="41">
        <f>E1350-P1350</f>
        <v>9.8699999999999996E-2</v>
      </c>
    </row>
    <row r="1351" spans="1:19" x14ac:dyDescent="0.15">
      <c r="A1351" s="1">
        <v>6</v>
      </c>
      <c r="B1351" s="1">
        <v>12</v>
      </c>
      <c r="C1351" s="10">
        <v>0.28010000000000002</v>
      </c>
      <c r="D1351" s="5">
        <v>145</v>
      </c>
      <c r="E1351" s="10">
        <v>0.1386</v>
      </c>
      <c r="F1351" s="5">
        <v>1253</v>
      </c>
      <c r="G1351" s="5">
        <v>87</v>
      </c>
      <c r="I1351" s="40">
        <f t="shared" si="58"/>
        <v>1253</v>
      </c>
      <c r="J1351" s="40">
        <f t="shared" si="59"/>
        <v>87</v>
      </c>
      <c r="K1351" s="1">
        <v>2130</v>
      </c>
      <c r="L1351" s="1">
        <v>90</v>
      </c>
      <c r="M1351">
        <f t="shared" si="60"/>
        <v>-880</v>
      </c>
      <c r="N1351" s="1">
        <v>0.19989999999999999</v>
      </c>
      <c r="O1351" s="1">
        <v>145</v>
      </c>
      <c r="P1351" s="24">
        <v>3.9899999999999998E-2</v>
      </c>
      <c r="Q1351" s="31">
        <f>C1351-N1351</f>
        <v>8.0200000000000021E-2</v>
      </c>
      <c r="R1351" s="41">
        <f>D1351-O1351</f>
        <v>0</v>
      </c>
      <c r="S1351" s="41">
        <f>E1351-P1351</f>
        <v>9.870000000000001E-2</v>
      </c>
    </row>
    <row r="1352" spans="1:19" x14ac:dyDescent="0.15">
      <c r="A1352" s="1">
        <v>6</v>
      </c>
      <c r="B1352" s="1">
        <v>12</v>
      </c>
      <c r="C1352" s="10">
        <v>0.19989999999999999</v>
      </c>
      <c r="D1352" s="5">
        <v>145</v>
      </c>
      <c r="E1352" s="10">
        <v>9.9000000000000008E-3</v>
      </c>
      <c r="F1352" s="5">
        <v>238</v>
      </c>
      <c r="G1352" s="5">
        <v>19</v>
      </c>
      <c r="I1352" s="40">
        <f t="shared" si="58"/>
        <v>238</v>
      </c>
      <c r="J1352" s="40">
        <f t="shared" si="59"/>
        <v>19</v>
      </c>
      <c r="K1352" s="1">
        <v>2520</v>
      </c>
      <c r="L1352" s="1">
        <v>100</v>
      </c>
      <c r="M1352">
        <f t="shared" si="60"/>
        <v>-2363</v>
      </c>
      <c r="N1352" s="1">
        <v>0.19989999999999999</v>
      </c>
      <c r="O1352" s="1">
        <v>145</v>
      </c>
      <c r="P1352" s="24">
        <v>4.4900000000000002E-2</v>
      </c>
      <c r="Q1352" s="31">
        <f>C1352-N1352</f>
        <v>0</v>
      </c>
      <c r="R1352" s="41">
        <f>D1352-O1352</f>
        <v>0</v>
      </c>
      <c r="S1352" s="41">
        <f>E1352-P1352</f>
        <v>-3.5000000000000003E-2</v>
      </c>
    </row>
    <row r="1353" spans="1:19" x14ac:dyDescent="0.15">
      <c r="A1353" s="1">
        <v>6</v>
      </c>
      <c r="B1353" s="1">
        <v>12</v>
      </c>
      <c r="C1353" s="10">
        <v>0.19989999999999999</v>
      </c>
      <c r="D1353" s="5">
        <v>145</v>
      </c>
      <c r="E1353" s="10">
        <v>1.49E-2</v>
      </c>
      <c r="F1353" s="5">
        <v>207</v>
      </c>
      <c r="G1353" s="5">
        <v>13</v>
      </c>
      <c r="I1353" s="40">
        <f t="shared" si="58"/>
        <v>207</v>
      </c>
      <c r="J1353" s="40">
        <f t="shared" si="59"/>
        <v>13</v>
      </c>
      <c r="K1353" s="1">
        <v>2940</v>
      </c>
      <c r="L1353" s="1">
        <v>110</v>
      </c>
      <c r="M1353">
        <f t="shared" si="60"/>
        <v>-2830</v>
      </c>
      <c r="N1353" s="1">
        <v>0.19989999999999999</v>
      </c>
      <c r="O1353" s="1">
        <v>145</v>
      </c>
      <c r="P1353" s="24">
        <v>4.99E-2</v>
      </c>
      <c r="Q1353" s="31">
        <f>C1353-N1353</f>
        <v>0</v>
      </c>
      <c r="R1353" s="41">
        <f>D1353-O1353</f>
        <v>0</v>
      </c>
      <c r="S1353" s="41">
        <f>E1353-P1353</f>
        <v>-3.5000000000000003E-2</v>
      </c>
    </row>
    <row r="1354" spans="1:19" x14ac:dyDescent="0.15">
      <c r="A1354" s="1">
        <v>6</v>
      </c>
      <c r="B1354" s="1">
        <v>12</v>
      </c>
      <c r="C1354" s="10">
        <v>0.19989999999999999</v>
      </c>
      <c r="D1354" s="5">
        <v>145</v>
      </c>
      <c r="E1354" s="10">
        <v>1.9899999999999998E-2</v>
      </c>
      <c r="F1354" s="5">
        <v>840</v>
      </c>
      <c r="G1354" s="5">
        <v>45</v>
      </c>
      <c r="I1354" s="40">
        <f t="shared" si="58"/>
        <v>840</v>
      </c>
      <c r="J1354" s="40">
        <f t="shared" si="59"/>
        <v>45</v>
      </c>
      <c r="K1354" s="1">
        <v>3400</v>
      </c>
      <c r="L1354" s="1">
        <v>140</v>
      </c>
      <c r="M1354">
        <f t="shared" si="60"/>
        <v>-2655</v>
      </c>
      <c r="N1354" s="1">
        <v>0.19989999999999999</v>
      </c>
      <c r="O1354" s="1">
        <v>145</v>
      </c>
      <c r="P1354" s="24">
        <v>5.4899999999999997E-2</v>
      </c>
      <c r="Q1354" s="31">
        <f>C1354-N1354</f>
        <v>0</v>
      </c>
      <c r="R1354" s="41">
        <f>D1354-O1354</f>
        <v>0</v>
      </c>
      <c r="S1354" s="41">
        <f>E1354-P1354</f>
        <v>-3.5000000000000003E-2</v>
      </c>
    </row>
    <row r="1355" spans="1:19" x14ac:dyDescent="0.15">
      <c r="A1355" s="1">
        <v>6</v>
      </c>
      <c r="B1355" s="1">
        <v>12</v>
      </c>
      <c r="C1355" s="10">
        <v>0.19989999999999999</v>
      </c>
      <c r="D1355" s="5">
        <v>145</v>
      </c>
      <c r="E1355" s="10">
        <v>2.4899999999999999E-2</v>
      </c>
      <c r="F1355" s="5">
        <v>2082</v>
      </c>
      <c r="G1355" s="5">
        <v>80</v>
      </c>
      <c r="I1355" s="40">
        <f t="shared" si="58"/>
        <v>2082</v>
      </c>
      <c r="J1355" s="40">
        <f t="shared" si="59"/>
        <v>80</v>
      </c>
      <c r="K1355" s="1">
        <v>3660</v>
      </c>
      <c r="L1355" s="1">
        <v>150</v>
      </c>
      <c r="M1355">
        <f t="shared" si="60"/>
        <v>-1648</v>
      </c>
      <c r="N1355" s="1">
        <v>0.19989999999999999</v>
      </c>
      <c r="O1355" s="1">
        <v>145</v>
      </c>
      <c r="P1355" s="24">
        <v>5.9900000000000002E-2</v>
      </c>
      <c r="Q1355" s="31">
        <f>C1355-N1355</f>
        <v>0</v>
      </c>
      <c r="R1355" s="41">
        <f>D1355-O1355</f>
        <v>0</v>
      </c>
      <c r="S1355" s="41">
        <f>E1355-P1355</f>
        <v>-3.5000000000000003E-2</v>
      </c>
    </row>
    <row r="1356" spans="1:19" x14ac:dyDescent="0.15">
      <c r="A1356" s="1">
        <v>6</v>
      </c>
      <c r="B1356" s="1">
        <v>12</v>
      </c>
      <c r="C1356" s="10">
        <v>0.19989999999999999</v>
      </c>
      <c r="D1356" s="5">
        <v>145</v>
      </c>
      <c r="E1356" s="10">
        <v>2.9899999999999999E-2</v>
      </c>
      <c r="F1356" s="5">
        <v>1520</v>
      </c>
      <c r="G1356" s="5">
        <v>67</v>
      </c>
      <c r="I1356" s="40">
        <f t="shared" si="58"/>
        <v>1520</v>
      </c>
      <c r="J1356" s="40">
        <f t="shared" si="59"/>
        <v>67</v>
      </c>
      <c r="K1356" s="1">
        <v>3750</v>
      </c>
      <c r="L1356" s="1">
        <v>160</v>
      </c>
      <c r="M1356">
        <f t="shared" si="60"/>
        <v>-2323</v>
      </c>
      <c r="N1356" s="1">
        <v>0.19989999999999999</v>
      </c>
      <c r="O1356" s="1">
        <v>145</v>
      </c>
      <c r="P1356" s="24">
        <v>6.4899999999999999E-2</v>
      </c>
      <c r="Q1356" s="31">
        <f>C1356-N1356</f>
        <v>0</v>
      </c>
      <c r="R1356" s="41">
        <f>D1356-O1356</f>
        <v>0</v>
      </c>
      <c r="S1356" s="41">
        <f>E1356-P1356</f>
        <v>-3.5000000000000003E-2</v>
      </c>
    </row>
    <row r="1357" spans="1:19" x14ac:dyDescent="0.15">
      <c r="A1357" s="1">
        <v>6</v>
      </c>
      <c r="B1357" s="1">
        <v>12</v>
      </c>
      <c r="C1357" s="10">
        <v>0.19989999999999999</v>
      </c>
      <c r="D1357" s="5">
        <v>145</v>
      </c>
      <c r="E1357" s="10">
        <v>3.49E-2</v>
      </c>
      <c r="F1357" s="5">
        <v>1822</v>
      </c>
      <c r="G1357" s="5">
        <v>74</v>
      </c>
      <c r="I1357" s="40">
        <f t="shared" si="58"/>
        <v>1822</v>
      </c>
      <c r="J1357" s="40">
        <f t="shared" si="59"/>
        <v>74</v>
      </c>
      <c r="K1357" s="1">
        <v>3860</v>
      </c>
      <c r="L1357" s="1">
        <v>170</v>
      </c>
      <c r="M1357">
        <f t="shared" si="60"/>
        <v>-2134</v>
      </c>
      <c r="N1357" s="1">
        <v>0.19989999999999999</v>
      </c>
      <c r="O1357" s="1">
        <v>145</v>
      </c>
      <c r="P1357" s="24">
        <v>6.9900000000000004E-2</v>
      </c>
      <c r="Q1357" s="31">
        <f>C1357-N1357</f>
        <v>0</v>
      </c>
      <c r="R1357" s="41">
        <f>D1357-O1357</f>
        <v>0</v>
      </c>
      <c r="S1357" s="41">
        <f>E1357-P1357</f>
        <v>-3.5000000000000003E-2</v>
      </c>
    </row>
    <row r="1358" spans="1:19" x14ac:dyDescent="0.15">
      <c r="A1358" s="1">
        <v>6</v>
      </c>
      <c r="B1358" s="1">
        <v>12</v>
      </c>
      <c r="C1358" s="10">
        <v>0.19989999999999999</v>
      </c>
      <c r="D1358" s="5">
        <v>145</v>
      </c>
      <c r="E1358" s="10">
        <v>3.9899999999999998E-2</v>
      </c>
      <c r="F1358" s="5">
        <v>2130</v>
      </c>
      <c r="G1358" s="5">
        <v>90</v>
      </c>
      <c r="I1358" s="40">
        <f t="shared" si="58"/>
        <v>2130</v>
      </c>
      <c r="J1358" s="40">
        <f t="shared" si="59"/>
        <v>90</v>
      </c>
      <c r="K1358" s="1">
        <v>3930</v>
      </c>
      <c r="L1358" s="1">
        <v>180</v>
      </c>
      <c r="M1358">
        <f t="shared" si="60"/>
        <v>-1890</v>
      </c>
      <c r="N1358" s="1">
        <v>0.19989999999999999</v>
      </c>
      <c r="O1358" s="1">
        <v>145</v>
      </c>
      <c r="P1358" s="24">
        <v>7.4899999999999994E-2</v>
      </c>
      <c r="Q1358" s="31">
        <f>C1358-N1358</f>
        <v>0</v>
      </c>
      <c r="R1358" s="41">
        <f>D1358-O1358</f>
        <v>0</v>
      </c>
      <c r="S1358" s="41">
        <f>E1358-P1358</f>
        <v>-3.4999999999999996E-2</v>
      </c>
    </row>
    <row r="1359" spans="1:19" x14ac:dyDescent="0.15">
      <c r="A1359" s="1">
        <v>6</v>
      </c>
      <c r="B1359" s="1">
        <v>12</v>
      </c>
      <c r="C1359" s="10">
        <v>0.19989999999999999</v>
      </c>
      <c r="D1359" s="5">
        <v>145</v>
      </c>
      <c r="E1359" s="10">
        <v>4.4899999999999995E-2</v>
      </c>
      <c r="F1359" s="5">
        <v>2520</v>
      </c>
      <c r="G1359" s="5">
        <v>100</v>
      </c>
      <c r="I1359" s="40">
        <f t="shared" si="58"/>
        <v>2520</v>
      </c>
      <c r="J1359" s="40">
        <f t="shared" si="59"/>
        <v>100</v>
      </c>
      <c r="K1359" s="1">
        <v>3730</v>
      </c>
      <c r="L1359" s="1">
        <v>170</v>
      </c>
      <c r="M1359">
        <f t="shared" si="60"/>
        <v>-1280</v>
      </c>
      <c r="N1359" s="1">
        <v>0.19989999999999999</v>
      </c>
      <c r="O1359" s="1">
        <v>145</v>
      </c>
      <c r="P1359" s="24">
        <v>7.9899999999999999E-2</v>
      </c>
      <c r="Q1359" s="31">
        <f>C1359-N1359</f>
        <v>0</v>
      </c>
      <c r="R1359" s="41">
        <f>D1359-O1359</f>
        <v>0</v>
      </c>
      <c r="S1359" s="41">
        <f>E1359-P1359</f>
        <v>-3.5000000000000003E-2</v>
      </c>
    </row>
    <row r="1360" spans="1:19" x14ac:dyDescent="0.15">
      <c r="A1360" s="1">
        <v>6</v>
      </c>
      <c r="B1360" s="1">
        <v>12</v>
      </c>
      <c r="C1360" s="10">
        <v>0.19989999999999999</v>
      </c>
      <c r="D1360" s="5">
        <v>145</v>
      </c>
      <c r="E1360" s="10">
        <v>4.99E-2</v>
      </c>
      <c r="F1360" s="5">
        <v>2940</v>
      </c>
      <c r="G1360" s="5">
        <v>110</v>
      </c>
      <c r="I1360" s="40">
        <f t="shared" si="58"/>
        <v>2940</v>
      </c>
      <c r="J1360" s="40">
        <f t="shared" si="59"/>
        <v>110</v>
      </c>
      <c r="K1360" s="1">
        <v>3440</v>
      </c>
      <c r="L1360" s="1">
        <v>180</v>
      </c>
      <c r="M1360">
        <f t="shared" si="60"/>
        <v>-570</v>
      </c>
      <c r="N1360" s="1">
        <v>0.19989999999999999</v>
      </c>
      <c r="O1360" s="1">
        <v>145</v>
      </c>
      <c r="P1360" s="24">
        <v>8.4900000000000003E-2</v>
      </c>
      <c r="Q1360" s="31">
        <f>C1360-N1360</f>
        <v>0</v>
      </c>
      <c r="R1360" s="41">
        <f>D1360-O1360</f>
        <v>0</v>
      </c>
      <c r="S1360" s="41">
        <f>E1360-P1360</f>
        <v>-3.5000000000000003E-2</v>
      </c>
    </row>
    <row r="1361" spans="1:19" x14ac:dyDescent="0.15">
      <c r="A1361" s="1">
        <v>6</v>
      </c>
      <c r="B1361" s="1">
        <v>12</v>
      </c>
      <c r="C1361" s="10">
        <v>0.19989999999999999</v>
      </c>
      <c r="D1361" s="5">
        <v>145</v>
      </c>
      <c r="E1361" s="10">
        <v>5.4899999999999997E-2</v>
      </c>
      <c r="F1361" s="5">
        <v>3400</v>
      </c>
      <c r="G1361" s="5">
        <v>140</v>
      </c>
      <c r="I1361" s="40">
        <f t="shared" si="58"/>
        <v>3400</v>
      </c>
      <c r="J1361" s="40">
        <f t="shared" si="59"/>
        <v>140</v>
      </c>
      <c r="K1361" s="1">
        <v>3100</v>
      </c>
      <c r="L1361" s="1">
        <v>170</v>
      </c>
      <c r="M1361">
        <f t="shared" si="60"/>
        <v>270</v>
      </c>
      <c r="N1361" s="1">
        <v>0.19989999999999999</v>
      </c>
      <c r="O1361" s="1">
        <v>145</v>
      </c>
      <c r="P1361" s="24">
        <v>8.9899999999999994E-2</v>
      </c>
      <c r="Q1361" s="31">
        <f>C1361-N1361</f>
        <v>0</v>
      </c>
      <c r="R1361" s="41">
        <f>D1361-O1361</f>
        <v>0</v>
      </c>
      <c r="S1361" s="41">
        <f>E1361-P1361</f>
        <v>-3.4999999999999996E-2</v>
      </c>
    </row>
    <row r="1362" spans="1:19" x14ac:dyDescent="0.15">
      <c r="A1362" s="1">
        <v>6</v>
      </c>
      <c r="B1362" s="1">
        <v>12</v>
      </c>
      <c r="C1362" s="10">
        <v>0.19989999999999999</v>
      </c>
      <c r="D1362" s="5">
        <v>145</v>
      </c>
      <c r="E1362" s="10">
        <v>5.9900000000000002E-2</v>
      </c>
      <c r="F1362" s="5">
        <v>3660</v>
      </c>
      <c r="G1362" s="5">
        <v>150</v>
      </c>
      <c r="I1362" s="40">
        <f t="shared" si="58"/>
        <v>3660</v>
      </c>
      <c r="J1362" s="40">
        <f t="shared" si="59"/>
        <v>150</v>
      </c>
      <c r="K1362" s="1">
        <v>2820</v>
      </c>
      <c r="L1362" s="1">
        <v>160</v>
      </c>
      <c r="M1362">
        <f t="shared" si="60"/>
        <v>830</v>
      </c>
      <c r="N1362" s="1">
        <v>0.19989999999999999</v>
      </c>
      <c r="O1362" s="1">
        <v>145</v>
      </c>
      <c r="P1362" s="24">
        <v>9.4899999999999998E-2</v>
      </c>
      <c r="Q1362" s="31">
        <f>C1362-N1362</f>
        <v>0</v>
      </c>
      <c r="R1362" s="41">
        <f>D1362-O1362</f>
        <v>0</v>
      </c>
      <c r="S1362" s="41">
        <f>E1362-P1362</f>
        <v>-3.4999999999999996E-2</v>
      </c>
    </row>
    <row r="1363" spans="1:19" ht="14" thickBot="1" x14ac:dyDescent="0.2">
      <c r="A1363" s="1">
        <v>6</v>
      </c>
      <c r="B1363" s="1">
        <v>12</v>
      </c>
      <c r="C1363" s="10">
        <v>0.19989999999999999</v>
      </c>
      <c r="D1363" s="5">
        <v>145</v>
      </c>
      <c r="E1363" s="10">
        <v>6.4899999999999999E-2</v>
      </c>
      <c r="F1363" s="5">
        <v>3750</v>
      </c>
      <c r="G1363" s="5">
        <v>160</v>
      </c>
      <c r="I1363" s="40">
        <f t="shared" si="58"/>
        <v>3750</v>
      </c>
      <c r="J1363" s="40">
        <f t="shared" si="59"/>
        <v>160</v>
      </c>
      <c r="K1363" s="1">
        <v>2480</v>
      </c>
      <c r="L1363" s="1">
        <v>150</v>
      </c>
      <c r="M1363">
        <f t="shared" si="60"/>
        <v>1280</v>
      </c>
      <c r="N1363" s="1">
        <v>0.19989999999999999</v>
      </c>
      <c r="O1363" s="1">
        <v>145</v>
      </c>
      <c r="P1363" s="44">
        <v>9.9900000000000003E-2</v>
      </c>
      <c r="Q1363" s="31">
        <f>C1363-N1363</f>
        <v>0</v>
      </c>
      <c r="R1363" s="41">
        <f>D1363-O1363</f>
        <v>0</v>
      </c>
      <c r="S1363" s="41">
        <f>E1363-P1363</f>
        <v>-3.5000000000000003E-2</v>
      </c>
    </row>
    <row r="1364" spans="1:19" ht="14" thickTop="1" x14ac:dyDescent="0.15">
      <c r="A1364" s="1">
        <v>6</v>
      </c>
      <c r="B1364" s="1">
        <v>12</v>
      </c>
      <c r="C1364" s="10">
        <v>0.19989999999999999</v>
      </c>
      <c r="D1364" s="5">
        <v>145</v>
      </c>
      <c r="E1364" s="10">
        <v>6.9900000000000004E-2</v>
      </c>
      <c r="F1364" s="5">
        <v>3860</v>
      </c>
      <c r="G1364" s="5">
        <v>170</v>
      </c>
      <c r="I1364" s="40">
        <f t="shared" si="58"/>
        <v>3860</v>
      </c>
      <c r="J1364" s="40">
        <f t="shared" si="59"/>
        <v>170</v>
      </c>
      <c r="K1364" s="1">
        <v>718</v>
      </c>
      <c r="L1364" s="1">
        <v>71</v>
      </c>
      <c r="M1364">
        <f t="shared" si="60"/>
        <v>3241</v>
      </c>
      <c r="N1364" s="1">
        <v>0.15970000000000001</v>
      </c>
      <c r="O1364" s="1">
        <v>145</v>
      </c>
      <c r="P1364" s="24">
        <v>2.2000000000000001E-3</v>
      </c>
      <c r="Q1364" s="31">
        <f>C1364-N1364</f>
        <v>4.0199999999999986E-2</v>
      </c>
      <c r="R1364" s="41">
        <f>D1364-O1364</f>
        <v>0</v>
      </c>
      <c r="S1364" s="41">
        <f>E1364-P1364</f>
        <v>6.770000000000001E-2</v>
      </c>
    </row>
    <row r="1365" spans="1:19" x14ac:dyDescent="0.15">
      <c r="A1365" s="1">
        <v>6</v>
      </c>
      <c r="B1365" s="1">
        <v>12</v>
      </c>
      <c r="C1365" s="10">
        <v>0.19989999999999999</v>
      </c>
      <c r="D1365" s="5">
        <v>145</v>
      </c>
      <c r="E1365" s="10">
        <v>7.4900000000000008E-2</v>
      </c>
      <c r="F1365" s="5">
        <v>3930</v>
      </c>
      <c r="G1365" s="5">
        <v>180</v>
      </c>
      <c r="I1365" s="40">
        <f t="shared" si="58"/>
        <v>3930</v>
      </c>
      <c r="J1365" s="40">
        <f t="shared" si="59"/>
        <v>180</v>
      </c>
      <c r="K1365" s="1">
        <v>1331</v>
      </c>
      <c r="L1365" s="1">
        <v>73</v>
      </c>
      <c r="M1365">
        <f t="shared" si="60"/>
        <v>2706</v>
      </c>
      <c r="N1365" s="1">
        <v>0.15970000000000001</v>
      </c>
      <c r="O1365" s="1">
        <v>145</v>
      </c>
      <c r="P1365" s="24">
        <v>7.1999999999999998E-3</v>
      </c>
      <c r="Q1365" s="31">
        <f>C1365-N1365</f>
        <v>4.0199999999999986E-2</v>
      </c>
      <c r="R1365" s="41">
        <f>D1365-O1365</f>
        <v>0</v>
      </c>
      <c r="S1365" s="41">
        <f>E1365-P1365</f>
        <v>6.770000000000001E-2</v>
      </c>
    </row>
    <row r="1366" spans="1:19" x14ac:dyDescent="0.15">
      <c r="A1366" s="1">
        <v>6</v>
      </c>
      <c r="B1366" s="1">
        <v>12</v>
      </c>
      <c r="C1366" s="10">
        <v>0.19989999999999999</v>
      </c>
      <c r="D1366" s="5">
        <v>145</v>
      </c>
      <c r="E1366" s="10">
        <v>7.9899999999999999E-2</v>
      </c>
      <c r="F1366" s="5">
        <v>3730</v>
      </c>
      <c r="G1366" s="5">
        <v>170</v>
      </c>
      <c r="I1366" s="40">
        <f t="shared" si="58"/>
        <v>3730</v>
      </c>
      <c r="J1366" s="40">
        <f t="shared" si="59"/>
        <v>170</v>
      </c>
      <c r="K1366" s="1">
        <v>947</v>
      </c>
      <c r="L1366" s="1">
        <v>51</v>
      </c>
      <c r="M1366">
        <f t="shared" si="60"/>
        <v>2902</v>
      </c>
      <c r="N1366" s="1">
        <v>0.15970000000000001</v>
      </c>
      <c r="O1366" s="1">
        <v>145</v>
      </c>
      <c r="P1366" s="24">
        <v>1.2200000000000001E-2</v>
      </c>
      <c r="Q1366" s="31">
        <f>C1366-N1366</f>
        <v>4.0199999999999986E-2</v>
      </c>
      <c r="R1366" s="41">
        <f>D1366-O1366</f>
        <v>0</v>
      </c>
      <c r="S1366" s="41">
        <f>E1366-P1366</f>
        <v>6.7699999999999996E-2</v>
      </c>
    </row>
    <row r="1367" spans="1:19" x14ac:dyDescent="0.15">
      <c r="A1367" s="1">
        <v>6</v>
      </c>
      <c r="B1367" s="1">
        <v>12</v>
      </c>
      <c r="C1367" s="10">
        <v>0.19989999999999999</v>
      </c>
      <c r="D1367" s="5">
        <v>145</v>
      </c>
      <c r="E1367" s="10">
        <v>8.4900000000000003E-2</v>
      </c>
      <c r="F1367" s="5">
        <v>3440</v>
      </c>
      <c r="G1367" s="5">
        <v>180</v>
      </c>
      <c r="I1367" s="40">
        <f t="shared" si="58"/>
        <v>3440</v>
      </c>
      <c r="J1367" s="40">
        <f t="shared" si="59"/>
        <v>180</v>
      </c>
      <c r="K1367" s="1">
        <v>1055</v>
      </c>
      <c r="L1367" s="1">
        <v>58</v>
      </c>
      <c r="M1367">
        <f t="shared" si="60"/>
        <v>2507</v>
      </c>
      <c r="N1367" s="1">
        <v>0.15970000000000001</v>
      </c>
      <c r="O1367" s="1">
        <v>145</v>
      </c>
      <c r="P1367" s="24">
        <v>1.72E-2</v>
      </c>
      <c r="Q1367" s="31">
        <f>C1367-N1367</f>
        <v>4.0199999999999986E-2</v>
      </c>
      <c r="R1367" s="41">
        <f>D1367-O1367</f>
        <v>0</v>
      </c>
      <c r="S1367" s="41">
        <f>E1367-P1367</f>
        <v>6.770000000000001E-2</v>
      </c>
    </row>
    <row r="1368" spans="1:19" x14ac:dyDescent="0.15">
      <c r="A1368" s="1">
        <v>6</v>
      </c>
      <c r="B1368" s="1">
        <v>12</v>
      </c>
      <c r="C1368" s="10">
        <v>0.19989999999999999</v>
      </c>
      <c r="D1368" s="5">
        <v>145</v>
      </c>
      <c r="E1368" s="10">
        <v>8.9900000000000008E-2</v>
      </c>
      <c r="F1368" s="5">
        <v>3100</v>
      </c>
      <c r="G1368" s="5">
        <v>170</v>
      </c>
      <c r="I1368" s="40">
        <f t="shared" si="58"/>
        <v>3100</v>
      </c>
      <c r="J1368" s="40">
        <f t="shared" si="59"/>
        <v>170</v>
      </c>
      <c r="K1368" s="1">
        <v>3930</v>
      </c>
      <c r="L1368" s="1">
        <v>170</v>
      </c>
      <c r="M1368">
        <f t="shared" si="60"/>
        <v>-830</v>
      </c>
      <c r="N1368" s="1">
        <v>0.15970000000000001</v>
      </c>
      <c r="O1368" s="1">
        <v>145</v>
      </c>
      <c r="P1368" s="24">
        <v>2.2200000000000001E-2</v>
      </c>
      <c r="Q1368" s="31">
        <f>C1368-N1368</f>
        <v>4.0199999999999986E-2</v>
      </c>
      <c r="R1368" s="41">
        <f>D1368-O1368</f>
        <v>0</v>
      </c>
      <c r="S1368" s="41">
        <f>E1368-P1368</f>
        <v>6.770000000000001E-2</v>
      </c>
    </row>
    <row r="1369" spans="1:19" x14ac:dyDescent="0.15">
      <c r="A1369" s="1">
        <v>6</v>
      </c>
      <c r="B1369" s="1">
        <v>12</v>
      </c>
      <c r="C1369" s="10">
        <v>0.19989999999999999</v>
      </c>
      <c r="D1369" s="5">
        <v>145</v>
      </c>
      <c r="E1369" s="10">
        <v>9.4900000000000012E-2</v>
      </c>
      <c r="F1369" s="5">
        <v>2820</v>
      </c>
      <c r="G1369" s="5">
        <v>160</v>
      </c>
      <c r="I1369" s="40">
        <f t="shared" si="58"/>
        <v>2820</v>
      </c>
      <c r="J1369" s="40">
        <f t="shared" si="59"/>
        <v>160</v>
      </c>
      <c r="K1369" s="1">
        <v>2770</v>
      </c>
      <c r="L1369" s="1">
        <v>120</v>
      </c>
      <c r="M1369">
        <f t="shared" si="60"/>
        <v>90</v>
      </c>
      <c r="N1369" s="1">
        <v>0.15970000000000001</v>
      </c>
      <c r="O1369" s="1">
        <v>145</v>
      </c>
      <c r="P1369" s="24">
        <v>2.7199999999999998E-2</v>
      </c>
      <c r="Q1369" s="31">
        <f>C1369-N1369</f>
        <v>4.0199999999999986E-2</v>
      </c>
      <c r="R1369" s="41">
        <f>D1369-O1369</f>
        <v>0</v>
      </c>
      <c r="S1369" s="41">
        <f>E1369-P1369</f>
        <v>6.770000000000001E-2</v>
      </c>
    </row>
    <row r="1370" spans="1:19" x14ac:dyDescent="0.15">
      <c r="A1370" s="1">
        <v>6</v>
      </c>
      <c r="B1370" s="1">
        <v>12</v>
      </c>
      <c r="C1370" s="10">
        <v>0.19989999999999999</v>
      </c>
      <c r="D1370" s="5">
        <v>145</v>
      </c>
      <c r="E1370" s="10">
        <v>9.9900000000000003E-2</v>
      </c>
      <c r="F1370" s="5">
        <v>2480</v>
      </c>
      <c r="G1370" s="5">
        <v>150</v>
      </c>
      <c r="I1370" s="40">
        <f t="shared" si="58"/>
        <v>2480</v>
      </c>
      <c r="J1370" s="40">
        <f t="shared" si="59"/>
        <v>150</v>
      </c>
      <c r="K1370" s="1">
        <v>3320</v>
      </c>
      <c r="L1370" s="1">
        <v>160</v>
      </c>
      <c r="M1370">
        <f t="shared" si="60"/>
        <v>-850</v>
      </c>
      <c r="N1370" s="1">
        <v>0.15970000000000001</v>
      </c>
      <c r="O1370" s="1">
        <v>145</v>
      </c>
      <c r="P1370" s="24">
        <v>3.2199999999999999E-2</v>
      </c>
      <c r="Q1370" s="31">
        <f>C1370-N1370</f>
        <v>4.0199999999999986E-2</v>
      </c>
      <c r="R1370" s="41">
        <f>D1370-O1370</f>
        <v>0</v>
      </c>
      <c r="S1370" s="41">
        <f>E1370-P1370</f>
        <v>6.770000000000001E-2</v>
      </c>
    </row>
    <row r="1371" spans="1:19" x14ac:dyDescent="0.15">
      <c r="A1371" s="1">
        <v>6</v>
      </c>
      <c r="B1371" s="1">
        <v>12</v>
      </c>
      <c r="C1371" s="10">
        <v>0.15969999999999998</v>
      </c>
      <c r="D1371" s="5">
        <v>145</v>
      </c>
      <c r="E1371" s="10">
        <v>2.2000000000000001E-3</v>
      </c>
      <c r="F1371" s="5">
        <v>718</v>
      </c>
      <c r="G1371" s="5">
        <v>71</v>
      </c>
      <c r="I1371" s="40">
        <f t="shared" si="58"/>
        <v>718</v>
      </c>
      <c r="J1371" s="40">
        <f t="shared" si="59"/>
        <v>71</v>
      </c>
      <c r="K1371" s="1">
        <v>4030</v>
      </c>
      <c r="L1371" s="1">
        <v>180</v>
      </c>
      <c r="M1371">
        <f t="shared" si="60"/>
        <v>-3421</v>
      </c>
      <c r="N1371" s="1">
        <v>0.15970000000000001</v>
      </c>
      <c r="O1371" s="1">
        <v>145</v>
      </c>
      <c r="P1371" s="24">
        <v>3.7199999999999997E-2</v>
      </c>
      <c r="Q1371" s="31">
        <f>C1371-N1371</f>
        <v>0</v>
      </c>
      <c r="R1371" s="41">
        <f>D1371-O1371</f>
        <v>0</v>
      </c>
      <c r="S1371" s="41">
        <f>E1371-P1371</f>
        <v>-3.4999999999999996E-2</v>
      </c>
    </row>
    <row r="1372" spans="1:19" x14ac:dyDescent="0.15">
      <c r="A1372" s="1">
        <v>6</v>
      </c>
      <c r="B1372" s="1">
        <v>12</v>
      </c>
      <c r="C1372" s="10">
        <v>0.15969999999999998</v>
      </c>
      <c r="D1372" s="5">
        <v>145</v>
      </c>
      <c r="E1372" s="10">
        <v>7.1999999999999998E-3</v>
      </c>
      <c r="F1372" s="5">
        <v>1331</v>
      </c>
      <c r="G1372" s="5">
        <v>73</v>
      </c>
      <c r="I1372" s="40">
        <f t="shared" si="58"/>
        <v>1331</v>
      </c>
      <c r="J1372" s="40">
        <f t="shared" si="59"/>
        <v>73</v>
      </c>
      <c r="K1372" s="1">
        <v>4900</v>
      </c>
      <c r="L1372" s="1">
        <v>220</v>
      </c>
      <c r="M1372">
        <f t="shared" si="60"/>
        <v>-3716</v>
      </c>
      <c r="N1372" s="1">
        <v>0.15970000000000001</v>
      </c>
      <c r="O1372" s="1">
        <v>145</v>
      </c>
      <c r="P1372" s="24">
        <v>4.2200000000000001E-2</v>
      </c>
      <c r="Q1372" s="31">
        <f>C1372-N1372</f>
        <v>0</v>
      </c>
      <c r="R1372" s="41">
        <f>D1372-O1372</f>
        <v>0</v>
      </c>
      <c r="S1372" s="41">
        <f>E1372-P1372</f>
        <v>-3.5000000000000003E-2</v>
      </c>
    </row>
    <row r="1373" spans="1:19" x14ac:dyDescent="0.15">
      <c r="A1373" s="1">
        <v>6</v>
      </c>
      <c r="B1373" s="1">
        <v>12</v>
      </c>
      <c r="C1373" s="10">
        <v>0.15969999999999998</v>
      </c>
      <c r="D1373" s="5">
        <v>145</v>
      </c>
      <c r="E1373" s="10">
        <v>1.2199999999999999E-2</v>
      </c>
      <c r="F1373" s="5">
        <v>947</v>
      </c>
      <c r="G1373" s="5">
        <v>51</v>
      </c>
      <c r="I1373" s="40">
        <f t="shared" si="58"/>
        <v>947</v>
      </c>
      <c r="J1373" s="40">
        <f t="shared" si="59"/>
        <v>51</v>
      </c>
      <c r="K1373" s="1">
        <v>5420</v>
      </c>
      <c r="L1373" s="1">
        <v>250</v>
      </c>
      <c r="M1373">
        <f t="shared" si="60"/>
        <v>-4672</v>
      </c>
      <c r="N1373" s="1">
        <v>0.15970000000000001</v>
      </c>
      <c r="O1373" s="1">
        <v>145</v>
      </c>
      <c r="P1373" s="24">
        <v>4.7199999999999999E-2</v>
      </c>
      <c r="Q1373" s="31">
        <f>C1373-N1373</f>
        <v>0</v>
      </c>
      <c r="R1373" s="41">
        <f>D1373-O1373</f>
        <v>0</v>
      </c>
      <c r="S1373" s="41">
        <f>E1373-P1373</f>
        <v>-3.5000000000000003E-2</v>
      </c>
    </row>
    <row r="1374" spans="1:19" x14ac:dyDescent="0.15">
      <c r="A1374" s="1">
        <v>6</v>
      </c>
      <c r="B1374" s="1">
        <v>12</v>
      </c>
      <c r="C1374" s="10">
        <v>0.15969999999999998</v>
      </c>
      <c r="D1374" s="5">
        <v>145</v>
      </c>
      <c r="E1374" s="10">
        <v>1.72E-2</v>
      </c>
      <c r="F1374" s="5">
        <v>1055</v>
      </c>
      <c r="G1374" s="5">
        <v>58</v>
      </c>
      <c r="I1374" s="40">
        <f t="shared" si="58"/>
        <v>1055</v>
      </c>
      <c r="J1374" s="40">
        <f t="shared" si="59"/>
        <v>58</v>
      </c>
      <c r="K1374" s="1">
        <v>5620</v>
      </c>
      <c r="L1374" s="1">
        <v>270</v>
      </c>
      <c r="M1374">
        <f t="shared" si="60"/>
        <v>-4777</v>
      </c>
      <c r="N1374" s="1">
        <v>0.15970000000000001</v>
      </c>
      <c r="O1374" s="1">
        <v>145</v>
      </c>
      <c r="P1374" s="24">
        <v>5.2200000000000003E-2</v>
      </c>
      <c r="Q1374" s="31">
        <f>C1374-N1374</f>
        <v>0</v>
      </c>
      <c r="R1374" s="41">
        <f>D1374-O1374</f>
        <v>0</v>
      </c>
      <c r="S1374" s="41">
        <f>E1374-P1374</f>
        <v>-3.5000000000000003E-2</v>
      </c>
    </row>
    <row r="1375" spans="1:19" x14ac:dyDescent="0.15">
      <c r="A1375" s="1">
        <v>6</v>
      </c>
      <c r="B1375" s="1">
        <v>12</v>
      </c>
      <c r="C1375" s="10">
        <v>0.15969999999999998</v>
      </c>
      <c r="D1375" s="5">
        <v>145</v>
      </c>
      <c r="E1375" s="10">
        <v>2.2200000000000001E-2</v>
      </c>
      <c r="F1375" s="5">
        <v>3930</v>
      </c>
      <c r="G1375" s="5">
        <v>170</v>
      </c>
      <c r="I1375" s="40">
        <f t="shared" si="58"/>
        <v>3930</v>
      </c>
      <c r="J1375" s="40">
        <f t="shared" si="59"/>
        <v>170</v>
      </c>
      <c r="K1375" s="1">
        <v>5500</v>
      </c>
      <c r="L1375" s="1">
        <v>280</v>
      </c>
      <c r="M1375">
        <f t="shared" si="60"/>
        <v>-1680</v>
      </c>
      <c r="N1375" s="1">
        <v>0.15970000000000001</v>
      </c>
      <c r="O1375" s="1">
        <v>145</v>
      </c>
      <c r="P1375" s="24">
        <v>5.7200000000000001E-2</v>
      </c>
      <c r="Q1375" s="31">
        <f>C1375-N1375</f>
        <v>0</v>
      </c>
      <c r="R1375" s="41">
        <f>D1375-O1375</f>
        <v>0</v>
      </c>
      <c r="S1375" s="41">
        <f>E1375-P1375</f>
        <v>-3.5000000000000003E-2</v>
      </c>
    </row>
    <row r="1376" spans="1:19" x14ac:dyDescent="0.15">
      <c r="A1376" s="1">
        <v>6</v>
      </c>
      <c r="B1376" s="1">
        <v>12</v>
      </c>
      <c r="C1376" s="10">
        <v>0.15969999999999998</v>
      </c>
      <c r="D1376" s="5">
        <v>145</v>
      </c>
      <c r="E1376" s="10">
        <v>2.7199999999999998E-2</v>
      </c>
      <c r="F1376" s="5">
        <v>2770</v>
      </c>
      <c r="G1376" s="5">
        <v>120</v>
      </c>
      <c r="I1376" s="40">
        <f t="shared" si="58"/>
        <v>2770</v>
      </c>
      <c r="J1376" s="40">
        <f t="shared" si="59"/>
        <v>120</v>
      </c>
      <c r="K1376" s="1">
        <v>5130</v>
      </c>
      <c r="L1376" s="1">
        <v>280</v>
      </c>
      <c r="M1376">
        <f t="shared" si="60"/>
        <v>-2520</v>
      </c>
      <c r="N1376" s="1">
        <v>0.15970000000000001</v>
      </c>
      <c r="O1376" s="1">
        <v>145</v>
      </c>
      <c r="P1376" s="24">
        <v>6.2199999999999998E-2</v>
      </c>
      <c r="Q1376" s="31">
        <f>C1376-N1376</f>
        <v>0</v>
      </c>
      <c r="R1376" s="41">
        <f>D1376-O1376</f>
        <v>0</v>
      </c>
      <c r="S1376" s="41">
        <f>E1376-P1376</f>
        <v>-3.5000000000000003E-2</v>
      </c>
    </row>
    <row r="1377" spans="1:19" x14ac:dyDescent="0.15">
      <c r="A1377" s="1">
        <v>6</v>
      </c>
      <c r="B1377" s="1">
        <v>12</v>
      </c>
      <c r="C1377" s="10">
        <v>0.15969999999999998</v>
      </c>
      <c r="D1377" s="5">
        <v>145</v>
      </c>
      <c r="E1377" s="10">
        <v>3.2199999999999999E-2</v>
      </c>
      <c r="F1377" s="5">
        <v>3320</v>
      </c>
      <c r="G1377" s="5">
        <v>160</v>
      </c>
      <c r="I1377" s="40">
        <f t="shared" si="58"/>
        <v>3320</v>
      </c>
      <c r="J1377" s="40">
        <f t="shared" si="59"/>
        <v>160</v>
      </c>
      <c r="K1377" s="1">
        <v>17100</v>
      </c>
      <c r="L1377" s="1">
        <v>700</v>
      </c>
      <c r="M1377">
        <f t="shared" si="60"/>
        <v>-14320</v>
      </c>
      <c r="N1377" s="1">
        <v>0.1196</v>
      </c>
      <c r="O1377" s="1">
        <v>145</v>
      </c>
      <c r="P1377" s="24">
        <v>2.0999999999999999E-3</v>
      </c>
      <c r="Q1377" s="31">
        <f>C1377-N1377</f>
        <v>4.0099999999999983E-2</v>
      </c>
      <c r="R1377" s="41">
        <f>D1377-O1377</f>
        <v>0</v>
      </c>
      <c r="S1377" s="41">
        <f>E1377-P1377</f>
        <v>3.0099999999999998E-2</v>
      </c>
    </row>
    <row r="1378" spans="1:19" x14ac:dyDescent="0.15">
      <c r="A1378" s="1">
        <v>6</v>
      </c>
      <c r="B1378" s="1">
        <v>12</v>
      </c>
      <c r="C1378" s="10">
        <v>0.15969999999999998</v>
      </c>
      <c r="D1378" s="5">
        <v>145</v>
      </c>
      <c r="E1378" s="10">
        <v>3.7200000000000004E-2</v>
      </c>
      <c r="F1378" s="5">
        <v>4030.0000000000005</v>
      </c>
      <c r="G1378" s="5">
        <v>180</v>
      </c>
      <c r="I1378" s="40">
        <f t="shared" si="58"/>
        <v>4030.0000000000005</v>
      </c>
      <c r="J1378" s="40">
        <f t="shared" si="59"/>
        <v>180</v>
      </c>
      <c r="K1378" s="1">
        <v>4800</v>
      </c>
      <c r="L1378" s="1">
        <v>340</v>
      </c>
      <c r="M1378">
        <f t="shared" si="60"/>
        <v>-930</v>
      </c>
      <c r="N1378" s="1">
        <v>0.1196</v>
      </c>
      <c r="O1378" s="1">
        <v>145</v>
      </c>
      <c r="P1378" s="24">
        <v>7.1000000000000004E-3</v>
      </c>
      <c r="Q1378" s="31">
        <f>C1378-N1378</f>
        <v>4.0099999999999983E-2</v>
      </c>
      <c r="R1378" s="41">
        <f>D1378-O1378</f>
        <v>0</v>
      </c>
      <c r="S1378" s="41">
        <f>E1378-P1378</f>
        <v>3.0100000000000002E-2</v>
      </c>
    </row>
    <row r="1379" spans="1:19" x14ac:dyDescent="0.15">
      <c r="A1379" s="1">
        <v>6</v>
      </c>
      <c r="B1379" s="1">
        <v>12</v>
      </c>
      <c r="C1379" s="10">
        <v>0.15969999999999998</v>
      </c>
      <c r="D1379" s="5">
        <v>145</v>
      </c>
      <c r="E1379" s="10">
        <v>4.2200000000000001E-2</v>
      </c>
      <c r="F1379" s="5">
        <v>4900</v>
      </c>
      <c r="G1379" s="5">
        <v>220</v>
      </c>
      <c r="I1379" s="40">
        <f t="shared" si="58"/>
        <v>4900</v>
      </c>
      <c r="J1379" s="40">
        <f t="shared" si="59"/>
        <v>220</v>
      </c>
      <c r="K1379" s="1">
        <v>2390</v>
      </c>
      <c r="L1379" s="1">
        <v>210</v>
      </c>
      <c r="M1379">
        <f t="shared" si="60"/>
        <v>2520</v>
      </c>
      <c r="N1379" s="1">
        <v>0.1196</v>
      </c>
      <c r="O1379" s="1">
        <v>145</v>
      </c>
      <c r="P1379" s="24">
        <v>1.21E-2</v>
      </c>
      <c r="Q1379" s="31">
        <f>C1379-N1379</f>
        <v>4.0099999999999983E-2</v>
      </c>
      <c r="R1379" s="41">
        <f>D1379-O1379</f>
        <v>0</v>
      </c>
      <c r="S1379" s="41">
        <f>E1379-P1379</f>
        <v>3.0100000000000002E-2</v>
      </c>
    </row>
    <row r="1380" spans="1:19" x14ac:dyDescent="0.15">
      <c r="A1380" s="1">
        <v>6</v>
      </c>
      <c r="B1380" s="1">
        <v>12</v>
      </c>
      <c r="C1380" s="10">
        <v>0.15969999999999998</v>
      </c>
      <c r="D1380" s="5">
        <v>145</v>
      </c>
      <c r="E1380" s="10">
        <v>4.7200000000000006E-2</v>
      </c>
      <c r="F1380" s="5">
        <v>5420</v>
      </c>
      <c r="G1380" s="5">
        <v>250</v>
      </c>
      <c r="I1380" s="40">
        <f t="shared" si="58"/>
        <v>5420</v>
      </c>
      <c r="J1380" s="40">
        <f t="shared" si="59"/>
        <v>250</v>
      </c>
      <c r="K1380" s="1">
        <v>3280</v>
      </c>
      <c r="L1380" s="1">
        <v>260</v>
      </c>
      <c r="M1380">
        <f t="shared" si="60"/>
        <v>2130</v>
      </c>
      <c r="N1380" s="1">
        <v>0.1196</v>
      </c>
      <c r="O1380" s="1">
        <v>145</v>
      </c>
      <c r="P1380" s="24">
        <v>1.7100000000000001E-2</v>
      </c>
      <c r="Q1380" s="31">
        <f>C1380-N1380</f>
        <v>4.0099999999999983E-2</v>
      </c>
      <c r="R1380" s="41">
        <f>D1380-O1380</f>
        <v>0</v>
      </c>
      <c r="S1380" s="41">
        <f>E1380-P1380</f>
        <v>3.0100000000000005E-2</v>
      </c>
    </row>
    <row r="1381" spans="1:19" ht="14" thickBot="1" x14ac:dyDescent="0.2">
      <c r="A1381" s="1">
        <v>6</v>
      </c>
      <c r="B1381" s="1">
        <v>12</v>
      </c>
      <c r="C1381" s="10">
        <v>0.15969999999999998</v>
      </c>
      <c r="D1381" s="5">
        <v>145</v>
      </c>
      <c r="E1381" s="10">
        <v>5.2200000000000003E-2</v>
      </c>
      <c r="F1381" s="5">
        <v>5620</v>
      </c>
      <c r="G1381" s="5">
        <v>270</v>
      </c>
      <c r="I1381" s="40">
        <f t="shared" si="58"/>
        <v>5620</v>
      </c>
      <c r="J1381" s="40">
        <f t="shared" si="59"/>
        <v>270</v>
      </c>
      <c r="K1381" s="1">
        <v>7220</v>
      </c>
      <c r="L1381" s="1">
        <v>410</v>
      </c>
      <c r="M1381">
        <f t="shared" si="60"/>
        <v>-1740</v>
      </c>
      <c r="N1381" s="1">
        <v>0.1196</v>
      </c>
      <c r="O1381" s="1">
        <v>145</v>
      </c>
      <c r="P1381" s="44">
        <v>2.2100000000000002E-2</v>
      </c>
      <c r="Q1381" s="31">
        <f>C1381-N1381</f>
        <v>4.0099999999999983E-2</v>
      </c>
      <c r="R1381" s="41">
        <f>D1381-O1381</f>
        <v>0</v>
      </c>
      <c r="S1381" s="41">
        <f>E1381-P1381</f>
        <v>3.0100000000000002E-2</v>
      </c>
    </row>
    <row r="1382" spans="1:19" ht="14" thickTop="1" x14ac:dyDescent="0.15">
      <c r="A1382" s="1">
        <v>6</v>
      </c>
      <c r="B1382" s="1">
        <v>12</v>
      </c>
      <c r="C1382" s="10">
        <v>0.15969999999999998</v>
      </c>
      <c r="D1382" s="5">
        <v>145</v>
      </c>
      <c r="E1382" s="10">
        <v>5.7200000000000001E-2</v>
      </c>
      <c r="F1382" s="5">
        <v>5500</v>
      </c>
      <c r="G1382" s="5">
        <v>280</v>
      </c>
      <c r="I1382" s="40">
        <f t="shared" si="58"/>
        <v>5500</v>
      </c>
      <c r="J1382" s="40">
        <f t="shared" si="59"/>
        <v>280</v>
      </c>
      <c r="M1382">
        <f t="shared" si="60"/>
        <v>5780</v>
      </c>
      <c r="Q1382" s="31">
        <f>C1382-N1382</f>
        <v>0.15969999999999998</v>
      </c>
      <c r="R1382" s="41">
        <f>D1382-O1382</f>
        <v>145</v>
      </c>
      <c r="S1382" s="41">
        <f>E1382-P1382</f>
        <v>5.7200000000000001E-2</v>
      </c>
    </row>
    <row r="1383" spans="1:19" x14ac:dyDescent="0.15">
      <c r="A1383" s="1">
        <v>6</v>
      </c>
      <c r="B1383" s="1">
        <v>12</v>
      </c>
      <c r="C1383" s="10">
        <v>0.15969999999999998</v>
      </c>
      <c r="D1383" s="5">
        <v>145</v>
      </c>
      <c r="E1383" s="10">
        <v>6.2200000000000005E-2</v>
      </c>
      <c r="F1383" s="5">
        <v>5130</v>
      </c>
      <c r="G1383" s="5">
        <v>280</v>
      </c>
      <c r="I1383" s="40">
        <f t="shared" si="58"/>
        <v>5130</v>
      </c>
      <c r="J1383" s="40">
        <f t="shared" si="59"/>
        <v>280</v>
      </c>
      <c r="M1383">
        <f t="shared" si="60"/>
        <v>5410</v>
      </c>
      <c r="Q1383" s="31">
        <f>C1383-N1383</f>
        <v>0.15969999999999998</v>
      </c>
      <c r="R1383" s="41">
        <f>D1383-O1383</f>
        <v>145</v>
      </c>
      <c r="S1383" s="41">
        <f>E1383-P1383</f>
        <v>6.2200000000000005E-2</v>
      </c>
    </row>
    <row r="1384" spans="1:19" x14ac:dyDescent="0.15">
      <c r="A1384" s="1">
        <v>6</v>
      </c>
      <c r="B1384" s="1">
        <v>12</v>
      </c>
      <c r="C1384" s="10">
        <v>0.1196</v>
      </c>
      <c r="D1384" s="5">
        <v>145</v>
      </c>
      <c r="E1384" s="10">
        <v>2.1000000000000003E-3</v>
      </c>
      <c r="F1384" s="5">
        <v>17100</v>
      </c>
      <c r="G1384" s="5">
        <v>700</v>
      </c>
      <c r="I1384" s="40">
        <f t="shared" si="58"/>
        <v>17100</v>
      </c>
      <c r="J1384" s="40">
        <f t="shared" si="59"/>
        <v>700</v>
      </c>
      <c r="M1384">
        <f t="shared" si="60"/>
        <v>17800</v>
      </c>
      <c r="Q1384" s="31">
        <f>C1384-N1384</f>
        <v>0.1196</v>
      </c>
      <c r="R1384" s="41">
        <f>D1384-O1384</f>
        <v>145</v>
      </c>
      <c r="S1384" s="41">
        <f>E1384-P1384</f>
        <v>2.1000000000000003E-3</v>
      </c>
    </row>
    <row r="1385" spans="1:19" x14ac:dyDescent="0.15">
      <c r="A1385" s="1">
        <v>6</v>
      </c>
      <c r="B1385" s="1">
        <v>12</v>
      </c>
      <c r="C1385" s="10">
        <v>0.1196</v>
      </c>
      <c r="D1385" s="5">
        <v>145</v>
      </c>
      <c r="E1385" s="10">
        <v>7.0999999999999995E-3</v>
      </c>
      <c r="F1385" s="5">
        <v>4800</v>
      </c>
      <c r="G1385" s="5">
        <v>340</v>
      </c>
      <c r="I1385" s="40">
        <f t="shared" si="58"/>
        <v>4800</v>
      </c>
      <c r="J1385" s="40">
        <f t="shared" si="59"/>
        <v>340</v>
      </c>
      <c r="M1385">
        <f t="shared" si="60"/>
        <v>5140</v>
      </c>
      <c r="Q1385" s="31">
        <f>C1385-N1385</f>
        <v>0.1196</v>
      </c>
      <c r="R1385" s="41">
        <f>D1385-O1385</f>
        <v>145</v>
      </c>
      <c r="S1385" s="41">
        <f>E1385-P1385</f>
        <v>7.0999999999999995E-3</v>
      </c>
    </row>
    <row r="1386" spans="1:19" x14ac:dyDescent="0.15">
      <c r="A1386" s="1">
        <v>6</v>
      </c>
      <c r="B1386" s="1">
        <v>12</v>
      </c>
      <c r="C1386" s="10">
        <v>0.1196</v>
      </c>
      <c r="D1386" s="5">
        <v>145</v>
      </c>
      <c r="E1386" s="10">
        <v>1.21E-2</v>
      </c>
      <c r="F1386" s="5">
        <v>2390</v>
      </c>
      <c r="G1386" s="5">
        <v>210</v>
      </c>
      <c r="I1386" s="40">
        <f t="shared" si="58"/>
        <v>2390</v>
      </c>
      <c r="J1386" s="40">
        <f t="shared" si="59"/>
        <v>210</v>
      </c>
      <c r="M1386">
        <f t="shared" si="60"/>
        <v>2600</v>
      </c>
      <c r="Q1386" s="31">
        <f>C1386-N1386</f>
        <v>0.1196</v>
      </c>
      <c r="R1386" s="41">
        <f>D1386-O1386</f>
        <v>145</v>
      </c>
      <c r="S1386" s="41">
        <f>E1386-P1386</f>
        <v>1.21E-2</v>
      </c>
    </row>
    <row r="1387" spans="1:19" x14ac:dyDescent="0.15">
      <c r="A1387" s="1">
        <v>6</v>
      </c>
      <c r="B1387" s="1">
        <v>12</v>
      </c>
      <c r="C1387" s="10">
        <v>0.1196</v>
      </c>
      <c r="D1387" s="5">
        <v>145</v>
      </c>
      <c r="E1387" s="10">
        <v>1.7100000000000001E-2</v>
      </c>
      <c r="F1387" s="5">
        <v>3280</v>
      </c>
      <c r="G1387" s="5">
        <v>260</v>
      </c>
      <c r="I1387" s="40">
        <f t="shared" si="58"/>
        <v>3280</v>
      </c>
      <c r="J1387" s="40">
        <f t="shared" si="59"/>
        <v>260</v>
      </c>
      <c r="M1387">
        <f t="shared" si="60"/>
        <v>3540</v>
      </c>
      <c r="Q1387" s="31">
        <f>C1387-N1387</f>
        <v>0.1196</v>
      </c>
      <c r="R1387" s="41">
        <f>D1387-O1387</f>
        <v>145</v>
      </c>
      <c r="S1387" s="41">
        <f>E1387-P1387</f>
        <v>1.7100000000000001E-2</v>
      </c>
    </row>
    <row r="1388" spans="1:19" x14ac:dyDescent="0.15">
      <c r="F1388"/>
      <c r="G1388"/>
      <c r="I1388" s="40">
        <f t="shared" si="58"/>
        <v>0</v>
      </c>
      <c r="J1388" s="40">
        <f t="shared" si="59"/>
        <v>0</v>
      </c>
      <c r="R1388" s="41">
        <f>D1388-O1388</f>
        <v>0</v>
      </c>
      <c r="S1388" s="41">
        <f>E1388-P1388</f>
        <v>0</v>
      </c>
    </row>
    <row r="1389" spans="1:19" x14ac:dyDescent="0.15">
      <c r="F1389"/>
      <c r="G1389"/>
      <c r="I1389" s="40">
        <f t="shared" si="58"/>
        <v>0</v>
      </c>
      <c r="J1389" s="40">
        <f t="shared" si="59"/>
        <v>0</v>
      </c>
      <c r="R1389" s="41">
        <f>D1389-O1389</f>
        <v>0</v>
      </c>
      <c r="S1389" s="41">
        <f>E1389-P1389</f>
        <v>0</v>
      </c>
    </row>
    <row r="1390" spans="1:19" x14ac:dyDescent="0.15">
      <c r="F1390"/>
      <c r="G1390"/>
      <c r="I1390" s="40">
        <f t="shared" si="58"/>
        <v>0</v>
      </c>
      <c r="J1390" s="40">
        <f t="shared" si="59"/>
        <v>0</v>
      </c>
      <c r="R1390" s="41">
        <f>D1390-O1390</f>
        <v>0</v>
      </c>
      <c r="S1390" s="41">
        <f>E1390-P1390</f>
        <v>0</v>
      </c>
    </row>
    <row r="1391" spans="1:19" x14ac:dyDescent="0.15">
      <c r="F1391"/>
      <c r="G1391"/>
      <c r="I1391" s="40">
        <f t="shared" si="58"/>
        <v>0</v>
      </c>
      <c r="J1391" s="40">
        <f t="shared" si="59"/>
        <v>0</v>
      </c>
      <c r="R1391" s="41">
        <f>D1391-O1391</f>
        <v>0</v>
      </c>
      <c r="S1391" s="41">
        <f>E1391-P1391</f>
        <v>0</v>
      </c>
    </row>
    <row r="1392" spans="1:19" x14ac:dyDescent="0.15">
      <c r="F1392"/>
      <c r="G1392"/>
      <c r="I1392" s="40">
        <f t="shared" si="58"/>
        <v>0</v>
      </c>
      <c r="J1392" s="40">
        <f t="shared" si="59"/>
        <v>0</v>
      </c>
      <c r="R1392" s="41">
        <f>D1392-O1392</f>
        <v>0</v>
      </c>
      <c r="S1392" s="41">
        <f>E1392-P1392</f>
        <v>0</v>
      </c>
    </row>
    <row r="1393" spans="6:19" x14ac:dyDescent="0.15">
      <c r="F1393"/>
      <c r="G1393"/>
      <c r="I1393" s="40">
        <f t="shared" si="58"/>
        <v>0</v>
      </c>
      <c r="J1393" s="40">
        <f t="shared" si="59"/>
        <v>0</v>
      </c>
      <c r="R1393" s="41">
        <f>D1393-O1393</f>
        <v>0</v>
      </c>
      <c r="S1393" s="41">
        <f>E1393-P1393</f>
        <v>0</v>
      </c>
    </row>
    <row r="1394" spans="6:19" x14ac:dyDescent="0.15">
      <c r="F1394"/>
      <c r="G1394"/>
      <c r="I1394" s="40">
        <f t="shared" si="58"/>
        <v>0</v>
      </c>
      <c r="J1394" s="40">
        <f t="shared" si="59"/>
        <v>0</v>
      </c>
      <c r="R1394" s="41">
        <f>D1394-O1394</f>
        <v>0</v>
      </c>
      <c r="S1394" s="41">
        <f>E1394-P1394</f>
        <v>0</v>
      </c>
    </row>
    <row r="1395" spans="6:19" x14ac:dyDescent="0.15">
      <c r="F1395"/>
      <c r="G1395"/>
      <c r="I1395" s="40">
        <f t="shared" si="58"/>
        <v>0</v>
      </c>
      <c r="J1395" s="40">
        <f t="shared" si="59"/>
        <v>0</v>
      </c>
      <c r="R1395" s="41">
        <f>D1395-O1395</f>
        <v>0</v>
      </c>
      <c r="S1395" s="41">
        <f>E1395-P1395</f>
        <v>0</v>
      </c>
    </row>
    <row r="1396" spans="6:19" x14ac:dyDescent="0.15">
      <c r="F1396"/>
      <c r="G1396"/>
      <c r="I1396" s="40">
        <f t="shared" si="58"/>
        <v>0</v>
      </c>
      <c r="J1396" s="40">
        <f t="shared" si="59"/>
        <v>0</v>
      </c>
      <c r="R1396" s="41">
        <f>D1396-O1396</f>
        <v>0</v>
      </c>
      <c r="S1396" s="41">
        <f>E1396-P1396</f>
        <v>0</v>
      </c>
    </row>
    <row r="1397" spans="6:19" x14ac:dyDescent="0.15">
      <c r="F1397"/>
      <c r="G1397"/>
      <c r="I1397" s="40">
        <f t="shared" si="58"/>
        <v>0</v>
      </c>
      <c r="J1397" s="40">
        <f t="shared" si="59"/>
        <v>0</v>
      </c>
      <c r="R1397" s="41">
        <f>D1397-O1397</f>
        <v>0</v>
      </c>
      <c r="S1397" s="41">
        <f>E1397-P1397</f>
        <v>0</v>
      </c>
    </row>
    <row r="1398" spans="6:19" x14ac:dyDescent="0.15">
      <c r="F1398"/>
      <c r="G1398"/>
      <c r="H1398"/>
      <c r="I1398" s="40">
        <f t="shared" si="58"/>
        <v>0</v>
      </c>
      <c r="J1398" s="40">
        <f t="shared" si="59"/>
        <v>0</v>
      </c>
    </row>
    <row r="1399" spans="6:19" x14ac:dyDescent="0.15">
      <c r="F1399"/>
      <c r="G1399"/>
      <c r="H1399"/>
      <c r="I1399" s="40">
        <f t="shared" si="58"/>
        <v>0</v>
      </c>
      <c r="J1399" s="40">
        <f t="shared" si="59"/>
        <v>0</v>
      </c>
    </row>
    <row r="1400" spans="6:19" x14ac:dyDescent="0.15">
      <c r="F1400"/>
      <c r="G1400"/>
      <c r="H1400"/>
      <c r="I1400" s="40">
        <f t="shared" si="58"/>
        <v>0</v>
      </c>
      <c r="J1400" s="40">
        <f t="shared" si="59"/>
        <v>0</v>
      </c>
    </row>
    <row r="1401" spans="6:19" x14ac:dyDescent="0.15">
      <c r="F1401"/>
      <c r="G1401"/>
      <c r="H1401"/>
      <c r="I1401" s="40">
        <f t="shared" ref="I1401:I1464" si="61">F1401</f>
        <v>0</v>
      </c>
      <c r="J1401" s="40">
        <f t="shared" ref="J1401:J1464" si="62">G1401</f>
        <v>0</v>
      </c>
    </row>
    <row r="1402" spans="6:19" x14ac:dyDescent="0.15">
      <c r="F1402"/>
      <c r="G1402"/>
      <c r="H1402"/>
      <c r="I1402" s="40">
        <f t="shared" si="61"/>
        <v>0</v>
      </c>
      <c r="J1402" s="40">
        <f t="shared" si="62"/>
        <v>0</v>
      </c>
    </row>
    <row r="1403" spans="6:19" x14ac:dyDescent="0.15">
      <c r="F1403"/>
      <c r="G1403"/>
      <c r="H1403"/>
      <c r="I1403" s="40">
        <f t="shared" si="61"/>
        <v>0</v>
      </c>
      <c r="J1403" s="40">
        <f t="shared" si="62"/>
        <v>0</v>
      </c>
    </row>
    <row r="1404" spans="6:19" x14ac:dyDescent="0.15">
      <c r="F1404"/>
      <c r="G1404"/>
      <c r="H1404"/>
      <c r="I1404" s="40">
        <f t="shared" si="61"/>
        <v>0</v>
      </c>
      <c r="J1404" s="40">
        <f t="shared" si="62"/>
        <v>0</v>
      </c>
    </row>
    <row r="1405" spans="6:19" x14ac:dyDescent="0.15">
      <c r="F1405"/>
      <c r="G1405"/>
      <c r="H1405"/>
      <c r="I1405" s="40">
        <f t="shared" si="61"/>
        <v>0</v>
      </c>
      <c r="J1405" s="40">
        <f t="shared" si="62"/>
        <v>0</v>
      </c>
    </row>
    <row r="1406" spans="6:19" x14ac:dyDescent="0.15">
      <c r="F1406"/>
      <c r="G1406"/>
      <c r="H1406"/>
      <c r="I1406" s="40">
        <f t="shared" si="61"/>
        <v>0</v>
      </c>
      <c r="J1406" s="40">
        <f t="shared" si="62"/>
        <v>0</v>
      </c>
    </row>
    <row r="1407" spans="6:19" x14ac:dyDescent="0.15">
      <c r="F1407"/>
      <c r="G1407"/>
      <c r="H1407"/>
      <c r="I1407" s="40">
        <f t="shared" si="61"/>
        <v>0</v>
      </c>
      <c r="J1407" s="40">
        <f t="shared" si="62"/>
        <v>0</v>
      </c>
    </row>
    <row r="1408" spans="6:19" x14ac:dyDescent="0.15">
      <c r="F1408"/>
      <c r="G1408"/>
      <c r="H1408"/>
      <c r="I1408" s="40">
        <f t="shared" si="61"/>
        <v>0</v>
      </c>
      <c r="J1408" s="40">
        <f t="shared" si="62"/>
        <v>0</v>
      </c>
    </row>
    <row r="1409" spans="6:10" x14ac:dyDescent="0.15">
      <c r="F1409"/>
      <c r="G1409"/>
      <c r="H1409"/>
      <c r="I1409" s="40">
        <f t="shared" si="61"/>
        <v>0</v>
      </c>
      <c r="J1409" s="40">
        <f t="shared" si="62"/>
        <v>0</v>
      </c>
    </row>
    <row r="1410" spans="6:10" x14ac:dyDescent="0.15">
      <c r="F1410"/>
      <c r="G1410"/>
      <c r="H1410"/>
      <c r="I1410" s="40">
        <f t="shared" si="61"/>
        <v>0</v>
      </c>
      <c r="J1410" s="40">
        <f t="shared" si="62"/>
        <v>0</v>
      </c>
    </row>
    <row r="1411" spans="6:10" x14ac:dyDescent="0.15">
      <c r="F1411"/>
      <c r="G1411"/>
      <c r="H1411"/>
      <c r="I1411" s="40">
        <f t="shared" si="61"/>
        <v>0</v>
      </c>
      <c r="J1411" s="40">
        <f t="shared" si="62"/>
        <v>0</v>
      </c>
    </row>
    <row r="1412" spans="6:10" x14ac:dyDescent="0.15">
      <c r="F1412"/>
      <c r="G1412"/>
      <c r="H1412"/>
      <c r="I1412" s="40">
        <f t="shared" si="61"/>
        <v>0</v>
      </c>
      <c r="J1412" s="40">
        <f t="shared" si="62"/>
        <v>0</v>
      </c>
    </row>
    <row r="1413" spans="6:10" x14ac:dyDescent="0.15">
      <c r="F1413"/>
      <c r="G1413"/>
      <c r="H1413"/>
      <c r="I1413" s="40">
        <f t="shared" si="61"/>
        <v>0</v>
      </c>
      <c r="J1413" s="40">
        <f t="shared" si="62"/>
        <v>0</v>
      </c>
    </row>
    <row r="1414" spans="6:10" x14ac:dyDescent="0.15">
      <c r="F1414"/>
      <c r="G1414"/>
      <c r="H1414"/>
      <c r="I1414" s="40">
        <f t="shared" si="61"/>
        <v>0</v>
      </c>
      <c r="J1414" s="40">
        <f t="shared" si="62"/>
        <v>0</v>
      </c>
    </row>
    <row r="1415" spans="6:10" x14ac:dyDescent="0.15">
      <c r="F1415"/>
      <c r="G1415"/>
      <c r="H1415"/>
      <c r="I1415" s="40">
        <f t="shared" si="61"/>
        <v>0</v>
      </c>
      <c r="J1415" s="40">
        <f t="shared" si="62"/>
        <v>0</v>
      </c>
    </row>
    <row r="1416" spans="6:10" x14ac:dyDescent="0.15">
      <c r="F1416"/>
      <c r="G1416"/>
      <c r="H1416"/>
      <c r="I1416" s="40">
        <f t="shared" si="61"/>
        <v>0</v>
      </c>
      <c r="J1416" s="40">
        <f t="shared" si="62"/>
        <v>0</v>
      </c>
    </row>
    <row r="1417" spans="6:10" x14ac:dyDescent="0.15">
      <c r="F1417"/>
      <c r="G1417"/>
      <c r="H1417"/>
      <c r="I1417" s="40">
        <f t="shared" si="61"/>
        <v>0</v>
      </c>
      <c r="J1417" s="40">
        <f t="shared" si="62"/>
        <v>0</v>
      </c>
    </row>
    <row r="1418" spans="6:10" x14ac:dyDescent="0.15">
      <c r="F1418"/>
      <c r="G1418"/>
      <c r="H1418"/>
      <c r="I1418" s="40">
        <f t="shared" si="61"/>
        <v>0</v>
      </c>
      <c r="J1418" s="40">
        <f t="shared" si="62"/>
        <v>0</v>
      </c>
    </row>
    <row r="1419" spans="6:10" x14ac:dyDescent="0.15">
      <c r="F1419"/>
      <c r="G1419"/>
      <c r="H1419"/>
      <c r="I1419" s="40">
        <f t="shared" si="61"/>
        <v>0</v>
      </c>
      <c r="J1419" s="40">
        <f t="shared" si="62"/>
        <v>0</v>
      </c>
    </row>
    <row r="1420" spans="6:10" x14ac:dyDescent="0.15">
      <c r="F1420"/>
      <c r="G1420"/>
      <c r="H1420"/>
      <c r="I1420" s="40">
        <f t="shared" si="61"/>
        <v>0</v>
      </c>
      <c r="J1420" s="40">
        <f t="shared" si="62"/>
        <v>0</v>
      </c>
    </row>
    <row r="1421" spans="6:10" x14ac:dyDescent="0.15">
      <c r="F1421"/>
      <c r="G1421"/>
      <c r="H1421"/>
      <c r="I1421" s="40">
        <f t="shared" si="61"/>
        <v>0</v>
      </c>
      <c r="J1421" s="40">
        <f t="shared" si="62"/>
        <v>0</v>
      </c>
    </row>
    <row r="1422" spans="6:10" x14ac:dyDescent="0.15">
      <c r="F1422"/>
      <c r="G1422"/>
      <c r="H1422"/>
      <c r="I1422" s="40">
        <f t="shared" si="61"/>
        <v>0</v>
      </c>
      <c r="J1422" s="40">
        <f t="shared" si="62"/>
        <v>0</v>
      </c>
    </row>
    <row r="1423" spans="6:10" x14ac:dyDescent="0.15">
      <c r="F1423"/>
      <c r="G1423"/>
      <c r="H1423"/>
      <c r="I1423" s="40">
        <f t="shared" si="61"/>
        <v>0</v>
      </c>
      <c r="J1423" s="40">
        <f t="shared" si="62"/>
        <v>0</v>
      </c>
    </row>
    <row r="1424" spans="6:10" x14ac:dyDescent="0.15">
      <c r="F1424"/>
      <c r="G1424"/>
      <c r="H1424"/>
      <c r="I1424" s="40">
        <f t="shared" si="61"/>
        <v>0</v>
      </c>
      <c r="J1424" s="40">
        <f t="shared" si="62"/>
        <v>0</v>
      </c>
    </row>
    <row r="1425" spans="6:10" x14ac:dyDescent="0.15">
      <c r="F1425"/>
      <c r="G1425"/>
      <c r="H1425"/>
      <c r="I1425" s="40">
        <f t="shared" si="61"/>
        <v>0</v>
      </c>
      <c r="J1425" s="40">
        <f t="shared" si="62"/>
        <v>0</v>
      </c>
    </row>
    <row r="1426" spans="6:10" x14ac:dyDescent="0.15">
      <c r="F1426"/>
      <c r="G1426"/>
      <c r="H1426"/>
      <c r="I1426" s="40">
        <f t="shared" si="61"/>
        <v>0</v>
      </c>
      <c r="J1426" s="40">
        <f t="shared" si="62"/>
        <v>0</v>
      </c>
    </row>
    <row r="1427" spans="6:10" x14ac:dyDescent="0.15">
      <c r="F1427"/>
      <c r="G1427"/>
      <c r="H1427"/>
      <c r="I1427" s="40">
        <f t="shared" si="61"/>
        <v>0</v>
      </c>
      <c r="J1427" s="40">
        <f t="shared" si="62"/>
        <v>0</v>
      </c>
    </row>
    <row r="1428" spans="6:10" x14ac:dyDescent="0.15">
      <c r="F1428"/>
      <c r="G1428"/>
      <c r="H1428"/>
      <c r="I1428" s="40">
        <f t="shared" si="61"/>
        <v>0</v>
      </c>
      <c r="J1428" s="40">
        <f t="shared" si="62"/>
        <v>0</v>
      </c>
    </row>
    <row r="1429" spans="6:10" x14ac:dyDescent="0.15">
      <c r="F1429"/>
      <c r="G1429"/>
      <c r="H1429"/>
      <c r="I1429" s="40">
        <f t="shared" si="61"/>
        <v>0</v>
      </c>
      <c r="J1429" s="40">
        <f t="shared" si="62"/>
        <v>0</v>
      </c>
    </row>
    <row r="1430" spans="6:10" x14ac:dyDescent="0.15">
      <c r="F1430"/>
      <c r="G1430"/>
      <c r="H1430"/>
      <c r="I1430" s="40">
        <f t="shared" si="61"/>
        <v>0</v>
      </c>
      <c r="J1430" s="40">
        <f t="shared" si="62"/>
        <v>0</v>
      </c>
    </row>
    <row r="1431" spans="6:10" x14ac:dyDescent="0.15">
      <c r="F1431"/>
      <c r="G1431"/>
      <c r="H1431"/>
      <c r="I1431" s="40">
        <f t="shared" si="61"/>
        <v>0</v>
      </c>
      <c r="J1431" s="40">
        <f t="shared" si="62"/>
        <v>0</v>
      </c>
    </row>
    <row r="1432" spans="6:10" x14ac:dyDescent="0.15">
      <c r="F1432"/>
      <c r="G1432"/>
      <c r="H1432"/>
      <c r="I1432" s="40">
        <f t="shared" si="61"/>
        <v>0</v>
      </c>
      <c r="J1432" s="40">
        <f t="shared" si="62"/>
        <v>0</v>
      </c>
    </row>
    <row r="1433" spans="6:10" x14ac:dyDescent="0.15">
      <c r="F1433"/>
      <c r="G1433"/>
      <c r="H1433"/>
      <c r="I1433" s="40">
        <f t="shared" si="61"/>
        <v>0</v>
      </c>
      <c r="J1433" s="40">
        <f t="shared" si="62"/>
        <v>0</v>
      </c>
    </row>
    <row r="1434" spans="6:10" x14ac:dyDescent="0.15">
      <c r="F1434"/>
      <c r="G1434"/>
      <c r="H1434"/>
      <c r="I1434" s="40">
        <f t="shared" si="61"/>
        <v>0</v>
      </c>
      <c r="J1434" s="40">
        <f t="shared" si="62"/>
        <v>0</v>
      </c>
    </row>
    <row r="1435" spans="6:10" x14ac:dyDescent="0.15">
      <c r="F1435"/>
      <c r="G1435"/>
      <c r="H1435"/>
      <c r="I1435" s="40">
        <f t="shared" si="61"/>
        <v>0</v>
      </c>
      <c r="J1435" s="40">
        <f t="shared" si="62"/>
        <v>0</v>
      </c>
    </row>
    <row r="1436" spans="6:10" x14ac:dyDescent="0.15">
      <c r="F1436"/>
      <c r="G1436"/>
      <c r="H1436"/>
      <c r="I1436" s="40">
        <f t="shared" si="61"/>
        <v>0</v>
      </c>
      <c r="J1436" s="40">
        <f t="shared" si="62"/>
        <v>0</v>
      </c>
    </row>
    <row r="1437" spans="6:10" x14ac:dyDescent="0.15">
      <c r="F1437"/>
      <c r="G1437"/>
      <c r="H1437"/>
      <c r="I1437" s="40">
        <f t="shared" si="61"/>
        <v>0</v>
      </c>
      <c r="J1437" s="40">
        <f t="shared" si="62"/>
        <v>0</v>
      </c>
    </row>
    <row r="1438" spans="6:10" x14ac:dyDescent="0.15">
      <c r="F1438"/>
      <c r="G1438"/>
      <c r="H1438"/>
      <c r="I1438" s="40">
        <f t="shared" si="61"/>
        <v>0</v>
      </c>
      <c r="J1438" s="40">
        <f t="shared" si="62"/>
        <v>0</v>
      </c>
    </row>
    <row r="1439" spans="6:10" x14ac:dyDescent="0.15">
      <c r="F1439"/>
      <c r="G1439"/>
      <c r="H1439"/>
      <c r="I1439" s="40">
        <f t="shared" si="61"/>
        <v>0</v>
      </c>
      <c r="J1439" s="40">
        <f t="shared" si="62"/>
        <v>0</v>
      </c>
    </row>
    <row r="1440" spans="6:10" x14ac:dyDescent="0.15">
      <c r="F1440"/>
      <c r="G1440"/>
      <c r="H1440"/>
      <c r="I1440" s="40">
        <f t="shared" si="61"/>
        <v>0</v>
      </c>
      <c r="J1440" s="40">
        <f t="shared" si="62"/>
        <v>0</v>
      </c>
    </row>
    <row r="1441" spans="6:10" x14ac:dyDescent="0.15">
      <c r="F1441"/>
      <c r="G1441"/>
      <c r="H1441"/>
      <c r="I1441" s="40">
        <f t="shared" si="61"/>
        <v>0</v>
      </c>
      <c r="J1441" s="40">
        <f t="shared" si="62"/>
        <v>0</v>
      </c>
    </row>
    <row r="1442" spans="6:10" x14ac:dyDescent="0.15">
      <c r="F1442"/>
      <c r="G1442"/>
      <c r="H1442"/>
      <c r="I1442" s="40">
        <f t="shared" si="61"/>
        <v>0</v>
      </c>
      <c r="J1442" s="40">
        <f t="shared" si="62"/>
        <v>0</v>
      </c>
    </row>
    <row r="1443" spans="6:10" x14ac:dyDescent="0.15">
      <c r="F1443"/>
      <c r="G1443"/>
      <c r="H1443"/>
      <c r="I1443" s="40">
        <f t="shared" si="61"/>
        <v>0</v>
      </c>
      <c r="J1443" s="40">
        <f t="shared" si="62"/>
        <v>0</v>
      </c>
    </row>
    <row r="1444" spans="6:10" x14ac:dyDescent="0.15">
      <c r="F1444"/>
      <c r="G1444"/>
      <c r="H1444"/>
      <c r="I1444" s="40">
        <f t="shared" si="61"/>
        <v>0</v>
      </c>
      <c r="J1444" s="40">
        <f t="shared" si="62"/>
        <v>0</v>
      </c>
    </row>
    <row r="1445" spans="6:10" x14ac:dyDescent="0.15">
      <c r="F1445"/>
      <c r="G1445"/>
      <c r="H1445"/>
      <c r="I1445" s="40">
        <f t="shared" si="61"/>
        <v>0</v>
      </c>
      <c r="J1445" s="40">
        <f t="shared" si="62"/>
        <v>0</v>
      </c>
    </row>
    <row r="1446" spans="6:10" x14ac:dyDescent="0.15">
      <c r="F1446"/>
      <c r="G1446"/>
      <c r="H1446"/>
      <c r="I1446" s="40">
        <f t="shared" si="61"/>
        <v>0</v>
      </c>
      <c r="J1446" s="40">
        <f t="shared" si="62"/>
        <v>0</v>
      </c>
    </row>
    <row r="1447" spans="6:10" x14ac:dyDescent="0.15">
      <c r="F1447"/>
      <c r="G1447"/>
      <c r="H1447"/>
      <c r="I1447" s="40">
        <f t="shared" si="61"/>
        <v>0</v>
      </c>
      <c r="J1447" s="40">
        <f t="shared" si="62"/>
        <v>0</v>
      </c>
    </row>
    <row r="1448" spans="6:10" x14ac:dyDescent="0.15">
      <c r="F1448"/>
      <c r="G1448"/>
      <c r="H1448"/>
      <c r="I1448" s="40">
        <f t="shared" si="61"/>
        <v>0</v>
      </c>
      <c r="J1448" s="40">
        <f t="shared" si="62"/>
        <v>0</v>
      </c>
    </row>
    <row r="1449" spans="6:10" x14ac:dyDescent="0.15">
      <c r="F1449"/>
      <c r="G1449"/>
      <c r="H1449"/>
      <c r="I1449" s="40">
        <f t="shared" si="61"/>
        <v>0</v>
      </c>
      <c r="J1449" s="40">
        <f t="shared" si="62"/>
        <v>0</v>
      </c>
    </row>
    <row r="1450" spans="6:10" x14ac:dyDescent="0.15">
      <c r="F1450"/>
      <c r="G1450"/>
      <c r="H1450"/>
      <c r="I1450" s="40">
        <f t="shared" si="61"/>
        <v>0</v>
      </c>
      <c r="J1450" s="40">
        <f t="shared" si="62"/>
        <v>0</v>
      </c>
    </row>
    <row r="1451" spans="6:10" x14ac:dyDescent="0.15">
      <c r="F1451"/>
      <c r="G1451"/>
      <c r="H1451"/>
      <c r="I1451" s="40">
        <f t="shared" si="61"/>
        <v>0</v>
      </c>
      <c r="J1451" s="40">
        <f t="shared" si="62"/>
        <v>0</v>
      </c>
    </row>
    <row r="1452" spans="6:10" x14ac:dyDescent="0.15">
      <c r="F1452"/>
      <c r="G1452"/>
      <c r="H1452"/>
      <c r="I1452" s="40">
        <f t="shared" si="61"/>
        <v>0</v>
      </c>
      <c r="J1452" s="40">
        <f t="shared" si="62"/>
        <v>0</v>
      </c>
    </row>
    <row r="1453" spans="6:10" x14ac:dyDescent="0.15">
      <c r="F1453"/>
      <c r="G1453"/>
      <c r="H1453"/>
      <c r="I1453" s="40">
        <f t="shared" si="61"/>
        <v>0</v>
      </c>
      <c r="J1453" s="40">
        <f t="shared" si="62"/>
        <v>0</v>
      </c>
    </row>
    <row r="1454" spans="6:10" x14ac:dyDescent="0.15">
      <c r="F1454"/>
      <c r="G1454"/>
      <c r="H1454"/>
      <c r="I1454" s="40">
        <f t="shared" si="61"/>
        <v>0</v>
      </c>
      <c r="J1454" s="40">
        <f t="shared" si="62"/>
        <v>0</v>
      </c>
    </row>
    <row r="1455" spans="6:10" x14ac:dyDescent="0.15">
      <c r="F1455"/>
      <c r="G1455"/>
      <c r="H1455"/>
      <c r="I1455" s="40">
        <f t="shared" si="61"/>
        <v>0</v>
      </c>
      <c r="J1455" s="40">
        <f t="shared" si="62"/>
        <v>0</v>
      </c>
    </row>
    <row r="1456" spans="6:10" x14ac:dyDescent="0.15">
      <c r="F1456"/>
      <c r="G1456"/>
      <c r="H1456"/>
      <c r="I1456" s="40">
        <f t="shared" si="61"/>
        <v>0</v>
      </c>
      <c r="J1456" s="40">
        <f t="shared" si="62"/>
        <v>0</v>
      </c>
    </row>
    <row r="1457" spans="6:10" x14ac:dyDescent="0.15">
      <c r="F1457"/>
      <c r="G1457"/>
      <c r="H1457"/>
      <c r="I1457" s="40">
        <f t="shared" si="61"/>
        <v>0</v>
      </c>
      <c r="J1457" s="40">
        <f t="shared" si="62"/>
        <v>0</v>
      </c>
    </row>
    <row r="1458" spans="6:10" x14ac:dyDescent="0.15">
      <c r="F1458"/>
      <c r="G1458"/>
      <c r="H1458"/>
      <c r="I1458" s="40">
        <f t="shared" si="61"/>
        <v>0</v>
      </c>
      <c r="J1458" s="40">
        <f t="shared" si="62"/>
        <v>0</v>
      </c>
    </row>
    <row r="1459" spans="6:10" x14ac:dyDescent="0.15">
      <c r="F1459"/>
      <c r="G1459"/>
      <c r="H1459"/>
      <c r="I1459" s="40">
        <f t="shared" si="61"/>
        <v>0</v>
      </c>
      <c r="J1459" s="40">
        <f t="shared" si="62"/>
        <v>0</v>
      </c>
    </row>
    <row r="1460" spans="6:10" x14ac:dyDescent="0.15">
      <c r="F1460"/>
      <c r="G1460"/>
      <c r="H1460"/>
      <c r="I1460" s="40">
        <f t="shared" si="61"/>
        <v>0</v>
      </c>
      <c r="J1460" s="40">
        <f t="shared" si="62"/>
        <v>0</v>
      </c>
    </row>
    <row r="1461" spans="6:10" x14ac:dyDescent="0.15">
      <c r="F1461"/>
      <c r="G1461"/>
      <c r="H1461"/>
      <c r="I1461" s="40">
        <f t="shared" si="61"/>
        <v>0</v>
      </c>
      <c r="J1461" s="40">
        <f t="shared" si="62"/>
        <v>0</v>
      </c>
    </row>
    <row r="1462" spans="6:10" x14ac:dyDescent="0.15">
      <c r="F1462"/>
      <c r="G1462"/>
      <c r="H1462"/>
      <c r="I1462" s="40">
        <f t="shared" si="61"/>
        <v>0</v>
      </c>
      <c r="J1462" s="40">
        <f t="shared" si="62"/>
        <v>0</v>
      </c>
    </row>
    <row r="1463" spans="6:10" x14ac:dyDescent="0.15">
      <c r="F1463"/>
      <c r="G1463"/>
      <c r="H1463"/>
      <c r="I1463" s="40">
        <f t="shared" si="61"/>
        <v>0</v>
      </c>
      <c r="J1463" s="40">
        <f t="shared" si="62"/>
        <v>0</v>
      </c>
    </row>
    <row r="1464" spans="6:10" x14ac:dyDescent="0.15">
      <c r="F1464"/>
      <c r="G1464"/>
      <c r="H1464"/>
      <c r="I1464" s="40">
        <f t="shared" si="61"/>
        <v>0</v>
      </c>
      <c r="J1464" s="40">
        <f t="shared" si="62"/>
        <v>0</v>
      </c>
    </row>
    <row r="1465" spans="6:10" x14ac:dyDescent="0.15">
      <c r="F1465"/>
      <c r="G1465"/>
      <c r="H1465"/>
      <c r="I1465" s="40">
        <f t="shared" ref="I1465:I1507" si="63">F1465</f>
        <v>0</v>
      </c>
      <c r="J1465" s="40">
        <f t="shared" ref="J1465:J1507" si="64">G1465</f>
        <v>0</v>
      </c>
    </row>
    <row r="1466" spans="6:10" x14ac:dyDescent="0.15">
      <c r="F1466"/>
      <c r="G1466"/>
      <c r="H1466"/>
      <c r="I1466" s="40">
        <f t="shared" si="63"/>
        <v>0</v>
      </c>
      <c r="J1466" s="40">
        <f t="shared" si="64"/>
        <v>0</v>
      </c>
    </row>
    <row r="1467" spans="6:10" x14ac:dyDescent="0.15">
      <c r="F1467"/>
      <c r="G1467"/>
      <c r="H1467"/>
      <c r="I1467" s="40">
        <f t="shared" si="63"/>
        <v>0</v>
      </c>
      <c r="J1467" s="40">
        <f t="shared" si="64"/>
        <v>0</v>
      </c>
    </row>
    <row r="1468" spans="6:10" x14ac:dyDescent="0.15">
      <c r="F1468"/>
      <c r="G1468"/>
      <c r="H1468"/>
      <c r="I1468" s="40">
        <f t="shared" si="63"/>
        <v>0</v>
      </c>
      <c r="J1468" s="40">
        <f t="shared" si="64"/>
        <v>0</v>
      </c>
    </row>
    <row r="1469" spans="6:10" x14ac:dyDescent="0.15">
      <c r="F1469"/>
      <c r="G1469"/>
      <c r="H1469"/>
      <c r="I1469" s="40">
        <f t="shared" si="63"/>
        <v>0</v>
      </c>
      <c r="J1469" s="40">
        <f t="shared" si="64"/>
        <v>0</v>
      </c>
    </row>
    <row r="1470" spans="6:10" x14ac:dyDescent="0.15">
      <c r="F1470"/>
      <c r="G1470"/>
      <c r="H1470"/>
      <c r="I1470" s="40">
        <f t="shared" si="63"/>
        <v>0</v>
      </c>
      <c r="J1470" s="40">
        <f t="shared" si="64"/>
        <v>0</v>
      </c>
    </row>
    <row r="1471" spans="6:10" x14ac:dyDescent="0.15">
      <c r="F1471"/>
      <c r="G1471"/>
      <c r="H1471"/>
      <c r="I1471" s="40">
        <f t="shared" si="63"/>
        <v>0</v>
      </c>
      <c r="J1471" s="40">
        <f t="shared" si="64"/>
        <v>0</v>
      </c>
    </row>
    <row r="1472" spans="6:10" x14ac:dyDescent="0.15">
      <c r="F1472"/>
      <c r="G1472"/>
      <c r="H1472"/>
      <c r="I1472" s="40">
        <f t="shared" si="63"/>
        <v>0</v>
      </c>
      <c r="J1472" s="40">
        <f t="shared" si="64"/>
        <v>0</v>
      </c>
    </row>
    <row r="1473" spans="6:10" x14ac:dyDescent="0.15">
      <c r="F1473"/>
      <c r="G1473"/>
      <c r="H1473"/>
      <c r="I1473" s="40">
        <f t="shared" si="63"/>
        <v>0</v>
      </c>
      <c r="J1473" s="40">
        <f t="shared" si="64"/>
        <v>0</v>
      </c>
    </row>
    <row r="1474" spans="6:10" x14ac:dyDescent="0.15">
      <c r="F1474"/>
      <c r="G1474"/>
      <c r="H1474"/>
      <c r="I1474" s="40">
        <f t="shared" si="63"/>
        <v>0</v>
      </c>
      <c r="J1474" s="40">
        <f t="shared" si="64"/>
        <v>0</v>
      </c>
    </row>
    <row r="1475" spans="6:10" x14ac:dyDescent="0.15">
      <c r="F1475"/>
      <c r="G1475"/>
      <c r="H1475"/>
      <c r="I1475" s="40">
        <f t="shared" si="63"/>
        <v>0</v>
      </c>
      <c r="J1475" s="40">
        <f t="shared" si="64"/>
        <v>0</v>
      </c>
    </row>
    <row r="1476" spans="6:10" x14ac:dyDescent="0.15">
      <c r="F1476"/>
      <c r="G1476"/>
      <c r="H1476"/>
      <c r="I1476" s="40">
        <f t="shared" si="63"/>
        <v>0</v>
      </c>
      <c r="J1476" s="40">
        <f t="shared" si="64"/>
        <v>0</v>
      </c>
    </row>
    <row r="1477" spans="6:10" x14ac:dyDescent="0.15">
      <c r="F1477"/>
      <c r="G1477"/>
      <c r="H1477"/>
      <c r="I1477" s="40">
        <f t="shared" si="63"/>
        <v>0</v>
      </c>
      <c r="J1477" s="40">
        <f t="shared" si="64"/>
        <v>0</v>
      </c>
    </row>
    <row r="1478" spans="6:10" x14ac:dyDescent="0.15">
      <c r="F1478"/>
      <c r="G1478"/>
      <c r="H1478"/>
      <c r="I1478" s="40">
        <f t="shared" si="63"/>
        <v>0</v>
      </c>
      <c r="J1478" s="40">
        <f t="shared" si="64"/>
        <v>0</v>
      </c>
    </row>
    <row r="1479" spans="6:10" x14ac:dyDescent="0.15">
      <c r="F1479"/>
      <c r="G1479"/>
      <c r="H1479"/>
      <c r="I1479" s="40">
        <f t="shared" si="63"/>
        <v>0</v>
      </c>
      <c r="J1479" s="40">
        <f t="shared" si="64"/>
        <v>0</v>
      </c>
    </row>
    <row r="1480" spans="6:10" x14ac:dyDescent="0.15">
      <c r="F1480"/>
      <c r="G1480"/>
      <c r="H1480"/>
      <c r="I1480" s="40">
        <f t="shared" si="63"/>
        <v>0</v>
      </c>
      <c r="J1480" s="40">
        <f t="shared" si="64"/>
        <v>0</v>
      </c>
    </row>
    <row r="1481" spans="6:10" x14ac:dyDescent="0.15">
      <c r="F1481"/>
      <c r="G1481"/>
      <c r="H1481"/>
      <c r="I1481" s="40">
        <f t="shared" si="63"/>
        <v>0</v>
      </c>
      <c r="J1481" s="40">
        <f t="shared" si="64"/>
        <v>0</v>
      </c>
    </row>
    <row r="1482" spans="6:10" x14ac:dyDescent="0.15">
      <c r="F1482"/>
      <c r="G1482"/>
      <c r="H1482"/>
      <c r="I1482" s="40">
        <f t="shared" si="63"/>
        <v>0</v>
      </c>
      <c r="J1482" s="40">
        <f t="shared" si="64"/>
        <v>0</v>
      </c>
    </row>
    <row r="1483" spans="6:10" x14ac:dyDescent="0.15">
      <c r="F1483"/>
      <c r="G1483"/>
      <c r="H1483"/>
      <c r="I1483" s="40">
        <f t="shared" si="63"/>
        <v>0</v>
      </c>
      <c r="J1483" s="40">
        <f t="shared" si="64"/>
        <v>0</v>
      </c>
    </row>
    <row r="1484" spans="6:10" x14ac:dyDescent="0.15">
      <c r="F1484"/>
      <c r="G1484"/>
      <c r="H1484"/>
      <c r="I1484" s="40">
        <f t="shared" si="63"/>
        <v>0</v>
      </c>
      <c r="J1484" s="40">
        <f t="shared" si="64"/>
        <v>0</v>
      </c>
    </row>
    <row r="1485" spans="6:10" x14ac:dyDescent="0.15">
      <c r="F1485"/>
      <c r="G1485"/>
      <c r="H1485"/>
      <c r="I1485" s="40">
        <f t="shared" si="63"/>
        <v>0</v>
      </c>
      <c r="J1485" s="40">
        <f t="shared" si="64"/>
        <v>0</v>
      </c>
    </row>
    <row r="1486" spans="6:10" x14ac:dyDescent="0.15">
      <c r="F1486"/>
      <c r="G1486"/>
      <c r="H1486"/>
      <c r="I1486" s="40">
        <f t="shared" si="63"/>
        <v>0</v>
      </c>
      <c r="J1486" s="40">
        <f t="shared" si="64"/>
        <v>0</v>
      </c>
    </row>
    <row r="1487" spans="6:10" x14ac:dyDescent="0.15">
      <c r="F1487"/>
      <c r="G1487"/>
      <c r="H1487"/>
      <c r="I1487" s="40">
        <f t="shared" si="63"/>
        <v>0</v>
      </c>
      <c r="J1487" s="40">
        <f t="shared" si="64"/>
        <v>0</v>
      </c>
    </row>
    <row r="1488" spans="6:10" x14ac:dyDescent="0.15">
      <c r="F1488"/>
      <c r="G1488"/>
      <c r="H1488"/>
      <c r="I1488" s="40">
        <f t="shared" si="63"/>
        <v>0</v>
      </c>
      <c r="J1488" s="40">
        <f t="shared" si="64"/>
        <v>0</v>
      </c>
    </row>
    <row r="1489" spans="6:10" x14ac:dyDescent="0.15">
      <c r="F1489"/>
      <c r="G1489"/>
      <c r="H1489"/>
      <c r="I1489" s="40">
        <f t="shared" si="63"/>
        <v>0</v>
      </c>
      <c r="J1489" s="40">
        <f t="shared" si="64"/>
        <v>0</v>
      </c>
    </row>
    <row r="1490" spans="6:10" x14ac:dyDescent="0.15">
      <c r="F1490"/>
      <c r="G1490"/>
      <c r="H1490"/>
      <c r="I1490" s="40">
        <f t="shared" si="63"/>
        <v>0</v>
      </c>
      <c r="J1490" s="40">
        <f t="shared" si="64"/>
        <v>0</v>
      </c>
    </row>
    <row r="1491" spans="6:10" x14ac:dyDescent="0.15">
      <c r="F1491"/>
      <c r="G1491"/>
      <c r="H1491"/>
      <c r="I1491" s="40">
        <f t="shared" si="63"/>
        <v>0</v>
      </c>
      <c r="J1491" s="40">
        <f t="shared" si="64"/>
        <v>0</v>
      </c>
    </row>
    <row r="1492" spans="6:10" x14ac:dyDescent="0.15">
      <c r="F1492"/>
      <c r="G1492"/>
      <c r="H1492"/>
      <c r="I1492" s="40">
        <f t="shared" si="63"/>
        <v>0</v>
      </c>
      <c r="J1492" s="40">
        <f t="shared" si="64"/>
        <v>0</v>
      </c>
    </row>
    <row r="1493" spans="6:10" x14ac:dyDescent="0.15">
      <c r="F1493"/>
      <c r="G1493"/>
      <c r="H1493"/>
      <c r="I1493" s="40">
        <f t="shared" si="63"/>
        <v>0</v>
      </c>
      <c r="J1493" s="40">
        <f t="shared" si="64"/>
        <v>0</v>
      </c>
    </row>
    <row r="1494" spans="6:10" x14ac:dyDescent="0.15">
      <c r="F1494"/>
      <c r="G1494"/>
      <c r="H1494"/>
      <c r="I1494" s="40">
        <f t="shared" si="63"/>
        <v>0</v>
      </c>
      <c r="J1494" s="40">
        <f t="shared" si="64"/>
        <v>0</v>
      </c>
    </row>
    <row r="1495" spans="6:10" x14ac:dyDescent="0.15">
      <c r="F1495"/>
      <c r="G1495"/>
      <c r="H1495"/>
      <c r="I1495" s="40">
        <f t="shared" si="63"/>
        <v>0</v>
      </c>
      <c r="J1495" s="40">
        <f t="shared" si="64"/>
        <v>0</v>
      </c>
    </row>
    <row r="1496" spans="6:10" x14ac:dyDescent="0.15">
      <c r="F1496"/>
      <c r="G1496"/>
      <c r="H1496"/>
      <c r="I1496" s="40">
        <f t="shared" si="63"/>
        <v>0</v>
      </c>
      <c r="J1496" s="40">
        <f t="shared" si="64"/>
        <v>0</v>
      </c>
    </row>
    <row r="1497" spans="6:10" x14ac:dyDescent="0.15">
      <c r="F1497"/>
      <c r="G1497"/>
      <c r="H1497"/>
      <c r="I1497" s="40">
        <f t="shared" si="63"/>
        <v>0</v>
      </c>
      <c r="J1497" s="40">
        <f t="shared" si="64"/>
        <v>0</v>
      </c>
    </row>
    <row r="1498" spans="6:10" x14ac:dyDescent="0.15">
      <c r="F1498"/>
      <c r="G1498"/>
      <c r="H1498"/>
      <c r="I1498" s="40">
        <f t="shared" si="63"/>
        <v>0</v>
      </c>
      <c r="J1498" s="40">
        <f t="shared" si="64"/>
        <v>0</v>
      </c>
    </row>
    <row r="1499" spans="6:10" x14ac:dyDescent="0.15">
      <c r="F1499"/>
      <c r="G1499"/>
      <c r="H1499"/>
      <c r="I1499" s="40">
        <f t="shared" si="63"/>
        <v>0</v>
      </c>
      <c r="J1499" s="40">
        <f t="shared" si="64"/>
        <v>0</v>
      </c>
    </row>
    <row r="1500" spans="6:10" x14ac:dyDescent="0.15">
      <c r="F1500"/>
      <c r="G1500"/>
      <c r="H1500"/>
      <c r="I1500" s="40">
        <f t="shared" si="63"/>
        <v>0</v>
      </c>
      <c r="J1500" s="40">
        <f t="shared" si="64"/>
        <v>0</v>
      </c>
    </row>
    <row r="1501" spans="6:10" x14ac:dyDescent="0.15">
      <c r="F1501"/>
      <c r="G1501"/>
      <c r="H1501"/>
      <c r="I1501" s="40">
        <f t="shared" si="63"/>
        <v>0</v>
      </c>
      <c r="J1501" s="40">
        <f t="shared" si="64"/>
        <v>0</v>
      </c>
    </row>
    <row r="1502" spans="6:10" x14ac:dyDescent="0.15">
      <c r="F1502"/>
      <c r="G1502"/>
      <c r="H1502"/>
      <c r="I1502" s="40">
        <f t="shared" si="63"/>
        <v>0</v>
      </c>
      <c r="J1502" s="40">
        <f t="shared" si="64"/>
        <v>0</v>
      </c>
    </row>
    <row r="1503" spans="6:10" x14ac:dyDescent="0.15">
      <c r="F1503"/>
      <c r="G1503"/>
      <c r="H1503"/>
      <c r="I1503" s="40">
        <f t="shared" si="63"/>
        <v>0</v>
      </c>
      <c r="J1503" s="40">
        <f t="shared" si="64"/>
        <v>0</v>
      </c>
    </row>
    <row r="1504" spans="6:10" x14ac:dyDescent="0.15">
      <c r="F1504"/>
      <c r="G1504"/>
      <c r="H1504"/>
      <c r="I1504" s="40">
        <f t="shared" si="63"/>
        <v>0</v>
      </c>
      <c r="J1504" s="40">
        <f t="shared" si="64"/>
        <v>0</v>
      </c>
    </row>
    <row r="1505" spans="6:10" x14ac:dyDescent="0.15">
      <c r="F1505"/>
      <c r="G1505"/>
      <c r="H1505"/>
      <c r="I1505" s="40">
        <f t="shared" si="63"/>
        <v>0</v>
      </c>
      <c r="J1505" s="40">
        <f t="shared" si="64"/>
        <v>0</v>
      </c>
    </row>
    <row r="1506" spans="6:10" x14ac:dyDescent="0.15">
      <c r="F1506"/>
      <c r="G1506"/>
      <c r="H1506"/>
      <c r="I1506" s="40">
        <f t="shared" si="63"/>
        <v>0</v>
      </c>
      <c r="J1506" s="40">
        <f t="shared" si="64"/>
        <v>0</v>
      </c>
    </row>
    <row r="1507" spans="6:10" x14ac:dyDescent="0.15">
      <c r="F1507"/>
      <c r="G1507"/>
      <c r="H1507"/>
      <c r="I1507" s="40">
        <f t="shared" si="63"/>
        <v>0</v>
      </c>
      <c r="J1507" s="40">
        <f t="shared" si="64"/>
        <v>0</v>
      </c>
    </row>
    <row r="1508" spans="6:10" x14ac:dyDescent="0.15">
      <c r="F1508"/>
      <c r="G1508"/>
      <c r="H1508"/>
      <c r="I1508" s="41"/>
      <c r="J1508"/>
    </row>
    <row r="1509" spans="6:10" x14ac:dyDescent="0.15">
      <c r="F1509"/>
      <c r="G1509"/>
      <c r="H1509"/>
      <c r="I1509" s="41"/>
      <c r="J1509"/>
    </row>
    <row r="1510" spans="6:10" x14ac:dyDescent="0.15">
      <c r="F1510"/>
      <c r="G1510"/>
      <c r="H1510"/>
      <c r="I1510" s="41"/>
      <c r="J1510"/>
    </row>
    <row r="1511" spans="6:10" x14ac:dyDescent="0.15">
      <c r="F1511"/>
      <c r="G1511"/>
      <c r="H1511"/>
      <c r="I1511" s="41"/>
      <c r="J1511"/>
    </row>
    <row r="1512" spans="6:10" x14ac:dyDescent="0.15">
      <c r="F1512"/>
      <c r="G1512"/>
      <c r="H1512"/>
      <c r="I1512" s="41"/>
      <c r="J1512"/>
    </row>
    <row r="1513" spans="6:10" x14ac:dyDescent="0.15">
      <c r="F1513"/>
      <c r="G1513"/>
      <c r="H1513"/>
      <c r="I1513" s="41"/>
      <c r="J1513"/>
    </row>
    <row r="1514" spans="6:10" x14ac:dyDescent="0.15">
      <c r="F1514"/>
      <c r="G1514"/>
      <c r="H1514"/>
      <c r="I1514" s="41"/>
      <c r="J1514"/>
    </row>
    <row r="1515" spans="6:10" x14ac:dyDescent="0.15">
      <c r="F1515"/>
      <c r="G1515"/>
      <c r="H1515"/>
      <c r="I1515" s="41"/>
      <c r="J1515"/>
    </row>
    <row r="1516" spans="6:10" x14ac:dyDescent="0.15">
      <c r="F1516"/>
      <c r="G1516"/>
      <c r="H1516"/>
      <c r="I1516" s="41"/>
      <c r="J1516"/>
    </row>
    <row r="1517" spans="6:10" x14ac:dyDescent="0.15">
      <c r="F1517"/>
      <c r="G1517"/>
      <c r="H1517"/>
      <c r="I1517" s="41"/>
      <c r="J1517"/>
    </row>
    <row r="1518" spans="6:10" x14ac:dyDescent="0.15">
      <c r="F1518"/>
      <c r="G1518"/>
      <c r="H1518"/>
      <c r="I1518" s="41"/>
      <c r="J1518"/>
    </row>
    <row r="1519" spans="6:10" x14ac:dyDescent="0.15">
      <c r="F1519"/>
      <c r="G1519"/>
      <c r="H1519"/>
      <c r="I1519" s="41"/>
      <c r="J1519"/>
    </row>
    <row r="1520" spans="6:10" x14ac:dyDescent="0.15">
      <c r="F1520"/>
      <c r="G1520"/>
      <c r="H1520"/>
      <c r="I1520" s="41"/>
      <c r="J1520"/>
    </row>
    <row r="1521" spans="6:10" x14ac:dyDescent="0.15">
      <c r="F1521"/>
      <c r="G1521"/>
      <c r="H1521"/>
      <c r="I1521" s="41"/>
      <c r="J1521"/>
    </row>
    <row r="1522" spans="6:10" x14ac:dyDescent="0.15">
      <c r="F1522"/>
      <c r="G1522"/>
      <c r="H1522"/>
      <c r="I1522" s="41"/>
      <c r="J1522"/>
    </row>
    <row r="1523" spans="6:10" x14ac:dyDescent="0.15">
      <c r="F1523"/>
      <c r="G1523"/>
      <c r="H1523"/>
      <c r="I1523" s="41"/>
      <c r="J1523"/>
    </row>
    <row r="1524" spans="6:10" x14ac:dyDescent="0.15">
      <c r="F1524"/>
      <c r="G1524"/>
      <c r="H1524"/>
      <c r="I1524" s="41"/>
      <c r="J1524"/>
    </row>
    <row r="1525" spans="6:10" x14ac:dyDescent="0.15">
      <c r="F1525"/>
      <c r="G1525"/>
      <c r="H1525"/>
      <c r="I1525" s="41"/>
      <c r="J1525"/>
    </row>
    <row r="1526" spans="6:10" x14ac:dyDescent="0.15">
      <c r="F1526"/>
      <c r="G1526"/>
      <c r="H1526"/>
      <c r="I1526" s="41"/>
      <c r="J1526"/>
    </row>
    <row r="1527" spans="6:10" x14ac:dyDescent="0.15">
      <c r="F1527"/>
      <c r="G1527"/>
      <c r="H1527"/>
      <c r="I1527" s="41"/>
      <c r="J1527"/>
    </row>
    <row r="1528" spans="6:10" x14ac:dyDescent="0.15">
      <c r="F1528"/>
      <c r="G1528"/>
      <c r="H1528"/>
      <c r="I1528" s="41"/>
      <c r="J1528"/>
    </row>
    <row r="1529" spans="6:10" x14ac:dyDescent="0.15">
      <c r="F1529"/>
      <c r="G1529"/>
      <c r="H1529"/>
      <c r="I1529" s="41"/>
      <c r="J1529"/>
    </row>
    <row r="1530" spans="6:10" x14ac:dyDescent="0.15">
      <c r="F1530"/>
      <c r="G1530"/>
      <c r="H1530"/>
      <c r="I1530" s="41"/>
      <c r="J1530"/>
    </row>
    <row r="1531" spans="6:10" x14ac:dyDescent="0.15">
      <c r="F1531"/>
      <c r="G1531"/>
      <c r="H1531"/>
      <c r="I1531" s="41"/>
      <c r="J1531"/>
    </row>
    <row r="1532" spans="6:10" x14ac:dyDescent="0.15">
      <c r="F1532"/>
      <c r="G1532"/>
      <c r="H1532"/>
      <c r="I1532" s="41"/>
      <c r="J1532"/>
    </row>
    <row r="1533" spans="6:10" x14ac:dyDescent="0.15">
      <c r="F1533"/>
      <c r="G1533"/>
      <c r="H1533"/>
      <c r="I1533" s="41"/>
      <c r="J1533"/>
    </row>
    <row r="1534" spans="6:10" x14ac:dyDescent="0.15">
      <c r="F1534"/>
      <c r="G1534"/>
      <c r="H1534"/>
      <c r="I1534" s="41"/>
      <c r="J1534"/>
    </row>
    <row r="1535" spans="6:10" x14ac:dyDescent="0.15">
      <c r="F1535"/>
      <c r="G1535"/>
      <c r="H1535"/>
      <c r="I1535" s="41"/>
      <c r="J1535"/>
    </row>
    <row r="1536" spans="6:10" x14ac:dyDescent="0.15">
      <c r="F1536"/>
      <c r="G1536"/>
      <c r="H1536"/>
      <c r="I1536" s="41"/>
      <c r="J1536"/>
    </row>
    <row r="1537" spans="6:10" x14ac:dyDescent="0.15">
      <c r="F1537"/>
      <c r="G1537"/>
      <c r="H1537"/>
      <c r="I1537" s="41"/>
      <c r="J1537"/>
    </row>
    <row r="1538" spans="6:10" x14ac:dyDescent="0.15">
      <c r="F1538"/>
      <c r="G1538"/>
      <c r="H1538"/>
      <c r="I1538" s="41"/>
      <c r="J1538"/>
    </row>
    <row r="1539" spans="6:10" x14ac:dyDescent="0.15">
      <c r="F1539"/>
      <c r="G1539"/>
      <c r="H1539"/>
      <c r="I1539" s="41"/>
      <c r="J1539"/>
    </row>
    <row r="1540" spans="6:10" x14ac:dyDescent="0.15">
      <c r="F1540"/>
      <c r="G1540"/>
      <c r="H1540"/>
      <c r="I1540" s="41"/>
      <c r="J1540"/>
    </row>
    <row r="1541" spans="6:10" x14ac:dyDescent="0.15">
      <c r="F1541"/>
      <c r="G1541"/>
      <c r="H1541"/>
      <c r="I1541" s="41"/>
      <c r="J1541"/>
    </row>
    <row r="1542" spans="6:10" x14ac:dyDescent="0.15">
      <c r="F1542"/>
      <c r="G1542"/>
      <c r="H1542"/>
      <c r="I1542" s="41"/>
      <c r="J1542"/>
    </row>
    <row r="1543" spans="6:10" x14ac:dyDescent="0.15">
      <c r="F1543"/>
      <c r="G1543"/>
      <c r="H1543"/>
      <c r="I1543" s="41"/>
      <c r="J1543"/>
    </row>
    <row r="1544" spans="6:10" x14ac:dyDescent="0.15">
      <c r="F1544"/>
      <c r="G1544"/>
      <c r="H1544"/>
      <c r="I1544" s="41"/>
      <c r="J1544"/>
    </row>
    <row r="1545" spans="6:10" x14ac:dyDescent="0.15">
      <c r="F1545"/>
      <c r="G1545"/>
      <c r="H1545"/>
      <c r="I1545" s="41"/>
      <c r="J1545"/>
    </row>
    <row r="1546" spans="6:10" x14ac:dyDescent="0.15">
      <c r="F1546"/>
      <c r="G1546"/>
      <c r="H1546"/>
      <c r="I1546" s="41"/>
      <c r="J1546"/>
    </row>
    <row r="1547" spans="6:10" x14ac:dyDescent="0.15">
      <c r="F1547"/>
      <c r="G1547"/>
      <c r="H1547"/>
      <c r="I1547" s="41"/>
      <c r="J1547"/>
    </row>
    <row r="1548" spans="6:10" x14ac:dyDescent="0.15">
      <c r="F1548"/>
      <c r="G1548"/>
      <c r="H1548"/>
      <c r="I1548" s="41"/>
      <c r="J1548"/>
    </row>
    <row r="1549" spans="6:10" x14ac:dyDescent="0.15">
      <c r="F1549"/>
      <c r="G1549"/>
      <c r="H1549"/>
      <c r="I1549" s="41"/>
      <c r="J1549"/>
    </row>
    <row r="1550" spans="6:10" x14ac:dyDescent="0.15">
      <c r="F1550"/>
      <c r="G1550"/>
      <c r="H1550"/>
      <c r="I1550" s="41"/>
      <c r="J1550"/>
    </row>
    <row r="1551" spans="6:10" x14ac:dyDescent="0.15">
      <c r="F1551"/>
      <c r="G1551"/>
      <c r="H1551"/>
      <c r="I1551" s="41"/>
      <c r="J1551"/>
    </row>
    <row r="1552" spans="6:10" x14ac:dyDescent="0.15">
      <c r="F1552"/>
      <c r="G1552"/>
      <c r="H1552"/>
      <c r="I1552" s="41"/>
      <c r="J1552"/>
    </row>
    <row r="1553" spans="6:10" x14ac:dyDescent="0.15">
      <c r="F1553"/>
      <c r="G1553"/>
      <c r="H1553"/>
      <c r="I1553" s="41"/>
      <c r="J1553"/>
    </row>
    <row r="1554" spans="6:10" x14ac:dyDescent="0.15">
      <c r="F1554"/>
      <c r="G1554"/>
      <c r="H1554"/>
      <c r="I1554" s="41"/>
      <c r="J1554"/>
    </row>
    <row r="1555" spans="6:10" x14ac:dyDescent="0.15">
      <c r="F1555"/>
      <c r="G1555"/>
      <c r="H1555"/>
      <c r="I1555" s="41"/>
      <c r="J1555"/>
    </row>
    <row r="1556" spans="6:10" x14ac:dyDescent="0.15">
      <c r="F1556"/>
      <c r="G1556"/>
      <c r="H1556"/>
      <c r="I1556" s="41"/>
      <c r="J155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6AFF3-8131-F845-BCD8-96EB433E5C7F}">
  <dimension ref="A1:AK235"/>
  <sheetViews>
    <sheetView topLeftCell="E168" zoomScale="98" workbookViewId="0">
      <selection activeCell="I186" sqref="I186:K235"/>
    </sheetView>
  </sheetViews>
  <sheetFormatPr baseColWidth="10" defaultRowHeight="13" x14ac:dyDescent="0.15"/>
  <cols>
    <col min="9" max="9" width="11" style="34"/>
    <col min="10" max="11" width="11" style="36"/>
  </cols>
  <sheetData>
    <row r="1" spans="1:37" x14ac:dyDescent="0.15">
      <c r="B1" s="37" t="s">
        <v>28</v>
      </c>
      <c r="C1">
        <f>D1*E1*F1</f>
        <v>426.89900000000006</v>
      </c>
      <c r="D1">
        <v>10000</v>
      </c>
      <c r="E1" s="37">
        <v>1.1000000000000001</v>
      </c>
      <c r="F1">
        <f>0.197^2</f>
        <v>3.8809000000000003E-2</v>
      </c>
      <c r="Q1">
        <f>(4798/4800)^2</f>
        <v>0.99916684027777791</v>
      </c>
    </row>
    <row r="2" spans="1:37" s="3" customFormat="1" ht="16" x14ac:dyDescent="0.15">
      <c r="A2" s="2" t="s">
        <v>5</v>
      </c>
      <c r="B2" s="2" t="s">
        <v>6</v>
      </c>
      <c r="C2" s="9" t="s">
        <v>1</v>
      </c>
      <c r="D2" s="4" t="s">
        <v>2</v>
      </c>
      <c r="E2" s="9" t="s">
        <v>3</v>
      </c>
      <c r="F2" s="17" t="s">
        <v>4</v>
      </c>
      <c r="G2" s="17" t="s">
        <v>0</v>
      </c>
      <c r="H2" s="19" t="s">
        <v>7</v>
      </c>
      <c r="I2" s="32" t="s">
        <v>25</v>
      </c>
      <c r="J2" s="35" t="s">
        <v>26</v>
      </c>
      <c r="K2" s="35" t="s">
        <v>27</v>
      </c>
      <c r="L2" s="20" t="s">
        <v>8</v>
      </c>
      <c r="M2" s="21" t="s">
        <v>9</v>
      </c>
      <c r="N2" s="22" t="s">
        <v>10</v>
      </c>
      <c r="O2" s="20" t="s">
        <v>11</v>
      </c>
      <c r="P2" s="20" t="s">
        <v>12</v>
      </c>
      <c r="Q2" s="20" t="s">
        <v>13</v>
      </c>
      <c r="R2" s="20" t="s">
        <v>14</v>
      </c>
      <c r="T2" s="23" t="s">
        <v>15</v>
      </c>
      <c r="U2" s="19" t="s">
        <v>16</v>
      </c>
      <c r="V2" s="19" t="s">
        <v>17</v>
      </c>
      <c r="W2" s="19" t="s">
        <v>18</v>
      </c>
      <c r="X2" s="19" t="s">
        <v>18</v>
      </c>
      <c r="Y2" s="19" t="s">
        <v>19</v>
      </c>
      <c r="Z2" s="19" t="s">
        <v>20</v>
      </c>
      <c r="AA2" s="19" t="str">
        <f>R2</f>
        <v>epsilon</v>
      </c>
      <c r="AB2" s="19" t="s">
        <v>21</v>
      </c>
      <c r="AC2" s="19" t="s">
        <v>22</v>
      </c>
      <c r="AD2" s="19" t="s">
        <v>23</v>
      </c>
      <c r="AE2" s="19" t="s">
        <v>24</v>
      </c>
      <c r="AF2" s="19"/>
      <c r="AG2" s="19"/>
      <c r="AH2" s="19"/>
    </row>
    <row r="3" spans="1:37" s="15" customFormat="1" ht="16" x14ac:dyDescent="0.2">
      <c r="A3" s="12">
        <v>6</v>
      </c>
      <c r="B3" s="12">
        <v>12</v>
      </c>
      <c r="C3" s="13">
        <v>0.51880000000000004</v>
      </c>
      <c r="D3" s="14">
        <v>60</v>
      </c>
      <c r="E3" s="13">
        <f>I3/1000</f>
        <v>3.2481203007518798E-2</v>
      </c>
      <c r="F3" s="18">
        <f>J3*$V3*MOUFAC</f>
        <v>0.8784105989413491</v>
      </c>
      <c r="G3" s="18">
        <f>K3*$V3*MOUFAC</f>
        <v>0.10007209355028072</v>
      </c>
      <c r="H3" s="24">
        <v>28</v>
      </c>
      <c r="I3" s="33">
        <v>32.481203007518801</v>
      </c>
      <c r="J3" s="36">
        <v>3.4649122807017552</v>
      </c>
      <c r="K3" s="36">
        <v>0.39473684210526505</v>
      </c>
      <c r="L3" s="25"/>
      <c r="M3" s="26">
        <f t="shared" ref="M3" si="0">4*C3*(C3-E3)*Q3</f>
        <v>0.25230219187969927</v>
      </c>
      <c r="N3" s="27">
        <f t="shared" ref="N3" si="1">MP^2+2*MP*E3-M3</f>
        <v>-0.25230219187969927</v>
      </c>
      <c r="O3" s="28" t="e">
        <f t="shared" ref="O3" si="2">SQRT(N3)</f>
        <v>#NUM!</v>
      </c>
      <c r="P3" s="28">
        <f t="shared" ref="P3" si="3">PI()*D3/180</f>
        <v>1.0471975511965976</v>
      </c>
      <c r="Q3" s="28">
        <f t="shared" ref="Q3" si="4">(SIN(P3/2))^2</f>
        <v>0.24999999999999994</v>
      </c>
      <c r="R3" s="28">
        <f t="shared" ref="R3" si="5">1/(1+2*(1+E3^2/M3)*(TAN(P3/2))^2)</f>
        <v>0.59899809021688388</v>
      </c>
      <c r="S3" s="29" t="e">
        <f t="shared" ref="S3" si="6">(1/137)*(C3-E3)*(N3-MP^2)/((4*PI()^2*M3*MP*C3)*(1-R3))</f>
        <v>#DIV/0!</v>
      </c>
      <c r="T3" s="29" t="e">
        <f t="shared" ref="T3" si="7">F3/S3</f>
        <v>#DIV/0!</v>
      </c>
      <c r="U3" s="30" t="e">
        <f t="shared" ref="U3" si="8">G3/S3</f>
        <v>#DIV/0!</v>
      </c>
      <c r="V3" s="24">
        <f>4*(1/137)^2*(1-Q3)*(C3-E3)^2/M3^2</f>
        <v>5.9385468302192461E-4</v>
      </c>
      <c r="W3" s="24">
        <f t="shared" ref="W3" si="9">(1/V3)*R3*(M3+E3^2)^2/M3^2</f>
        <v>1017.1143385459294</v>
      </c>
      <c r="X3" s="24">
        <f t="shared" ref="X3" si="10">(M3+E3^2)^2/(4*(1/137)^2*(C3-E3)^2*(1-Q3+2*Q3*(M3+E3^2)/M3))</f>
        <v>1017.1143385459291</v>
      </c>
      <c r="Y3" s="24">
        <f t="shared" ref="Y3" si="11">AD3*X3*F3</f>
        <v>893.44401531396363</v>
      </c>
      <c r="Z3" s="24">
        <f t="shared" ref="Z3" si="12">AD3*X3*G3</f>
        <v>101.78476123830011</v>
      </c>
      <c r="AA3" s="24">
        <f t="shared" ref="AA3" si="13">R3</f>
        <v>0.59899809021688388</v>
      </c>
      <c r="AB3" s="24">
        <f t="shared" ref="AB3" si="14">Y3/(0.1973269^2*10000000)</f>
        <v>2.2945353754298494E-3</v>
      </c>
      <c r="AC3" s="24">
        <f t="shared" ref="AC3" si="15">Z3/(0.1973269^2*10000000)</f>
        <v>2.6140276428947767E-4</v>
      </c>
      <c r="AD3" s="24">
        <v>1</v>
      </c>
      <c r="AE3" s="24">
        <f t="shared" ref="AE3" si="16">SQRT(M3+E3^2)</f>
        <v>0.50334602454823751</v>
      </c>
      <c r="AF3" s="24"/>
      <c r="AG3" s="24"/>
      <c r="AH3" s="24"/>
    </row>
    <row r="4" spans="1:37" ht="16" x14ac:dyDescent="0.2">
      <c r="A4" s="12">
        <v>6</v>
      </c>
      <c r="B4" s="12">
        <v>12</v>
      </c>
      <c r="C4" s="13">
        <v>0.51880000000000004</v>
      </c>
      <c r="D4" s="14">
        <v>60</v>
      </c>
      <c r="E4" s="13">
        <f>I4/1000</f>
        <v>3.7894736842105203E-2</v>
      </c>
      <c r="F4" s="18">
        <f>J4*$V4*MOUFAC</f>
        <v>0.81169586990782705</v>
      </c>
      <c r="G4" s="18">
        <f>K4*$V4*MOUFAC</f>
        <v>0.12231033656145307</v>
      </c>
      <c r="H4" s="24">
        <v>28</v>
      </c>
      <c r="I4" s="34">
        <v>37.894736842105203</v>
      </c>
      <c r="J4" s="36">
        <v>3.2017543859649051</v>
      </c>
      <c r="K4" s="36">
        <v>0.48245614035087492</v>
      </c>
      <c r="L4" s="25"/>
      <c r="M4" s="26">
        <f>4*C4*(C4-E4)*Q4</f>
        <v>0.24949365052631581</v>
      </c>
      <c r="N4" s="27">
        <f>MP^2+2*MP*E4-M4</f>
        <v>-0.24949365052631581</v>
      </c>
      <c r="O4" s="28" t="e">
        <f>SQRT(N4)</f>
        <v>#NUM!</v>
      </c>
      <c r="P4" s="28">
        <f>PI()*D4/180</f>
        <v>1.0471975511965976</v>
      </c>
      <c r="Q4" s="28">
        <f>(SIN(P4/2))^2</f>
        <v>0.24999999999999994</v>
      </c>
      <c r="R4" s="28">
        <f>1/(1+2*(1+E4^2/M4)*(TAN(P4/2))^2)</f>
        <v>0.59862180453502145</v>
      </c>
      <c r="S4" s="29" t="e">
        <f>(1/137)*(C4-E4)*(N4-MP^2)/((4*PI()^2*M4*MP*C4)*(1-R4))</f>
        <v>#DIV/0!</v>
      </c>
      <c r="T4" s="29" t="e">
        <f>F4/S4</f>
        <v>#DIV/0!</v>
      </c>
      <c r="U4" s="30" t="e">
        <f>G4/S4</f>
        <v>#DIV/0!</v>
      </c>
      <c r="V4" s="24">
        <f>4*(1/137)^2*(1-Q4)*(C4-E4)^2/M4^2</f>
        <v>5.9385468302192471E-4</v>
      </c>
      <c r="W4" s="24">
        <f>(1/V4)*R4*(M4+E4^2)^2/M4^2</f>
        <v>1019.6646256694198</v>
      </c>
      <c r="X4" s="24">
        <f>(M4+E4^2)^2/(4*(1/137)^2*(C4-E4)^2*(1-Q4+2*Q4*(M4+E4^2)/M4))</f>
        <v>1019.6646256694198</v>
      </c>
      <c r="Y4" s="24">
        <f>AD4*X4*F4</f>
        <v>827.65756534697857</v>
      </c>
      <c r="Z4" s="24">
        <f>AD4*X4*G4</f>
        <v>124.71552354543479</v>
      </c>
      <c r="AA4" s="24">
        <f>R4</f>
        <v>0.59862180453502145</v>
      </c>
      <c r="AB4" s="24">
        <f>Y4/(0.1973269^2*10000000)</f>
        <v>2.125583170159161E-3</v>
      </c>
      <c r="AC4" s="24">
        <f>Z4/(0.1973269^2*10000000)</f>
        <v>3.2029335440754393E-4</v>
      </c>
      <c r="AD4" s="24">
        <v>1</v>
      </c>
      <c r="AE4" s="24">
        <f>SQRT(M4+E4^2)</f>
        <v>0.50092879893917874</v>
      </c>
      <c r="AF4" s="24"/>
      <c r="AG4" s="24"/>
      <c r="AH4" s="24"/>
      <c r="AI4" s="15"/>
      <c r="AJ4" s="15"/>
      <c r="AK4" s="15"/>
    </row>
    <row r="5" spans="1:37" ht="16" x14ac:dyDescent="0.2">
      <c r="A5" s="12">
        <v>6</v>
      </c>
      <c r="B5" s="12">
        <v>12</v>
      </c>
      <c r="C5" s="13">
        <v>0.51880000000000004</v>
      </c>
      <c r="D5" s="14">
        <v>60</v>
      </c>
      <c r="E5" s="13">
        <f>I5/1000</f>
        <v>4.2406015037593905E-2</v>
      </c>
      <c r="F5" s="18">
        <f>J5*$V5*MOUFAC</f>
        <v>1.1119121505586691</v>
      </c>
      <c r="G5" s="18">
        <f>K5*$V5*MOUFAC</f>
        <v>0.11119121505586685</v>
      </c>
      <c r="H5" s="24">
        <v>28</v>
      </c>
      <c r="I5" s="34">
        <v>42.406015037593903</v>
      </c>
      <c r="J5" s="36">
        <v>4.3859649122807003</v>
      </c>
      <c r="K5" s="36">
        <v>0.43859649122806976</v>
      </c>
      <c r="L5" s="25"/>
      <c r="M5" s="26">
        <f>4*C5*(C5-E5)*Q5</f>
        <v>0.24715319939849628</v>
      </c>
      <c r="N5" s="27">
        <f>MP^2+2*MP*E5-M5</f>
        <v>-0.24715319939849628</v>
      </c>
      <c r="O5" s="28" t="e">
        <f>SQRT(N5)</f>
        <v>#NUM!</v>
      </c>
      <c r="P5" s="28">
        <f>PI()*D5/180</f>
        <v>1.0471975511965976</v>
      </c>
      <c r="Q5" s="28">
        <f>(SIN(P5/2))^2</f>
        <v>0.24999999999999994</v>
      </c>
      <c r="R5" s="28">
        <f>1/(1+2*(1+E5^2/M5)*(TAN(P5/2))^2)</f>
        <v>0.59825884350313596</v>
      </c>
      <c r="S5" s="29" t="e">
        <f>(1/137)*(C5-E5)*(N5-MP^2)/((4*PI()^2*M5*MP*C5)*(1-R5))</f>
        <v>#DIV/0!</v>
      </c>
      <c r="T5" s="29" t="e">
        <f>F5/S5</f>
        <v>#DIV/0!</v>
      </c>
      <c r="U5" s="30" t="e">
        <f>G5/S5</f>
        <v>#DIV/0!</v>
      </c>
      <c r="V5" s="24">
        <f>4*(1/137)^2*(1-Q5)*(C5-E5)^2/M5^2</f>
        <v>5.9385468302192461E-4</v>
      </c>
      <c r="W5" s="24">
        <f>(1/V5)*R5*(M5+E5^2)^2/M5^2</f>
        <v>1022.1293435686134</v>
      </c>
      <c r="X5" s="24">
        <f>(M5+E5^2)^2/(4*(1/137)^2*(C5-E5)^2*(1-Q5+2*Q5*(M5+E5^2)/M5))</f>
        <v>1022.1293435686132</v>
      </c>
      <c r="Y5" s="24">
        <f>AD5*X5*F5</f>
        <v>1136.5180365564975</v>
      </c>
      <c r="Z5" s="24">
        <f>AD5*X5*G5</f>
        <v>113.65180365564969</v>
      </c>
      <c r="AA5" s="24">
        <f>R5</f>
        <v>0.59825884350313596</v>
      </c>
      <c r="AB5" s="24">
        <f>Y5/(0.1973269^2*10000000)</f>
        <v>2.9187960241432278E-3</v>
      </c>
      <c r="AC5" s="24">
        <f>Z5/(0.1973269^2*10000000)</f>
        <v>2.9187960241432262E-4</v>
      </c>
      <c r="AD5" s="24">
        <v>1</v>
      </c>
      <c r="AE5" s="24">
        <f>SQRT(M5+E5^2)</f>
        <v>0.49895036778207202</v>
      </c>
      <c r="AF5" s="24"/>
      <c r="AG5" s="24"/>
      <c r="AH5" s="24"/>
      <c r="AI5" s="15"/>
      <c r="AJ5" s="15"/>
      <c r="AK5" s="15"/>
    </row>
    <row r="6" spans="1:37" ht="16" x14ac:dyDescent="0.2">
      <c r="A6" s="12">
        <v>6</v>
      </c>
      <c r="B6" s="12">
        <v>12</v>
      </c>
      <c r="C6" s="13">
        <v>0.51880000000000004</v>
      </c>
      <c r="D6" s="14">
        <v>60</v>
      </c>
      <c r="E6" s="13">
        <f>I6/1000</f>
        <v>4.7819548872180401E-2</v>
      </c>
      <c r="F6" s="18">
        <f>J6*$V6*MOUFAC</f>
        <v>1.4010093097039227</v>
      </c>
      <c r="G6" s="18">
        <f>K6*$V6*MOUFAC</f>
        <v>0.11119121505586686</v>
      </c>
      <c r="H6" s="24">
        <v>28</v>
      </c>
      <c r="I6" s="34">
        <v>47.819548872180398</v>
      </c>
      <c r="J6" s="36">
        <v>5.5263157894736796</v>
      </c>
      <c r="K6" s="36">
        <v>0.43859649122806976</v>
      </c>
      <c r="L6" s="25"/>
      <c r="M6" s="26">
        <f>4*C6*(C6-E6)*Q6</f>
        <v>0.24434465804511277</v>
      </c>
      <c r="N6" s="27">
        <f>MP^2+2*MP*E6-M6</f>
        <v>-0.24434465804511277</v>
      </c>
      <c r="O6" s="28" t="e">
        <f>SQRT(N6)</f>
        <v>#NUM!</v>
      </c>
      <c r="P6" s="28">
        <f>PI()*D6/180</f>
        <v>1.0471975511965976</v>
      </c>
      <c r="Q6" s="28">
        <f>(SIN(P6/2))^2</f>
        <v>0.24999999999999994</v>
      </c>
      <c r="R6" s="28">
        <f>1/(1+2*(1+E6^2/M6)*(TAN(P6/2))^2)</f>
        <v>0.59776232694284992</v>
      </c>
      <c r="S6" s="29" t="e">
        <f>(1/137)*(C6-E6)*(N6-MP^2)/((4*PI()^2*M6*MP*C6)*(1-R6))</f>
        <v>#DIV/0!</v>
      </c>
      <c r="T6" s="29" t="e">
        <f>F6/S6</f>
        <v>#DIV/0!</v>
      </c>
      <c r="U6" s="30" t="e">
        <f>G6/S6</f>
        <v>#DIV/0!</v>
      </c>
      <c r="V6" s="24">
        <f>4*(1/137)^2*(1-Q6)*(C6-E6)^2/M6^2</f>
        <v>5.9385468302192482E-4</v>
      </c>
      <c r="W6" s="24">
        <f>(1/V6)*R6*(M6+E6^2)^2/M6^2</f>
        <v>1025.5085343632918</v>
      </c>
      <c r="X6" s="24">
        <f>(M6+E6^2)^2/(4*(1/137)^2*(C6-E6)^2*(1-Q6+2*Q6*(M6+E6^2)/M6))</f>
        <v>1025.5085343632918</v>
      </c>
      <c r="Y6" s="24">
        <f>AD6*X6*F6</f>
        <v>1436.7470038237968</v>
      </c>
      <c r="Z6" s="24">
        <f>AD6*X6*G6</f>
        <v>114.02753998601561</v>
      </c>
      <c r="AA6" s="24">
        <f>R6</f>
        <v>0.59776232694284992</v>
      </c>
      <c r="AB6" s="24">
        <f>Y6/(0.1973269^2*10000000)</f>
        <v>3.689841522591733E-3</v>
      </c>
      <c r="AC6" s="24">
        <f>Z6/(0.1973269^2*10000000)</f>
        <v>2.9284456528505813E-4</v>
      </c>
      <c r="AD6" s="24">
        <v>1</v>
      </c>
      <c r="AE6" s="24">
        <f>SQRT(M6+E6^2)</f>
        <v>0.49661994251082148</v>
      </c>
      <c r="AF6" s="24"/>
      <c r="AG6" s="24"/>
      <c r="AH6" s="24"/>
      <c r="AI6" s="15"/>
      <c r="AJ6" s="15"/>
      <c r="AK6" s="15"/>
    </row>
    <row r="7" spans="1:37" ht="16" x14ac:dyDescent="0.2">
      <c r="A7" s="12">
        <v>6</v>
      </c>
      <c r="B7" s="12">
        <v>12</v>
      </c>
      <c r="C7" s="13">
        <v>0.51880000000000004</v>
      </c>
      <c r="D7" s="14">
        <v>60</v>
      </c>
      <c r="E7" s="13">
        <f>I7/1000</f>
        <v>5.2781954887217999E-2</v>
      </c>
      <c r="F7" s="18">
        <f>J7*$V7*MOUFAC</f>
        <v>1.6901064688491774</v>
      </c>
      <c r="G7" s="18">
        <f>K7*$V7*MOUFAC</f>
        <v>0.11119121505586821</v>
      </c>
      <c r="H7" s="24">
        <v>28</v>
      </c>
      <c r="I7" s="34">
        <v>52.781954887217999</v>
      </c>
      <c r="J7" s="36">
        <v>6.6666666666666643</v>
      </c>
      <c r="K7" s="36">
        <v>0.43859649122807509</v>
      </c>
      <c r="L7" s="25"/>
      <c r="M7" s="26">
        <f>4*C7*(C7-E7)*Q7</f>
        <v>0.2417701618045113</v>
      </c>
      <c r="N7" s="27">
        <f>MP^2+2*MP*E7-M7</f>
        <v>-0.2417701618045113</v>
      </c>
      <c r="O7" s="28" t="e">
        <f>SQRT(N7)</f>
        <v>#NUM!</v>
      </c>
      <c r="P7" s="28">
        <f>PI()*D7/180</f>
        <v>1.0471975511965976</v>
      </c>
      <c r="Q7" s="28">
        <f>(SIN(P7/2))^2</f>
        <v>0.24999999999999994</v>
      </c>
      <c r="R7" s="28">
        <f>1/(1+2*(1+E7^2/M7)*(TAN(P7/2))^2)</f>
        <v>0.59724715144642881</v>
      </c>
      <c r="S7" s="29" t="e">
        <f>(1/137)*(C7-E7)*(N7-MP^2)/((4*PI()^2*M7*MP*C7)*(1-R7))</f>
        <v>#DIV/0!</v>
      </c>
      <c r="T7" s="29" t="e">
        <f>F7/S7</f>
        <v>#DIV/0!</v>
      </c>
      <c r="U7" s="30" t="e">
        <f>G7/S7</f>
        <v>#DIV/0!</v>
      </c>
      <c r="V7" s="24">
        <f>4*(1/137)^2*(1-Q7)*(C7-E7)^2/M7^2</f>
        <v>5.9385468302192471E-4</v>
      </c>
      <c r="W7" s="24">
        <f>(1/V7)*R7*(M7+E7^2)^2/M7^2</f>
        <v>1029.0239596640108</v>
      </c>
      <c r="X7" s="24">
        <f>(M7+E7^2)^2/(4*(1/137)^2*(C7-E7)^2*(1-Q7+2*Q7*(M7+E7^2)/M7))</f>
        <v>1029.0239596640108</v>
      </c>
      <c r="Y7" s="24">
        <f>AD7*X7*F7</f>
        <v>1739.1600508289396</v>
      </c>
      <c r="Z7" s="24">
        <f>AD7*X7*G7</f>
        <v>114.41842439664208</v>
      </c>
      <c r="AA7" s="24">
        <f>R7</f>
        <v>0.59724715144642881</v>
      </c>
      <c r="AB7" s="24">
        <f>Y7/(0.1973269^2*10000000)</f>
        <v>4.4664961561794777E-3</v>
      </c>
      <c r="AC7" s="24">
        <f>Z7/(0.1973269^2*10000000)</f>
        <v>2.9384843132760063E-4</v>
      </c>
      <c r="AD7" s="24">
        <v>1</v>
      </c>
      <c r="AE7" s="24">
        <f>SQRT(M7+E7^2)</f>
        <v>0.49452613335012702</v>
      </c>
      <c r="AF7" s="24"/>
      <c r="AG7" s="24"/>
      <c r="AH7" s="24"/>
      <c r="AI7" s="15"/>
      <c r="AJ7" s="15"/>
      <c r="AK7" s="15"/>
    </row>
    <row r="8" spans="1:37" ht="16" x14ac:dyDescent="0.2">
      <c r="A8" s="12">
        <v>6</v>
      </c>
      <c r="B8" s="12">
        <v>12</v>
      </c>
      <c r="C8" s="13">
        <v>0.51880000000000004</v>
      </c>
      <c r="D8" s="14">
        <v>60</v>
      </c>
      <c r="E8" s="13">
        <f>I8/1000</f>
        <v>5.7744360902255598E-2</v>
      </c>
      <c r="F8" s="18">
        <f>J8*$V8*MOUFAC</f>
        <v>1.9903227495000142</v>
      </c>
      <c r="G8" s="18">
        <f>K8*$V8*MOUFAC</f>
        <v>0.12231033656145432</v>
      </c>
      <c r="H8" s="24">
        <v>28</v>
      </c>
      <c r="I8" s="34">
        <v>57.7443609022556</v>
      </c>
      <c r="J8" s="36">
        <v>7.8508771929824395</v>
      </c>
      <c r="K8" s="36">
        <v>0.4824561403508798</v>
      </c>
      <c r="L8" s="25"/>
      <c r="M8" s="26">
        <f>4*C8*(C8-E8)*Q8</f>
        <v>0.23919566556390978</v>
      </c>
      <c r="N8" s="27">
        <f>MP^2+2*MP*E8-M8</f>
        <v>-0.23919566556390978</v>
      </c>
      <c r="O8" s="28" t="e">
        <f>SQRT(N8)</f>
        <v>#NUM!</v>
      </c>
      <c r="P8" s="28">
        <f>PI()*D8/180</f>
        <v>1.0471975511965976</v>
      </c>
      <c r="Q8" s="28">
        <f>(SIN(P8/2))^2</f>
        <v>0.24999999999999994</v>
      </c>
      <c r="R8" s="28">
        <f>1/(1+2*(1+E8^2/M8)*(TAN(P8/2))^2)</f>
        <v>0.59667292816652429</v>
      </c>
      <c r="S8" s="29" t="e">
        <f>(1/137)*(C8-E8)*(N8-MP^2)/((4*PI()^2*M8*MP*C8)*(1-R8))</f>
        <v>#DIV/0!</v>
      </c>
      <c r="T8" s="29" t="e">
        <f>F8/S8</f>
        <v>#DIV/0!</v>
      </c>
      <c r="U8" s="30" t="e">
        <f>G8/S8</f>
        <v>#DIV/0!</v>
      </c>
      <c r="V8" s="24">
        <f>4*(1/137)^2*(1-Q8)*(C8-E8)^2/M8^2</f>
        <v>5.9385468302192471E-4</v>
      </c>
      <c r="W8" s="24">
        <f>(1/V8)*R8*(M8+E8^2)^2/M8^2</f>
        <v>1032.9534381841886</v>
      </c>
      <c r="X8" s="24">
        <f>(M8+E8^2)^2/(4*(1/137)^2*(C8-E8)^2*(1-Q8+2*Q8*(M8+E8^2)/M8))</f>
        <v>1032.9534381841881</v>
      </c>
      <c r="Y8" s="24">
        <f>AD8*X8*F8</f>
        <v>2055.9107271922462</v>
      </c>
      <c r="Z8" s="24">
        <f>AD8*X8*G8</f>
        <v>126.34088267661946</v>
      </c>
      <c r="AA8" s="24">
        <f>R8</f>
        <v>0.59667292816652429</v>
      </c>
      <c r="AB8" s="24">
        <f>Y8/(0.1973269^2*10000000)</f>
        <v>5.2799725684105634E-3</v>
      </c>
      <c r="AC8" s="24">
        <f>Z8/(0.1973269^2*10000000)</f>
        <v>3.2446758800288629E-4</v>
      </c>
      <c r="AD8" s="24">
        <v>1</v>
      </c>
      <c r="AE8" s="24">
        <f>SQRT(M8+E8^2)</f>
        <v>0.49247342748611295</v>
      </c>
      <c r="AF8" s="24"/>
      <c r="AG8" s="24"/>
      <c r="AH8" s="24"/>
      <c r="AI8" s="15"/>
      <c r="AJ8" s="15"/>
      <c r="AK8" s="15"/>
    </row>
    <row r="9" spans="1:37" ht="16" x14ac:dyDescent="0.2">
      <c r="A9" s="12">
        <v>6</v>
      </c>
      <c r="B9" s="12">
        <v>12</v>
      </c>
      <c r="C9" s="13">
        <v>0.51880000000000004</v>
      </c>
      <c r="D9" s="14">
        <v>60</v>
      </c>
      <c r="E9" s="13">
        <f>I9/1000</f>
        <v>6.2706766917293197E-2</v>
      </c>
      <c r="F9" s="18">
        <f>J9*$V9*MOUFAC</f>
        <v>2.4684449742402435</v>
      </c>
      <c r="G9" s="18">
        <f>K9*$V9*MOUFAC</f>
        <v>8.8952972044693393E-2</v>
      </c>
      <c r="H9" s="24">
        <v>28</v>
      </c>
      <c r="I9" s="34">
        <v>62.706766917293201</v>
      </c>
      <c r="J9" s="36">
        <v>9.7368421052631451</v>
      </c>
      <c r="K9" s="36">
        <v>0.35087719298245545</v>
      </c>
      <c r="L9" s="25"/>
      <c r="M9" s="26">
        <f>4*C9*(C9-E9)*Q9</f>
        <v>0.23662116932330826</v>
      </c>
      <c r="N9" s="27">
        <f>MP^2+2*MP*E9-M9</f>
        <v>-0.23662116932330826</v>
      </c>
      <c r="O9" s="28" t="e">
        <f>SQRT(N9)</f>
        <v>#NUM!</v>
      </c>
      <c r="P9" s="28">
        <f>PI()*D9/180</f>
        <v>1.0471975511965976</v>
      </c>
      <c r="Q9" s="28">
        <f>(SIN(P9/2))^2</f>
        <v>0.24999999999999994</v>
      </c>
      <c r="R9" s="28">
        <f>1/(1+2*(1+E9^2/M9)*(TAN(P9/2))^2)</f>
        <v>0.59603804810367023</v>
      </c>
      <c r="S9" s="29" t="e">
        <f>(1/137)*(C9-E9)*(N9-MP^2)/((4*PI()^2*M9*MP*C9)*(1-R9))</f>
        <v>#DIV/0!</v>
      </c>
      <c r="T9" s="29" t="e">
        <f>F9/S9</f>
        <v>#DIV/0!</v>
      </c>
      <c r="U9" s="30" t="e">
        <f>G9/S9</f>
        <v>#DIV/0!</v>
      </c>
      <c r="V9" s="24">
        <f>4*(1/137)^2*(1-Q9)*(C9-E9)^2/M9^2</f>
        <v>5.9385468302192471E-4</v>
      </c>
      <c r="W9" s="24">
        <f>(1/V9)*R9*(M9+E9^2)^2/M9^2</f>
        <v>1037.31169114257</v>
      </c>
      <c r="X9" s="24">
        <f>(M9+E9^2)^2/(4*(1/137)^2*(C9-E9)^2*(1-Q9+2*Q9*(M9+E9^2)/M9))</f>
        <v>1037.3116911425698</v>
      </c>
      <c r="Y9" s="24">
        <f>AD9*X9*F9</f>
        <v>2560.5468307215242</v>
      </c>
      <c r="Z9" s="24">
        <f>AD9*X9*G9</f>
        <v>92.271957863838637</v>
      </c>
      <c r="AA9" s="24">
        <f>R9</f>
        <v>0.59603804810367023</v>
      </c>
      <c r="AB9" s="24">
        <f>Y9/(0.1973269^2*10000000)</f>
        <v>6.5759747480883925E-3</v>
      </c>
      <c r="AC9" s="24">
        <f>Z9/(0.1973269^2*10000000)</f>
        <v>2.3697206299417613E-4</v>
      </c>
      <c r="AD9" s="24">
        <v>1</v>
      </c>
      <c r="AE9" s="24">
        <f>SQRT(M9+E9^2)</f>
        <v>0.49046234100135355</v>
      </c>
      <c r="AF9" s="24"/>
      <c r="AG9" s="24"/>
      <c r="AH9" s="24"/>
      <c r="AI9" s="15"/>
      <c r="AJ9" s="15"/>
      <c r="AK9" s="15"/>
    </row>
    <row r="10" spans="1:37" ht="16" x14ac:dyDescent="0.2">
      <c r="A10" s="12">
        <v>6</v>
      </c>
      <c r="B10" s="12">
        <v>12</v>
      </c>
      <c r="C10" s="13">
        <v>0.51880000000000004</v>
      </c>
      <c r="D10" s="14">
        <v>60</v>
      </c>
      <c r="E10" s="13">
        <f>I10/1000</f>
        <v>6.7669172932330796E-2</v>
      </c>
      <c r="F10" s="18">
        <f>J10*$V10*MOUFAC</f>
        <v>2.8242568624190136</v>
      </c>
      <c r="G10" s="18">
        <f>K10*$V10*MOUFAC</f>
        <v>0.11119121505586183</v>
      </c>
      <c r="H10" s="24">
        <v>28</v>
      </c>
      <c r="I10" s="34">
        <v>67.669172932330795</v>
      </c>
      <c r="J10" s="36">
        <v>11.140350877192951</v>
      </c>
      <c r="K10" s="36">
        <v>0.43859649122804978</v>
      </c>
      <c r="L10" s="25"/>
      <c r="M10" s="26">
        <f>4*C10*(C10-E10)*Q10</f>
        <v>0.23404667308270677</v>
      </c>
      <c r="N10" s="27">
        <f>MP^2+2*MP*E10-M10</f>
        <v>-0.23404667308270677</v>
      </c>
      <c r="O10" s="28" t="e">
        <f>SQRT(N10)</f>
        <v>#NUM!</v>
      </c>
      <c r="P10" s="28">
        <f>PI()*D10/180</f>
        <v>1.0471975511965976</v>
      </c>
      <c r="Q10" s="28">
        <f>(SIN(P10/2))^2</f>
        <v>0.24999999999999994</v>
      </c>
      <c r="R10" s="28">
        <f>1/(1+2*(1+E10^2/M10)*(TAN(P10/2))^2)</f>
        <v>0.59534086866358049</v>
      </c>
      <c r="S10" s="29" t="e">
        <f>(1/137)*(C10-E10)*(N10-MP^2)/((4*PI()^2*M10*MP*C10)*(1-R10))</f>
        <v>#DIV/0!</v>
      </c>
      <c r="T10" s="29" t="e">
        <f>F10/S10</f>
        <v>#DIV/0!</v>
      </c>
      <c r="U10" s="30" t="e">
        <f>G10/S10</f>
        <v>#DIV/0!</v>
      </c>
      <c r="V10" s="24">
        <f>4*(1/137)^2*(1-Q10)*(C10-E10)^2/M10^2</f>
        <v>5.9385468302192482E-4</v>
      </c>
      <c r="W10" s="24">
        <f>(1/V10)*R10*(M10+E10^2)^2/M10^2</f>
        <v>1042.1142284333723</v>
      </c>
      <c r="X10" s="24">
        <f>(M10+E10^2)^2/(4*(1/137)^2*(C10-E10)^2*(1-Q10+2*Q10*(M10+E10^2)/M10))</f>
        <v>1042.1142284333721</v>
      </c>
      <c r="Y10" s="24">
        <f>AD10*X10*F10</f>
        <v>2943.1982610774467</v>
      </c>
      <c r="Z10" s="24">
        <f>AD10*X10*G10</f>
        <v>115.8739472865086</v>
      </c>
      <c r="AA10" s="24">
        <f>R10</f>
        <v>0.59534086866358049</v>
      </c>
      <c r="AB10" s="24">
        <f>Y10/(0.1973269^2*10000000)</f>
        <v>7.5586969202235503E-3</v>
      </c>
      <c r="AC10" s="24">
        <f>Z10/(0.1973269^2*10000000)</f>
        <v>2.9758649292217402E-4</v>
      </c>
      <c r="AD10" s="24">
        <v>1</v>
      </c>
      <c r="AE10" s="24">
        <f>SQRT(M10+E10^2)</f>
        <v>0.48849338792664582</v>
      </c>
      <c r="AF10" s="24"/>
      <c r="AG10" s="24"/>
      <c r="AH10" s="24"/>
      <c r="AI10" s="15"/>
      <c r="AJ10" s="15"/>
      <c r="AK10" s="15"/>
    </row>
    <row r="11" spans="1:37" ht="16" x14ac:dyDescent="0.2">
      <c r="A11" s="12">
        <v>6</v>
      </c>
      <c r="B11" s="12">
        <v>12</v>
      </c>
      <c r="C11" s="13">
        <v>0.51880000000000004</v>
      </c>
      <c r="D11" s="14">
        <v>60</v>
      </c>
      <c r="E11" s="13">
        <f>I11/1000</f>
        <v>7.2631578947368394E-2</v>
      </c>
      <c r="F11" s="18">
        <f>J11*$V11*MOUFAC</f>
        <v>3.3690938161927622</v>
      </c>
      <c r="G11" s="18">
        <f>K11*$V11*MOUFAC</f>
        <v>0.12231033656145962</v>
      </c>
      <c r="H11" s="24">
        <v>28</v>
      </c>
      <c r="I11" s="34">
        <v>72.631578947368396</v>
      </c>
      <c r="J11" s="36">
        <v>13.289473684210499</v>
      </c>
      <c r="K11" s="36">
        <v>0.48245614035090068</v>
      </c>
      <c r="L11" s="25"/>
      <c r="M11" s="26">
        <f>4*C11*(C11-E11)*Q11</f>
        <v>0.23147217684210528</v>
      </c>
      <c r="N11" s="27">
        <f>MP^2+2*MP*E11-M11</f>
        <v>-0.23147217684210528</v>
      </c>
      <c r="O11" s="28" t="e">
        <f>SQRT(N11)</f>
        <v>#NUM!</v>
      </c>
      <c r="P11" s="28">
        <f>PI()*D11/180</f>
        <v>1.0471975511965976</v>
      </c>
      <c r="Q11" s="28">
        <f>(SIN(P11/2))^2</f>
        <v>0.24999999999999994</v>
      </c>
      <c r="R11" s="28">
        <f>1/(1+2*(1+E11^2/M11)*(TAN(P11/2))^2)</f>
        <v>0.59457971336307625</v>
      </c>
      <c r="S11" s="29" t="e">
        <f>(1/137)*(C11-E11)*(N11-MP^2)/((4*PI()^2*M11*MP*C11)*(1-R11))</f>
        <v>#DIV/0!</v>
      </c>
      <c r="T11" s="29" t="e">
        <f>F11/S11</f>
        <v>#DIV/0!</v>
      </c>
      <c r="U11" s="30" t="e">
        <f>G11/S11</f>
        <v>#DIV/0!</v>
      </c>
      <c r="V11" s="24">
        <f>4*(1/137)^2*(1-Q11)*(C11-E11)^2/M11^2</f>
        <v>5.9385468302192471E-4</v>
      </c>
      <c r="W11" s="24">
        <f>(1/V11)*R11*(M11+E11^2)^2/M11^2</f>
        <v>1047.3773984498616</v>
      </c>
      <c r="X11" s="24">
        <f>(M11+E11^2)^2/(4*(1/137)^2*(C11-E11)^2*(1-Q11+2*Q11*(M11+E11^2)/M11))</f>
        <v>1047.3773984498614</v>
      </c>
      <c r="Y11" s="24">
        <f>AD11*X11*F11</f>
        <v>3528.7127163374907</v>
      </c>
      <c r="Z11" s="24">
        <f>AD11*X11*G11</f>
        <v>128.10508211126853</v>
      </c>
      <c r="AA11" s="24">
        <f>R11</f>
        <v>0.59457971336307625</v>
      </c>
      <c r="AB11" s="24">
        <f>Y11/(0.1973269^2*10000000)</f>
        <v>9.0624101998380523E-3</v>
      </c>
      <c r="AC11" s="24">
        <f>Z11/(0.1973269^2*10000000)</f>
        <v>3.2899839009314723E-4</v>
      </c>
      <c r="AD11" s="24">
        <v>1</v>
      </c>
      <c r="AE11" s="24">
        <f>SQRT(M11+E11^2)</f>
        <v>0.48656707975621727</v>
      </c>
      <c r="AF11" s="24"/>
      <c r="AG11" s="24"/>
      <c r="AH11" s="24"/>
      <c r="AI11" s="15"/>
      <c r="AJ11" s="15"/>
      <c r="AK11" s="15"/>
    </row>
    <row r="12" spans="1:37" ht="16" x14ac:dyDescent="0.2">
      <c r="A12" s="12">
        <v>6</v>
      </c>
      <c r="B12" s="12">
        <v>12</v>
      </c>
      <c r="C12" s="13">
        <v>0.51880000000000004</v>
      </c>
      <c r="D12" s="14">
        <v>60</v>
      </c>
      <c r="E12" s="13">
        <f>I12/1000</f>
        <v>7.7593984962405993E-2</v>
      </c>
      <c r="F12" s="18">
        <f>J12*$V12*MOUFAC</f>
        <v>3.7805013118994681</v>
      </c>
      <c r="G12" s="18">
        <f>K12*$V12*MOUFAC</f>
        <v>0.1111912150558618</v>
      </c>
      <c r="H12" s="24">
        <v>28</v>
      </c>
      <c r="I12" s="34">
        <v>77.593984962405997</v>
      </c>
      <c r="J12" s="36">
        <v>14.912280701754351</v>
      </c>
      <c r="K12" s="36">
        <v>0.43859649122804978</v>
      </c>
      <c r="L12" s="25"/>
      <c r="M12" s="26">
        <f>4*C12*(C12-E12)*Q12</f>
        <v>0.22889768060150376</v>
      </c>
      <c r="N12" s="27">
        <f>MP^2+2*MP*E12-M12</f>
        <v>-0.22889768060150376</v>
      </c>
      <c r="O12" s="28" t="e">
        <f>SQRT(N12)</f>
        <v>#NUM!</v>
      </c>
      <c r="P12" s="28">
        <f>PI()*D12/180</f>
        <v>1.0471975511965976</v>
      </c>
      <c r="Q12" s="28">
        <f>(SIN(P12/2))^2</f>
        <v>0.24999999999999994</v>
      </c>
      <c r="R12" s="28">
        <f>1/(1+2*(1+E12^2/M12)*(TAN(P12/2))^2)</f>
        <v>0.59375287156156809</v>
      </c>
      <c r="S12" s="29" t="e">
        <f>(1/137)*(C12-E12)*(N12-MP^2)/((4*PI()^2*M12*MP*C12)*(1-R12))</f>
        <v>#DIV/0!</v>
      </c>
      <c r="T12" s="29" t="e">
        <f>F12/S12</f>
        <v>#DIV/0!</v>
      </c>
      <c r="U12" s="30" t="e">
        <f>G12/S12</f>
        <v>#DIV/0!</v>
      </c>
      <c r="V12" s="24">
        <f>4*(1/137)^2*(1-Q12)*(C12-E12)^2/M12^2</f>
        <v>5.9385468302192471E-4</v>
      </c>
      <c r="W12" s="24">
        <f>(1/V12)*R12*(M12+E12^2)^2/M12^2</f>
        <v>1053.118441442241</v>
      </c>
      <c r="X12" s="24">
        <f>(M12+E12^2)^2/(4*(1/137)^2*(C12-E12)^2*(1-Q12+2*Q12*(M12+E12^2)/M12))</f>
        <v>1053.118441442241</v>
      </c>
      <c r="Y12" s="24">
        <f>AD12*X12*F12</f>
        <v>3981.3156494579152</v>
      </c>
      <c r="Z12" s="24">
        <f>AD12*X12*G12</f>
        <v>117.09751910169821</v>
      </c>
      <c r="AA12" s="24">
        <f>R12</f>
        <v>0.59375287156156809</v>
      </c>
      <c r="AB12" s="24">
        <f>Y12/(0.1973269^2*10000000)</f>
        <v>1.0224781230666639E-2</v>
      </c>
      <c r="AC12" s="24">
        <f>Z12/(0.1973269^2*10000000)</f>
        <v>3.0072885972547608E-4</v>
      </c>
      <c r="AD12" s="24">
        <v>1</v>
      </c>
      <c r="AE12" s="24">
        <f>SQRT(M12+E12^2)</f>
        <v>0.48468392494887824</v>
      </c>
      <c r="AF12" s="24"/>
      <c r="AG12" s="24"/>
      <c r="AH12" s="24"/>
      <c r="AI12" s="15"/>
      <c r="AJ12" s="15"/>
      <c r="AK12" s="15"/>
    </row>
    <row r="13" spans="1:37" ht="16" x14ac:dyDescent="0.2">
      <c r="A13" s="12">
        <v>6</v>
      </c>
      <c r="B13" s="12">
        <v>12</v>
      </c>
      <c r="C13" s="13">
        <v>0.51880000000000004</v>
      </c>
      <c r="D13" s="14">
        <v>60</v>
      </c>
      <c r="E13" s="13">
        <f>I13/1000</f>
        <v>8.2105263157894695E-2</v>
      </c>
      <c r="F13" s="18">
        <f>J13*$V13*MOUFAC</f>
        <v>4.1696705645949912</v>
      </c>
      <c r="G13" s="18">
        <f>K13*$V13*MOUFAC</f>
        <v>0.10007209355027726</v>
      </c>
      <c r="H13" s="24">
        <v>28</v>
      </c>
      <c r="I13" s="34">
        <v>82.105263157894697</v>
      </c>
      <c r="J13" s="36">
        <v>16.447368421052552</v>
      </c>
      <c r="K13" s="36">
        <v>0.39473684210525128</v>
      </c>
      <c r="L13" s="25"/>
      <c r="M13" s="26">
        <f>4*C13*(C13-E13)*Q13</f>
        <v>0.22655722947368423</v>
      </c>
      <c r="N13" s="27">
        <f>MP^2+2*MP*E13-M13</f>
        <v>-0.22655722947368423</v>
      </c>
      <c r="O13" s="28" t="e">
        <f>SQRT(N13)</f>
        <v>#NUM!</v>
      </c>
      <c r="P13" s="28">
        <f>PI()*D13/180</f>
        <v>1.0471975511965976</v>
      </c>
      <c r="Q13" s="28">
        <f>(SIN(P13/2))^2</f>
        <v>0.24999999999999994</v>
      </c>
      <c r="R13" s="28">
        <f>1/(1+2*(1+E13^2/M13)*(TAN(P13/2))^2)</f>
        <v>0.59294272877275966</v>
      </c>
      <c r="S13" s="29" t="e">
        <f>(1/137)*(C13-E13)*(N13-MP^2)/((4*PI()^2*M13*MP*C13)*(1-R13))</f>
        <v>#DIV/0!</v>
      </c>
      <c r="T13" s="29" t="e">
        <f>F13/S13</f>
        <v>#DIV/0!</v>
      </c>
      <c r="U13" s="30" t="e">
        <f>G13/S13</f>
        <v>#DIV/0!</v>
      </c>
      <c r="V13" s="24">
        <f>4*(1/137)^2*(1-Q13)*(C13-E13)^2/M13^2</f>
        <v>5.9385468302192471E-4</v>
      </c>
      <c r="W13" s="24">
        <f>(1/V13)*R13*(M13+E13^2)^2/M13^2</f>
        <v>1058.7675413236732</v>
      </c>
      <c r="X13" s="24">
        <f>(M13+E13^2)^2/(4*(1/137)^2*(C13-E13)^2*(1-Q13+2*Q13*(M13+E13^2)/M13))</f>
        <v>1058.767541323673</v>
      </c>
      <c r="Y13" s="24">
        <f>AD13*X13*F13</f>
        <v>4414.7118518059297</v>
      </c>
      <c r="Z13" s="24">
        <f>AD13*X13*G13</f>
        <v>105.95308444333963</v>
      </c>
      <c r="AA13" s="24">
        <f>R13</f>
        <v>0.59294272877275966</v>
      </c>
      <c r="AB13" s="24">
        <f>Y13/(0.1973269^2*10000000)</f>
        <v>1.1337825697717008E-2</v>
      </c>
      <c r="AC13" s="24">
        <f>Z13/(0.1973269^2*10000000)</f>
        <v>2.7210781674520131E-4</v>
      </c>
      <c r="AD13" s="24">
        <v>1</v>
      </c>
      <c r="AE13" s="24">
        <f>SQRT(M13+E13^2)</f>
        <v>0.48300983811089332</v>
      </c>
      <c r="AF13" s="24"/>
      <c r="AG13" s="24"/>
      <c r="AH13" s="24"/>
      <c r="AI13" s="15"/>
      <c r="AJ13" s="15"/>
      <c r="AK13" s="15"/>
    </row>
    <row r="14" spans="1:37" ht="16" x14ac:dyDescent="0.2">
      <c r="A14" s="12">
        <v>6</v>
      </c>
      <c r="B14" s="12">
        <v>12</v>
      </c>
      <c r="C14" s="13">
        <v>0.51880000000000004</v>
      </c>
      <c r="D14" s="14">
        <v>60</v>
      </c>
      <c r="E14" s="13">
        <f>I14/1000</f>
        <v>8.7969924812030004E-2</v>
      </c>
      <c r="F14" s="18">
        <f>J14*$V14*MOUFAC</f>
        <v>4.6477927893352184</v>
      </c>
      <c r="G14" s="18">
        <f>K14*$V14*MOUFAC</f>
        <v>0.11119121505586203</v>
      </c>
      <c r="H14" s="24">
        <v>28</v>
      </c>
      <c r="I14" s="34">
        <v>87.969924812030001</v>
      </c>
      <c r="J14" s="36">
        <v>18.33333333333325</v>
      </c>
      <c r="K14" s="36">
        <v>0.43859649122805067</v>
      </c>
      <c r="L14" s="25"/>
      <c r="M14" s="26">
        <f>4*C14*(C14-E14)*Q14</f>
        <v>0.2235146430075188</v>
      </c>
      <c r="N14" s="27">
        <f>MP^2+2*MP*E14-M14</f>
        <v>-0.2235146430075188</v>
      </c>
      <c r="O14" s="28" t="e">
        <f>SQRT(N14)</f>
        <v>#NUM!</v>
      </c>
      <c r="P14" s="28">
        <f>PI()*D14/180</f>
        <v>1.0471975511965976</v>
      </c>
      <c r="Q14" s="28">
        <f>(SIN(P14/2))^2</f>
        <v>0.24999999999999994</v>
      </c>
      <c r="R14" s="28">
        <f>1/(1+2*(1+E14^2/M14)*(TAN(P14/2))^2)</f>
        <v>0.59180402979644198</v>
      </c>
      <c r="S14" s="29" t="e">
        <f>(1/137)*(C14-E14)*(N14-MP^2)/((4*PI()^2*M14*MP*C14)*(1-R14))</f>
        <v>#DIV/0!</v>
      </c>
      <c r="T14" s="29" t="e">
        <f>F14/S14</f>
        <v>#DIV/0!</v>
      </c>
      <c r="U14" s="30" t="e">
        <f>G14/S14</f>
        <v>#DIV/0!</v>
      </c>
      <c r="V14" s="24">
        <f>4*(1/137)^2*(1-Q14)*(C14-E14)^2/M14^2</f>
        <v>5.9385468302192482E-4</v>
      </c>
      <c r="W14" s="24">
        <f>(1/V14)*R14*(M14+E14^2)^2/M14^2</f>
        <v>1066.7480074952664</v>
      </c>
      <c r="X14" s="24">
        <f>(M14+E14^2)^2/(4*(1/137)^2*(C14-E14)^2*(1-Q14+2*Q14*(M14+E14^2)/M14))</f>
        <v>1066.7480074952664</v>
      </c>
      <c r="Y14" s="24">
        <f>AD14*X14*F14</f>
        <v>4958.0236972742105</v>
      </c>
      <c r="Z14" s="24">
        <f>AD14*X14*G14</f>
        <v>118.61300711181849</v>
      </c>
      <c r="AA14" s="24">
        <f>R14</f>
        <v>0.59180402979644198</v>
      </c>
      <c r="AB14" s="24">
        <f>Y14/(0.1973269^2*10000000)</f>
        <v>1.2733154591244784E-2</v>
      </c>
      <c r="AC14" s="24">
        <f>Z14/(0.1973269^2*10000000)</f>
        <v>3.0462092323550901E-4</v>
      </c>
      <c r="AD14" s="24">
        <v>1</v>
      </c>
      <c r="AE14" s="24">
        <f>SQRT(M14+E14^2)</f>
        <v>0.48088808539924655</v>
      </c>
      <c r="AF14" s="24"/>
      <c r="AG14" s="24"/>
      <c r="AH14" s="24"/>
      <c r="AI14" s="15"/>
      <c r="AJ14" s="15"/>
      <c r="AK14" s="15"/>
    </row>
    <row r="15" spans="1:37" ht="16" x14ac:dyDescent="0.2">
      <c r="A15" s="12">
        <v>6</v>
      </c>
      <c r="B15" s="12">
        <v>12</v>
      </c>
      <c r="C15" s="13">
        <v>0.51880000000000004</v>
      </c>
      <c r="D15" s="14">
        <v>60</v>
      </c>
      <c r="E15" s="13">
        <f>I15/1000</f>
        <v>9.2481203007518803E-2</v>
      </c>
      <c r="F15" s="18">
        <f>J15*$V15*MOUFAC</f>
        <v>5.0703194065475206</v>
      </c>
      <c r="G15" s="18">
        <f>K15*$V15*MOUFAC</f>
        <v>0.11119121505586201</v>
      </c>
      <c r="H15" s="24">
        <v>28</v>
      </c>
      <c r="I15" s="34">
        <v>92.481203007518801</v>
      </c>
      <c r="J15" s="36">
        <v>19.99999999999995</v>
      </c>
      <c r="K15" s="36">
        <v>0.43859649122805067</v>
      </c>
      <c r="L15" s="25"/>
      <c r="M15" s="26">
        <f>4*C15*(C15-E15)*Q15</f>
        <v>0.22117419187969922</v>
      </c>
      <c r="N15" s="27">
        <f>MP^2+2*MP*E15-M15</f>
        <v>-0.22117419187969922</v>
      </c>
      <c r="O15" s="28" t="e">
        <f>SQRT(N15)</f>
        <v>#NUM!</v>
      </c>
      <c r="P15" s="28">
        <f>PI()*D15/180</f>
        <v>1.0471975511965976</v>
      </c>
      <c r="Q15" s="28">
        <f>(SIN(P15/2))^2</f>
        <v>0.24999999999999994</v>
      </c>
      <c r="R15" s="28">
        <f>1/(1+2*(1+E15^2/M15)*(TAN(P15/2))^2)</f>
        <v>0.59086060354426595</v>
      </c>
      <c r="S15" s="29" t="e">
        <f>(1/137)*(C15-E15)*(N15-MP^2)/((4*PI()^2*M15*MP*C15)*(1-R15))</f>
        <v>#DIV/0!</v>
      </c>
      <c r="T15" s="29" t="e">
        <f>F15/S15</f>
        <v>#DIV/0!</v>
      </c>
      <c r="U15" s="30" t="e">
        <f>G15/S15</f>
        <v>#DIV/0!</v>
      </c>
      <c r="V15" s="24">
        <f>4*(1/137)^2*(1-Q15)*(C15-E15)^2/M15^2</f>
        <v>5.9385468302192471E-4</v>
      </c>
      <c r="W15" s="24">
        <f>(1/V15)*R15*(M15+E15^2)^2/M15^2</f>
        <v>1073.395818507601</v>
      </c>
      <c r="X15" s="24">
        <f>(M15+E15^2)^2/(4*(1/137)^2*(C15-E15)^2*(1-Q15+2*Q15*(M15+E15^2)/M15))</f>
        <v>1073.3958185076008</v>
      </c>
      <c r="Y15" s="24">
        <f>AD15*X15*F15</f>
        <v>5442.4596494860489</v>
      </c>
      <c r="Z15" s="24">
        <f>AD15*X15*G15</f>
        <v>119.35218529574166</v>
      </c>
      <c r="AA15" s="24">
        <f>R15</f>
        <v>0.59086060354426595</v>
      </c>
      <c r="AB15" s="24">
        <f>Y15/(0.1973269^2*10000000)</f>
        <v>1.3977278912889602E-2</v>
      </c>
      <c r="AC15" s="24">
        <f>Z15/(0.1973269^2*10000000)</f>
        <v>3.0651927440546081E-4</v>
      </c>
      <c r="AD15" s="24">
        <v>1</v>
      </c>
      <c r="AE15" s="24">
        <f>SQRT(M15+E15^2)</f>
        <v>0.47929840891600833</v>
      </c>
      <c r="AF15" s="24"/>
      <c r="AG15" s="24"/>
      <c r="AH15" s="24"/>
      <c r="AI15" s="15"/>
      <c r="AJ15" s="15"/>
      <c r="AK15" s="15"/>
    </row>
    <row r="16" spans="1:37" ht="16" x14ac:dyDescent="0.2">
      <c r="A16" s="12">
        <v>6</v>
      </c>
      <c r="B16" s="12">
        <v>12</v>
      </c>
      <c r="C16" s="13">
        <v>0.51880000000000004</v>
      </c>
      <c r="D16" s="14">
        <v>60</v>
      </c>
      <c r="E16" s="13">
        <f>I16/1000</f>
        <v>9.7894736842105201E-2</v>
      </c>
      <c r="F16" s="18">
        <f>J16*$V16*MOUFAC</f>
        <v>5.4706077807486428</v>
      </c>
      <c r="G16" s="18">
        <f>K16*$V16*MOUFAC</f>
        <v>0.11119121505587423</v>
      </c>
      <c r="H16" s="24">
        <v>28</v>
      </c>
      <c r="I16" s="34">
        <v>97.894736842105203</v>
      </c>
      <c r="J16" s="36">
        <v>21.578947368420998</v>
      </c>
      <c r="K16" s="36">
        <v>0.43859649122809863</v>
      </c>
      <c r="L16" s="25"/>
      <c r="M16" s="26">
        <f>4*C16*(C16-E16)*Q16</f>
        <v>0.21836565052631579</v>
      </c>
      <c r="N16" s="27">
        <f>MP^2+2*MP*E16-M16</f>
        <v>-0.21836565052631579</v>
      </c>
      <c r="O16" s="28" t="e">
        <f>SQRT(N16)</f>
        <v>#NUM!</v>
      </c>
      <c r="P16" s="28">
        <f>PI()*D16/180</f>
        <v>1.0471975511965976</v>
      </c>
      <c r="Q16" s="28">
        <f>(SIN(P16/2))^2</f>
        <v>0.24999999999999994</v>
      </c>
      <c r="R16" s="28">
        <f>1/(1+2*(1+E16^2/M16)*(TAN(P16/2))^2)</f>
        <v>0.58964886855365395</v>
      </c>
      <c r="S16" s="29" t="e">
        <f>(1/137)*(C16-E16)*(N16-MP^2)/((4*PI()^2*M16*MP*C16)*(1-R16))</f>
        <v>#DIV/0!</v>
      </c>
      <c r="T16" s="29" t="e">
        <f>F16/S16</f>
        <v>#DIV/0!</v>
      </c>
      <c r="U16" s="30" t="e">
        <f>G16/S16</f>
        <v>#DIV/0!</v>
      </c>
      <c r="V16" s="24">
        <f>4*(1/137)^2*(1-Q16)*(C16-E16)^2/M16^2</f>
        <v>5.9385468302192493E-4</v>
      </c>
      <c r="W16" s="24">
        <f>(1/V16)*R16*(M16+E16^2)^2/M16^2</f>
        <v>1081.982243154607</v>
      </c>
      <c r="X16" s="24">
        <f>(M16+E16^2)^2/(4*(1/137)^2*(C16-E16)^2*(1-Q16+2*Q16*(M16+E16^2)/M16))</f>
        <v>1081.982243154607</v>
      </c>
      <c r="Y16" s="24">
        <f>AD16*X16*F16</f>
        <v>5919.1004780334633</v>
      </c>
      <c r="Z16" s="24">
        <f>AD16*X16*G16</f>
        <v>120.30692028524111</v>
      </c>
      <c r="AA16" s="24">
        <f>R16</f>
        <v>0.58964886855365395</v>
      </c>
      <c r="AB16" s="24">
        <f>Y16/(0.1973269^2*10000000)</f>
        <v>1.5201383863765468E-2</v>
      </c>
      <c r="AC16" s="24">
        <f>Z16/(0.1973269^2*10000000)</f>
        <v>3.0897121674322141E-4</v>
      </c>
      <c r="AD16" s="24">
        <v>1</v>
      </c>
      <c r="AE16" s="24">
        <f>SQRT(M16+E16^2)</f>
        <v>0.47744008003905664</v>
      </c>
      <c r="AF16" s="24"/>
      <c r="AG16" s="24"/>
      <c r="AH16" s="24"/>
      <c r="AI16" s="15"/>
      <c r="AJ16" s="15"/>
      <c r="AK16" s="15"/>
    </row>
    <row r="17" spans="1:37" ht="16" x14ac:dyDescent="0.2">
      <c r="A17" s="12">
        <v>6</v>
      </c>
      <c r="B17" s="12">
        <v>12</v>
      </c>
      <c r="C17" s="13">
        <v>0.51880000000000004</v>
      </c>
      <c r="D17" s="14">
        <v>60</v>
      </c>
      <c r="E17" s="13">
        <f>I17/1000</f>
        <v>0.10285714285714199</v>
      </c>
      <c r="F17" s="18">
        <f>J17*$V17*MOUFAC</f>
        <v>5.7374666968827182</v>
      </c>
      <c r="G17" s="18">
        <f>K17*$V17*MOUFAC</f>
        <v>0.11119121505586203</v>
      </c>
      <c r="H17" s="24">
        <v>28</v>
      </c>
      <c r="I17" s="34">
        <v>102.85714285714199</v>
      </c>
      <c r="J17" s="36">
        <v>22.63157894736835</v>
      </c>
      <c r="K17" s="36">
        <v>0.43859649122805067</v>
      </c>
      <c r="L17" s="25"/>
      <c r="M17" s="26">
        <f>4*C17*(C17-E17)*Q17</f>
        <v>0.21579115428571471</v>
      </c>
      <c r="N17" s="27">
        <f>MP^2+2*MP*E17-M17</f>
        <v>-0.21579115428571471</v>
      </c>
      <c r="O17" s="28" t="e">
        <f>SQRT(N17)</f>
        <v>#NUM!</v>
      </c>
      <c r="P17" s="28">
        <f>PI()*D17/180</f>
        <v>1.0471975511965976</v>
      </c>
      <c r="Q17" s="28">
        <f>(SIN(P17/2))^2</f>
        <v>0.24999999999999994</v>
      </c>
      <c r="R17" s="28">
        <f>1/(1+2*(1+E17^2/M17)*(TAN(P17/2))^2)</f>
        <v>0.58845983308816696</v>
      </c>
      <c r="S17" s="29" t="e">
        <f>(1/137)*(C17-E17)*(N17-MP^2)/((4*PI()^2*M17*MP*C17)*(1-R17))</f>
        <v>#DIV/0!</v>
      </c>
      <c r="T17" s="29" t="e">
        <f>F17/S17</f>
        <v>#DIV/0!</v>
      </c>
      <c r="U17" s="30" t="e">
        <f>G17/S17</f>
        <v>#DIV/0!</v>
      </c>
      <c r="V17" s="24">
        <f>4*(1/137)^2*(1-Q17)*(C17-E17)^2/M17^2</f>
        <v>5.9385468302192482E-4</v>
      </c>
      <c r="W17" s="24">
        <f>(1/V17)*R17*(M17+E17^2)^2/M17^2</f>
        <v>1090.4605712882903</v>
      </c>
      <c r="X17" s="24">
        <f>(M17+E17^2)^2/(4*(1/137)^2*(C17-E17)^2*(1-Q17+2*Q17*(M17+E17^2)/M17))</f>
        <v>1090.4605712882903</v>
      </c>
      <c r="Y17" s="24">
        <f>AD17*X17*F17</f>
        <v>6256.4812120302686</v>
      </c>
      <c r="Z17" s="24">
        <f>AD17*X17*G17</f>
        <v>121.24963589205446</v>
      </c>
      <c r="AA17" s="24">
        <f>R17</f>
        <v>0.58845983308816696</v>
      </c>
      <c r="AB17" s="24">
        <f>Y17/(0.1973269^2*10000000)</f>
        <v>1.606784221580012E-2</v>
      </c>
      <c r="AC17" s="24">
        <f>Z17/(0.1973269^2*10000000)</f>
        <v>3.1139229100386539E-4</v>
      </c>
      <c r="AD17" s="24">
        <v>1</v>
      </c>
      <c r="AE17" s="24">
        <f>SQRT(M17+E17^2)</f>
        <v>0.47578434833698474</v>
      </c>
      <c r="AF17" s="24"/>
      <c r="AG17" s="24"/>
      <c r="AH17" s="24"/>
      <c r="AI17" s="15"/>
      <c r="AJ17" s="15"/>
      <c r="AK17" s="15"/>
    </row>
    <row r="18" spans="1:37" ht="16" x14ac:dyDescent="0.2">
      <c r="A18" s="12">
        <v>6</v>
      </c>
      <c r="B18" s="12">
        <v>12</v>
      </c>
      <c r="C18" s="13">
        <v>0.51880000000000004</v>
      </c>
      <c r="D18" s="14">
        <v>60</v>
      </c>
      <c r="E18" s="13">
        <f>I18/1000</f>
        <v>0.10827067669172899</v>
      </c>
      <c r="F18" s="18">
        <f>J18*$V18*MOUFAC</f>
        <v>6.1377550710838502</v>
      </c>
      <c r="G18" s="18">
        <f>K18*$V18*MOUFAC</f>
        <v>0.11119121505586156</v>
      </c>
      <c r="H18" s="24">
        <v>28</v>
      </c>
      <c r="I18" s="34">
        <v>108.27067669172899</v>
      </c>
      <c r="J18" s="36">
        <v>24.210526315789451</v>
      </c>
      <c r="K18" s="36">
        <v>0.43859649122804889</v>
      </c>
      <c r="L18" s="25"/>
      <c r="M18" s="26">
        <f>4*C18*(C18-E18)*Q18</f>
        <v>0.21298261293233101</v>
      </c>
      <c r="N18" s="27">
        <f>MP^2+2*MP*E18-M18</f>
        <v>-0.21298261293233101</v>
      </c>
      <c r="O18" s="28" t="e">
        <f>SQRT(N18)</f>
        <v>#NUM!</v>
      </c>
      <c r="P18" s="28">
        <f>PI()*D18/180</f>
        <v>1.0471975511965976</v>
      </c>
      <c r="Q18" s="28">
        <f>(SIN(P18/2))^2</f>
        <v>0.24999999999999994</v>
      </c>
      <c r="R18" s="28">
        <f>1/(1+2*(1+E18^2/M18)*(TAN(P18/2))^2)</f>
        <v>0.58707498317420492</v>
      </c>
      <c r="S18" s="29" t="e">
        <f>(1/137)*(C18-E18)*(N18-MP^2)/((4*PI()^2*M18*MP*C18)*(1-R18))</f>
        <v>#DIV/0!</v>
      </c>
      <c r="T18" s="29" t="e">
        <f>F18/S18</f>
        <v>#DIV/0!</v>
      </c>
      <c r="U18" s="30" t="e">
        <f>G18/S18</f>
        <v>#DIV/0!</v>
      </c>
      <c r="V18" s="24">
        <f>4*(1/137)^2*(1-Q18)*(C18-E18)^2/M18^2</f>
        <v>5.9385468302192471E-4</v>
      </c>
      <c r="W18" s="24">
        <f>(1/V18)*R18*(M18+E18^2)^2/M18^2</f>
        <v>1100.4014361139143</v>
      </c>
      <c r="X18" s="24">
        <f>(M18+E18^2)^2/(4*(1/137)^2*(C18-E18)^2*(1-Q18+2*Q18*(M18+E18^2)/M18))</f>
        <v>1100.4014361139141</v>
      </c>
      <c r="Y18" s="24">
        <f>AD18*X18*F18</f>
        <v>6753.9944947361273</v>
      </c>
      <c r="Z18" s="24">
        <f>AD18*X18*G18</f>
        <v>122.35497273072113</v>
      </c>
      <c r="AA18" s="24">
        <f>R18</f>
        <v>0.58707498317420492</v>
      </c>
      <c r="AB18" s="24">
        <f>Y18/(0.1973269^2*10000000)</f>
        <v>1.7345551627187993E-2</v>
      </c>
      <c r="AC18" s="24">
        <f>Z18/(0.1973269^2*10000000)</f>
        <v>3.14231007738898E-4</v>
      </c>
      <c r="AD18" s="24">
        <v>1</v>
      </c>
      <c r="AE18" s="24">
        <f>SQRT(M18+E18^2)</f>
        <v>0.47403075044095599</v>
      </c>
      <c r="AF18" s="24"/>
      <c r="AG18" s="24"/>
      <c r="AH18" s="24"/>
      <c r="AI18" s="15"/>
      <c r="AJ18" s="15"/>
      <c r="AK18" s="15"/>
    </row>
    <row r="19" spans="1:37" ht="16" x14ac:dyDescent="0.2">
      <c r="A19" s="12">
        <v>6</v>
      </c>
      <c r="B19" s="12">
        <v>12</v>
      </c>
      <c r="C19" s="13">
        <v>0.51880000000000004</v>
      </c>
      <c r="D19" s="14">
        <v>60</v>
      </c>
      <c r="E19" s="13">
        <f>I19/1000</f>
        <v>0.11278195488721801</v>
      </c>
      <c r="F19" s="18">
        <f>J19*$V19*MOUFAC</f>
        <v>6.49356695926262</v>
      </c>
      <c r="G19" s="18">
        <f>K19*$V19*MOUFAC</f>
        <v>0.11119121505586159</v>
      </c>
      <c r="H19" s="24">
        <v>28</v>
      </c>
      <c r="I19" s="34">
        <v>112.78195488721801</v>
      </c>
      <c r="J19" s="36">
        <v>25.614035087719252</v>
      </c>
      <c r="K19" s="36">
        <v>0.43859649122804889</v>
      </c>
      <c r="L19" s="25"/>
      <c r="M19" s="26">
        <f>4*C19*(C19-E19)*Q19</f>
        <v>0.21064216180451129</v>
      </c>
      <c r="N19" s="27">
        <f>MP^2+2*MP*E19-M19</f>
        <v>-0.21064216180451129</v>
      </c>
      <c r="O19" s="28" t="e">
        <f>SQRT(N19)</f>
        <v>#NUM!</v>
      </c>
      <c r="P19" s="28">
        <f>PI()*D19/180</f>
        <v>1.0471975511965976</v>
      </c>
      <c r="Q19" s="28">
        <f>(SIN(P19/2))^2</f>
        <v>0.24999999999999994</v>
      </c>
      <c r="R19" s="28">
        <f>1/(1+2*(1+E19^2/M19)*(TAN(P19/2))^2)</f>
        <v>0.58584923905128494</v>
      </c>
      <c r="S19" s="29" t="e">
        <f>(1/137)*(C19-E19)*(N19-MP^2)/((4*PI()^2*M19*MP*C19)*(1-R19))</f>
        <v>#DIV/0!</v>
      </c>
      <c r="T19" s="29" t="e">
        <f>F19/S19</f>
        <v>#DIV/0!</v>
      </c>
      <c r="U19" s="30" t="e">
        <f>G19/S19</f>
        <v>#DIV/0!</v>
      </c>
      <c r="V19" s="24">
        <f>4*(1/137)^2*(1-Q19)*(C19-E19)^2/M19^2</f>
        <v>5.9385468302192482E-4</v>
      </c>
      <c r="W19" s="24">
        <f>(1/V19)*R19*(M19+E19^2)^2/M19^2</f>
        <v>1109.260094758429</v>
      </c>
      <c r="X19" s="24">
        <f>(M19+E19^2)^2/(4*(1/137)^2*(C19-E19)^2*(1-Q19+2*Q19*(M19+E19^2)/M19))</f>
        <v>1109.2600947584287</v>
      </c>
      <c r="Y19" s="24">
        <f>AD19*X19*F19</f>
        <v>7203.0547005518556</v>
      </c>
      <c r="Z19" s="24">
        <f>AD19*X19*G19</f>
        <v>123.33997774916986</v>
      </c>
      <c r="AA19" s="24">
        <f>R19</f>
        <v>0.58584923905128494</v>
      </c>
      <c r="AB19" s="24">
        <f>Y19/(0.1973269^2*10000000)</f>
        <v>1.8498824255669268E-2</v>
      </c>
      <c r="AC19" s="24">
        <f>Z19/(0.1973269^2*10000000)</f>
        <v>3.1676068930939051E-4</v>
      </c>
      <c r="AD19" s="24">
        <v>1</v>
      </c>
      <c r="AE19" s="24">
        <f>SQRT(M19+E19^2)</f>
        <v>0.47261181867648394</v>
      </c>
      <c r="AF19" s="24"/>
      <c r="AG19" s="24"/>
      <c r="AH19" s="24"/>
      <c r="AI19" s="15"/>
      <c r="AJ19" s="15"/>
      <c r="AK19" s="15"/>
    </row>
    <row r="20" spans="1:37" ht="16" x14ac:dyDescent="0.2">
      <c r="A20" s="12">
        <v>6</v>
      </c>
      <c r="B20" s="12">
        <v>12</v>
      </c>
      <c r="C20" s="13">
        <v>0.51880000000000004</v>
      </c>
      <c r="D20" s="14">
        <v>60</v>
      </c>
      <c r="E20" s="13">
        <f>I20/1000</f>
        <v>0.117744360902255</v>
      </c>
      <c r="F20" s="18">
        <f>J20*$V20*MOUFAC</f>
        <v>6.5825199313073108</v>
      </c>
      <c r="G20" s="18">
        <f>K20*$V20*MOUFAC</f>
        <v>0.11119121505587462</v>
      </c>
      <c r="H20" s="24">
        <v>28</v>
      </c>
      <c r="I20" s="34">
        <v>117.744360902255</v>
      </c>
      <c r="J20" s="36">
        <v>25.9649122807017</v>
      </c>
      <c r="K20" s="36">
        <v>0.4385964912281004</v>
      </c>
      <c r="L20" s="25"/>
      <c r="M20" s="26">
        <f>4*C20*(C20-E20)*Q20</f>
        <v>0.2080676655639101</v>
      </c>
      <c r="N20" s="27">
        <f>MP^2+2*MP*E20-M20</f>
        <v>-0.2080676655639101</v>
      </c>
      <c r="O20" s="28" t="e">
        <f>SQRT(N20)</f>
        <v>#NUM!</v>
      </c>
      <c r="P20" s="28">
        <f>PI()*D20/180</f>
        <v>1.0471975511965976</v>
      </c>
      <c r="Q20" s="28">
        <f>(SIN(P20/2))^2</f>
        <v>0.24999999999999994</v>
      </c>
      <c r="R20" s="28">
        <f>1/(1+2*(1+E20^2/M20)*(TAN(P20/2))^2)</f>
        <v>0.58442372981335089</v>
      </c>
      <c r="S20" s="29" t="e">
        <f>(1/137)*(C20-E20)*(N20-MP^2)/((4*PI()^2*M20*MP*C20)*(1-R20))</f>
        <v>#DIV/0!</v>
      </c>
      <c r="T20" s="29" t="e">
        <f>F20/S20</f>
        <v>#DIV/0!</v>
      </c>
      <c r="U20" s="30" t="e">
        <f>G20/S20</f>
        <v>#DIV/0!</v>
      </c>
      <c r="V20" s="24">
        <f>4*(1/137)^2*(1-Q20)*(C20-E20)^2/M20^2</f>
        <v>5.9385468302192471E-4</v>
      </c>
      <c r="W20" s="24">
        <f>(1/V20)*R20*(M20+E20^2)^2/M20^2</f>
        <v>1119.6337281943809</v>
      </c>
      <c r="X20" s="24">
        <f>(M20+E20^2)^2/(4*(1/137)^2*(C20-E20)^2*(1-Q20+2*Q20*(M20+E20^2)/M20))</f>
        <v>1119.6337281943802</v>
      </c>
      <c r="Y20" s="24">
        <f>AD20*X20*F20</f>
        <v>7370.0113316034194</v>
      </c>
      <c r="Z20" s="24">
        <f>AD20*X20*G20</f>
        <v>124.493434655472</v>
      </c>
      <c r="AA20" s="24">
        <f>R20</f>
        <v>0.58442372981335089</v>
      </c>
      <c r="AB20" s="24">
        <f>Y20/(0.1973269^2*10000000)</f>
        <v>1.8927600865668477E-2</v>
      </c>
      <c r="AC20" s="24">
        <f>Z20/(0.1973269^2*10000000)</f>
        <v>3.1972298759577397E-4</v>
      </c>
      <c r="AD20" s="24">
        <v>1</v>
      </c>
      <c r="AE20" s="24">
        <f>SQRT(M20+E20^2)</f>
        <v>0.47109595634880008</v>
      </c>
      <c r="AF20" s="24"/>
      <c r="AG20" s="24"/>
      <c r="AH20" s="24"/>
      <c r="AI20" s="15"/>
      <c r="AJ20" s="15"/>
      <c r="AK20" s="15"/>
    </row>
    <row r="21" spans="1:37" ht="16" x14ac:dyDescent="0.2">
      <c r="A21" s="12">
        <v>6</v>
      </c>
      <c r="B21" s="12">
        <v>12</v>
      </c>
      <c r="C21" s="13">
        <v>0.51880000000000004</v>
      </c>
      <c r="D21" s="14">
        <v>60</v>
      </c>
      <c r="E21" s="13">
        <f>I21/1000</f>
        <v>0.122706766917293</v>
      </c>
      <c r="F21" s="18">
        <f>J21*$V21*MOUFAC</f>
        <v>6.8271406044302188</v>
      </c>
      <c r="G21" s="18">
        <f>K21*$V21*MOUFAC</f>
        <v>0.11119121505586203</v>
      </c>
      <c r="H21" s="24">
        <v>28</v>
      </c>
      <c r="I21" s="34">
        <v>122.706766917293</v>
      </c>
      <c r="J21" s="36">
        <v>26.92982456140345</v>
      </c>
      <c r="K21" s="36">
        <v>0.43859649122805067</v>
      </c>
      <c r="L21" s="25"/>
      <c r="M21" s="26">
        <f>4*C21*(C21-E21)*Q21</f>
        <v>0.20549316932330838</v>
      </c>
      <c r="N21" s="27">
        <f>MP^2+2*MP*E21-M21</f>
        <v>-0.20549316932330838</v>
      </c>
      <c r="O21" s="28" t="e">
        <f>SQRT(N21)</f>
        <v>#NUM!</v>
      </c>
      <c r="P21" s="28">
        <f>PI()*D21/180</f>
        <v>1.0471975511965976</v>
      </c>
      <c r="Q21" s="28">
        <f>(SIN(P21/2))^2</f>
        <v>0.24999999999999994</v>
      </c>
      <c r="R21" s="28">
        <f>1/(1+2*(1+E21^2/M21)*(TAN(P21/2))^2)</f>
        <v>0.58291538693659628</v>
      </c>
      <c r="S21" s="29" t="e">
        <f>(1/137)*(C21-E21)*(N21-MP^2)/((4*PI()^2*M21*MP*C21)*(1-R21))</f>
        <v>#DIV/0!</v>
      </c>
      <c r="T21" s="29" t="e">
        <f>F21/S21</f>
        <v>#DIV/0!</v>
      </c>
      <c r="U21" s="30" t="e">
        <f>G21/S21</f>
        <v>#DIV/0!</v>
      </c>
      <c r="V21" s="24">
        <f>4*(1/137)^2*(1-Q21)*(C21-E21)^2/M21^2</f>
        <v>5.9385468302192482E-4</v>
      </c>
      <c r="W21" s="24">
        <f>(1/V21)*R21*(M21+E21^2)^2/M21^2</f>
        <v>1130.6941619445522</v>
      </c>
      <c r="X21" s="24">
        <f>(M21+E21^2)^2/(4*(1/137)^2*(C21-E21)^2*(1-Q21+2*Q21*(M21+E21^2)/M21))</f>
        <v>1130.694161944552</v>
      </c>
      <c r="Y21" s="24">
        <f>AD21*X21*F21</f>
        <v>7719.4080242038481</v>
      </c>
      <c r="Z21" s="24">
        <f>AD21*X21*G21</f>
        <v>125.72325772318437</v>
      </c>
      <c r="AA21" s="24">
        <f>R21</f>
        <v>0.58291538693659628</v>
      </c>
      <c r="AB21" s="24">
        <f>Y21/(0.1973269^2*10000000)</f>
        <v>1.9824918501120035E-2</v>
      </c>
      <c r="AC21" s="24">
        <f>Z21/(0.1973269^2*10000000)</f>
        <v>3.2288140881301617E-4</v>
      </c>
      <c r="AD21" s="24">
        <v>1</v>
      </c>
      <c r="AE21" s="24">
        <f>SQRT(M21+E21^2)</f>
        <v>0.46962763970043675</v>
      </c>
      <c r="AF21" s="24"/>
      <c r="AG21" s="24"/>
      <c r="AH21" s="24"/>
      <c r="AI21" s="15"/>
      <c r="AJ21" s="15"/>
      <c r="AK21" s="15"/>
    </row>
    <row r="22" spans="1:37" ht="16" x14ac:dyDescent="0.2">
      <c r="A22" s="12">
        <v>6</v>
      </c>
      <c r="B22" s="12">
        <v>12</v>
      </c>
      <c r="C22" s="13">
        <v>0.51880000000000004</v>
      </c>
      <c r="D22" s="14">
        <v>60</v>
      </c>
      <c r="E22" s="13">
        <f>I22/1000</f>
        <v>0.12766917293232999</v>
      </c>
      <c r="F22" s="18">
        <f>J22*$V22*MOUFAC</f>
        <v>7.0384039130363698</v>
      </c>
      <c r="G22" s="18">
        <f>K22*$V22*MOUFAC</f>
        <v>0.10007209355028943</v>
      </c>
      <c r="H22" s="24">
        <v>28</v>
      </c>
      <c r="I22" s="34">
        <v>127.66917293233</v>
      </c>
      <c r="J22" s="36">
        <v>27.7631578947368</v>
      </c>
      <c r="K22" s="36">
        <v>0.39473684210529925</v>
      </c>
      <c r="L22" s="25"/>
      <c r="M22" s="26">
        <f>4*C22*(C22-E22)*Q22</f>
        <v>0.20291867308270717</v>
      </c>
      <c r="N22" s="27">
        <f>MP^2+2*MP*E22-M22</f>
        <v>-0.20291867308270717</v>
      </c>
      <c r="O22" s="28" t="e">
        <f>SQRT(N22)</f>
        <v>#NUM!</v>
      </c>
      <c r="P22" s="28">
        <f>PI()*D22/180</f>
        <v>1.0471975511965976</v>
      </c>
      <c r="Q22" s="28">
        <f>(SIN(P22/2))^2</f>
        <v>0.24999999999999994</v>
      </c>
      <c r="R22" s="28">
        <f>1/(1+2*(1+E22^2/M22)*(TAN(P22/2))^2)</f>
        <v>0.58132214769663915</v>
      </c>
      <c r="S22" s="29" t="e">
        <f>(1/137)*(C22-E22)*(N22-MP^2)/((4*PI()^2*M22*MP*C22)*(1-R22))</f>
        <v>#DIV/0!</v>
      </c>
      <c r="T22" s="29" t="e">
        <f>F22/S22</f>
        <v>#DIV/0!</v>
      </c>
      <c r="U22" s="30" t="e">
        <f>G22/S22</f>
        <v>#DIV/0!</v>
      </c>
      <c r="V22" s="24">
        <f>4*(1/137)^2*(1-Q22)*(C22-E22)^2/M22^2</f>
        <v>5.9385468302192482E-4</v>
      </c>
      <c r="W22" s="24">
        <f>(1/V22)*R22*(M22+E22^2)^2/M22^2</f>
        <v>1142.4716671311505</v>
      </c>
      <c r="X22" s="24">
        <f>(M22+E22^2)^2/(4*(1/137)^2*(C22-E22)^2*(1-Q22+2*Q22*(M22+E22^2)/M22))</f>
        <v>1142.4716671311503</v>
      </c>
      <c r="Y22" s="24">
        <f>AD22*X22*F22</f>
        <v>8041.1770524690728</v>
      </c>
      <c r="Z22" s="24">
        <f>AD22*X22*G22</f>
        <v>114.3295315517036</v>
      </c>
      <c r="AA22" s="24">
        <f>R22</f>
        <v>0.58132214769663915</v>
      </c>
      <c r="AB22" s="24">
        <f>Y22/(0.1973269^2*10000000)</f>
        <v>2.0651283002328089E-2</v>
      </c>
      <c r="AC22" s="24">
        <f>Z22/(0.1973269^2*10000000)</f>
        <v>2.9362013747388636E-4</v>
      </c>
      <c r="AD22" s="24">
        <v>1</v>
      </c>
      <c r="AE22" s="24">
        <f>SQRT(M22+E22^2)</f>
        <v>0.46820731604699678</v>
      </c>
      <c r="AF22" s="24"/>
      <c r="AG22" s="24"/>
      <c r="AH22" s="24"/>
      <c r="AI22" s="15"/>
      <c r="AJ22" s="15"/>
      <c r="AK22" s="15"/>
    </row>
    <row r="23" spans="1:37" ht="16" x14ac:dyDescent="0.2">
      <c r="A23" s="12">
        <v>6</v>
      </c>
      <c r="B23" s="12">
        <v>12</v>
      </c>
      <c r="C23" s="13">
        <v>0.51880000000000004</v>
      </c>
      <c r="D23" s="14">
        <v>60</v>
      </c>
      <c r="E23" s="13">
        <f>I23/1000</f>
        <v>0.13263157894736802</v>
      </c>
      <c r="F23" s="18">
        <f>J23*$V23*MOUFAC</f>
        <v>6.9716891840028481</v>
      </c>
      <c r="G23" s="18">
        <f>K23*$V23*MOUFAC</f>
        <v>0.10007209355027684</v>
      </c>
      <c r="H23" s="24">
        <v>28</v>
      </c>
      <c r="I23" s="34">
        <v>132.63157894736801</v>
      </c>
      <c r="J23" s="36">
        <v>27.49999999999995</v>
      </c>
      <c r="K23" s="36">
        <v>0.39473684210524951</v>
      </c>
      <c r="L23" s="25"/>
      <c r="M23" s="26">
        <f>4*C23*(C23-E23)*Q23</f>
        <v>0.20034417684210545</v>
      </c>
      <c r="N23" s="27">
        <f>MP^2+2*MP*E23-M23</f>
        <v>-0.20034417684210545</v>
      </c>
      <c r="O23" s="28" t="e">
        <f>SQRT(N23)</f>
        <v>#NUM!</v>
      </c>
      <c r="P23" s="28">
        <f>PI()*D23/180</f>
        <v>1.0471975511965976</v>
      </c>
      <c r="Q23" s="28">
        <f>(SIN(P23/2))^2</f>
        <v>0.24999999999999994</v>
      </c>
      <c r="R23" s="28">
        <f>1/(1+2*(1+E23^2/M23)*(TAN(P23/2))^2)</f>
        <v>0.57964191470989423</v>
      </c>
      <c r="S23" s="29" t="e">
        <f>(1/137)*(C23-E23)*(N23-MP^2)/((4*PI()^2*M23*MP*C23)*(1-R23))</f>
        <v>#DIV/0!</v>
      </c>
      <c r="T23" s="29" t="e">
        <f>F23/S23</f>
        <v>#DIV/0!</v>
      </c>
      <c r="U23" s="30" t="e">
        <f>G23/S23</f>
        <v>#DIV/0!</v>
      </c>
      <c r="V23" s="24">
        <f>4*(1/137)^2*(1-Q23)*(C23-E23)^2/M23^2</f>
        <v>5.9385468302192493E-4</v>
      </c>
      <c r="W23" s="24">
        <f>(1/V23)*R23*(M23+E23^2)^2/M23^2</f>
        <v>1154.9983412554959</v>
      </c>
      <c r="X23" s="24">
        <f>(M23+E23^2)^2/(4*(1/137)^2*(C23-E23)^2*(1-Q23+2*Q23*(M23+E23^2)/M23))</f>
        <v>1154.9983412554957</v>
      </c>
      <c r="Y23" s="24">
        <f>AD23*X23*F23</f>
        <v>8052.2894432721696</v>
      </c>
      <c r="Z23" s="24">
        <f>AD23*X23*G23</f>
        <v>115.58310205653454</v>
      </c>
      <c r="AA23" s="24">
        <f>R23</f>
        <v>0.57964191470989423</v>
      </c>
      <c r="AB23" s="24">
        <f>Y23/(0.1973269^2*10000000)</f>
        <v>2.0679821750549877E-2</v>
      </c>
      <c r="AC23" s="24">
        <f>Z23/(0.1973269^2*10000000)</f>
        <v>2.9683954665860095E-4</v>
      </c>
      <c r="AD23" s="24">
        <v>1</v>
      </c>
      <c r="AE23" s="24">
        <f>SQRT(M23+E23^2)</f>
        <v>0.46683542343761508</v>
      </c>
      <c r="AF23" s="24"/>
      <c r="AG23" s="24"/>
      <c r="AH23" s="24"/>
      <c r="AI23" s="15"/>
      <c r="AJ23" s="15"/>
      <c r="AK23" s="15"/>
    </row>
    <row r="24" spans="1:37" ht="16" x14ac:dyDescent="0.2">
      <c r="A24" s="12">
        <v>6</v>
      </c>
      <c r="B24" s="12">
        <v>12</v>
      </c>
      <c r="C24" s="13">
        <v>0.51880000000000004</v>
      </c>
      <c r="D24" s="14">
        <v>60</v>
      </c>
      <c r="E24" s="13">
        <f>I24/1000</f>
        <v>0.13759398496240602</v>
      </c>
      <c r="F24" s="18">
        <f>J24*$V24*MOUFAC</f>
        <v>6.9828083055084322</v>
      </c>
      <c r="G24" s="18">
        <f>K24*$V24*MOUFAC</f>
        <v>0.11119121505586159</v>
      </c>
      <c r="H24" s="24">
        <v>28</v>
      </c>
      <c r="I24" s="34">
        <v>137.59398496240601</v>
      </c>
      <c r="J24" s="36">
        <v>27.543859649122751</v>
      </c>
      <c r="K24" s="36">
        <v>0.43859649122804889</v>
      </c>
      <c r="L24" s="25"/>
      <c r="M24" s="26">
        <f>4*C24*(C24-E24)*Q24</f>
        <v>0.19776968060150371</v>
      </c>
      <c r="N24" s="27">
        <f>MP^2+2*MP*E24-M24</f>
        <v>-0.19776968060150371</v>
      </c>
      <c r="O24" s="28" t="e">
        <f>SQRT(N24)</f>
        <v>#NUM!</v>
      </c>
      <c r="P24" s="28">
        <f>PI()*D24/180</f>
        <v>1.0471975511965976</v>
      </c>
      <c r="Q24" s="28">
        <f>(SIN(P24/2))^2</f>
        <v>0.24999999999999994</v>
      </c>
      <c r="R24" s="28">
        <f>1/(1+2*(1+E24^2/M24)*(TAN(P24/2))^2)</f>
        <v>0.57787255619250144</v>
      </c>
      <c r="S24" s="29" t="e">
        <f>(1/137)*(C24-E24)*(N24-MP^2)/((4*PI()^2*M24*MP*C24)*(1-R24))</f>
        <v>#DIV/0!</v>
      </c>
      <c r="T24" s="29" t="e">
        <f>F24/S24</f>
        <v>#DIV/0!</v>
      </c>
      <c r="U24" s="30" t="e">
        <f>G24/S24</f>
        <v>#DIV/0!</v>
      </c>
      <c r="V24" s="24">
        <f>4*(1/137)^2*(1-Q24)*(C24-E24)^2/M24^2</f>
        <v>5.9385468302192482E-4</v>
      </c>
      <c r="W24" s="24">
        <f>(1/V24)*R24*(M24+E24^2)^2/M24^2</f>
        <v>1168.308236602024</v>
      </c>
      <c r="X24" s="24">
        <f>(M24+E24^2)^2/(4*(1/137)^2*(C24-E24)^2*(1-Q24+2*Q24*(M24+E24^2)/M24))</f>
        <v>1168.3082366020235</v>
      </c>
      <c r="Y24" s="24">
        <f>AD24*X24*F24</f>
        <v>8158.0724579385205</v>
      </c>
      <c r="Z24" s="24">
        <f>AD24*X24*G24</f>
        <v>129.90561238755001</v>
      </c>
      <c r="AA24" s="24">
        <f>R24</f>
        <v>0.57787255619250144</v>
      </c>
      <c r="AB24" s="24">
        <f>Y24/(0.1973269^2*10000000)</f>
        <v>2.095149279552997E-2</v>
      </c>
      <c r="AC24" s="24">
        <f>Z24/(0.1973269^2*10000000)</f>
        <v>3.3362249674409226E-4</v>
      </c>
      <c r="AD24" s="24">
        <v>1</v>
      </c>
      <c r="AE24" s="24">
        <f>SQRT(M24+E24^2)</f>
        <v>0.46551239005996237</v>
      </c>
      <c r="AF24" s="24"/>
      <c r="AG24" s="24"/>
      <c r="AH24" s="24"/>
      <c r="AI24" s="15"/>
      <c r="AJ24" s="15"/>
      <c r="AK24" s="15"/>
    </row>
    <row r="25" spans="1:37" ht="16" x14ac:dyDescent="0.2">
      <c r="A25" s="12">
        <v>6</v>
      </c>
      <c r="B25" s="12">
        <v>12</v>
      </c>
      <c r="C25" s="13">
        <v>0.51880000000000004</v>
      </c>
      <c r="D25" s="14">
        <v>60</v>
      </c>
      <c r="E25" s="13">
        <f>I25/1000</f>
        <v>0.143007518796992</v>
      </c>
      <c r="F25" s="18">
        <f>J25*$V25*MOUFAC</f>
        <v>7.0272847915307839</v>
      </c>
      <c r="G25" s="18">
        <f>K25*$V25*MOUFAC</f>
        <v>0.11119121505587465</v>
      </c>
      <c r="H25" s="24">
        <v>28</v>
      </c>
      <c r="I25" s="34">
        <v>143.007518796992</v>
      </c>
      <c r="J25" s="36">
        <v>27.719298245613999</v>
      </c>
      <c r="K25" s="36">
        <v>0.4385964912281004</v>
      </c>
      <c r="L25" s="25"/>
      <c r="M25" s="26">
        <f>4*C25*(C25-E25)*Q25</f>
        <v>0.1949611392481205</v>
      </c>
      <c r="N25" s="27">
        <f>MP^2+2*MP*E25-M25</f>
        <v>-0.1949611392481205</v>
      </c>
      <c r="O25" s="28" t="e">
        <f>SQRT(N25)</f>
        <v>#NUM!</v>
      </c>
      <c r="P25" s="28">
        <f>PI()*D25/180</f>
        <v>1.0471975511965976</v>
      </c>
      <c r="Q25" s="28">
        <f>(SIN(P25/2))^2</f>
        <v>0.24999999999999994</v>
      </c>
      <c r="R25" s="28">
        <f>1/(1+2*(1+E25^2/M25)*(TAN(P25/2))^2)</f>
        <v>0.57583815369289049</v>
      </c>
      <c r="S25" s="29" t="e">
        <f>(1/137)*(C25-E25)*(N25-MP^2)/((4*PI()^2*M25*MP*C25)*(1-R25))</f>
        <v>#DIV/0!</v>
      </c>
      <c r="T25" s="29" t="e">
        <f>F25/S25</f>
        <v>#DIV/0!</v>
      </c>
      <c r="U25" s="30" t="e">
        <f>G25/S25</f>
        <v>#DIV/0!</v>
      </c>
      <c r="V25" s="24">
        <f>4*(1/137)^2*(1-Q25)*(C25-E25)^2/M25^2</f>
        <v>5.9385468302192482E-4</v>
      </c>
      <c r="W25" s="24">
        <f>(1/V25)*R25*(M25+E25^2)^2/M25^2</f>
        <v>1183.7639155067095</v>
      </c>
      <c r="X25" s="24">
        <f>(M25+E25^2)^2/(4*(1/137)^2*(C25-E25)^2*(1-Q25+2*Q25*(M25+E25^2)/M25))</f>
        <v>1183.7639155067093</v>
      </c>
      <c r="Y25" s="24">
        <f>AD25*X25*F25</f>
        <v>8318.6461602032305</v>
      </c>
      <c r="Z25" s="24">
        <f>AD25*X25*G25</f>
        <v>131.62414810449073</v>
      </c>
      <c r="AA25" s="24">
        <f>R25</f>
        <v>0.57583815369289049</v>
      </c>
      <c r="AB25" s="24">
        <f>Y25/(0.1973269^2*10000000)</f>
        <v>2.1363876821719505E-2</v>
      </c>
      <c r="AC25" s="24">
        <f>Z25/(0.1973269^2*10000000)</f>
        <v>3.3803602566014247E-4</v>
      </c>
      <c r="AD25" s="24">
        <v>1</v>
      </c>
      <c r="AE25" s="24">
        <f>SQRT(M25+E25^2)</f>
        <v>0.46412529523889617</v>
      </c>
      <c r="AF25" s="24"/>
      <c r="AG25" s="24"/>
      <c r="AH25" s="24"/>
      <c r="AI25" s="15"/>
      <c r="AJ25" s="15"/>
      <c r="AK25" s="15"/>
    </row>
    <row r="26" spans="1:37" ht="16" x14ac:dyDescent="0.2">
      <c r="A26" s="12">
        <v>6</v>
      </c>
      <c r="B26" s="12">
        <v>12</v>
      </c>
      <c r="C26" s="13">
        <v>0.51880000000000004</v>
      </c>
      <c r="D26" s="14">
        <v>60</v>
      </c>
      <c r="E26" s="13">
        <f>I26/1000</f>
        <v>0.14751879699248099</v>
      </c>
      <c r="F26" s="18">
        <f>J26*$V26*MOUFAC</f>
        <v>6.7937832399134628</v>
      </c>
      <c r="G26" s="18">
        <f>K26*$V26*MOUFAC</f>
        <v>0.10007209355027682</v>
      </c>
      <c r="H26" s="24">
        <v>28</v>
      </c>
      <c r="I26" s="34">
        <v>147.51879699248099</v>
      </c>
      <c r="J26" s="36">
        <v>26.79824561403505</v>
      </c>
      <c r="K26" s="36">
        <v>0.39473684210524951</v>
      </c>
      <c r="L26" s="25"/>
      <c r="M26" s="26">
        <f>4*C26*(C26-E26)*Q26</f>
        <v>0.19262068812030084</v>
      </c>
      <c r="N26" s="27">
        <f>MP^2+2*MP*E26-M26</f>
        <v>-0.19262068812030084</v>
      </c>
      <c r="O26" s="28" t="e">
        <f>SQRT(N26)</f>
        <v>#NUM!</v>
      </c>
      <c r="P26" s="28">
        <f>PI()*D26/180</f>
        <v>1.0471975511965976</v>
      </c>
      <c r="Q26" s="28">
        <f>(SIN(P26/2))^2</f>
        <v>0.24999999999999994</v>
      </c>
      <c r="R26" s="28">
        <f>1/(1+2*(1+E26^2/M26)*(TAN(P26/2))^2)</f>
        <v>0.57405776544710674</v>
      </c>
      <c r="S26" s="29" t="e">
        <f>(1/137)*(C26-E26)*(N26-MP^2)/((4*PI()^2*M26*MP*C26)*(1-R26))</f>
        <v>#DIV/0!</v>
      </c>
      <c r="T26" s="29" t="e">
        <f>F26/S26</f>
        <v>#DIV/0!</v>
      </c>
      <c r="U26" s="30" t="e">
        <f>G26/S26</f>
        <v>#DIV/0!</v>
      </c>
      <c r="V26" s="24">
        <f>4*(1/137)^2*(1-Q26)*(C26-E26)^2/M26^2</f>
        <v>5.9385468302192482E-4</v>
      </c>
      <c r="W26" s="24">
        <f>(1/V26)*R26*(M26+E26^2)^2/M26^2</f>
        <v>1197.4245177291043</v>
      </c>
      <c r="X26" s="24">
        <f>(M26+E26^2)^2/(4*(1/137)^2*(C26-E26)^2*(1-Q26+2*Q26*(M26+E26^2)/M26))</f>
        <v>1197.4245177291043</v>
      </c>
      <c r="Y26" s="24">
        <f>AD26*X26*F26</f>
        <v>8135.0426196094495</v>
      </c>
      <c r="Z26" s="24">
        <f>AD26*X26*G26</f>
        <v>119.82877835758204</v>
      </c>
      <c r="AA26" s="24">
        <f>R26</f>
        <v>0.57405776544710674</v>
      </c>
      <c r="AB26" s="24">
        <f>Y26/(0.1973269^2*10000000)</f>
        <v>2.0892347759209017E-2</v>
      </c>
      <c r="AC26" s="24">
        <f>Z26/(0.1973269^2*10000000)</f>
        <v>3.0774325668228304E-4</v>
      </c>
      <c r="AD26" s="24">
        <v>1</v>
      </c>
      <c r="AE26" s="24">
        <f>SQRT(M26+E26^2)</f>
        <v>0.46301456087947135</v>
      </c>
      <c r="AF26" s="24"/>
      <c r="AG26" s="24"/>
      <c r="AH26" s="24"/>
      <c r="AI26" s="15"/>
      <c r="AJ26" s="15"/>
      <c r="AK26" s="15"/>
    </row>
    <row r="27" spans="1:37" ht="16" x14ac:dyDescent="0.2">
      <c r="A27" s="12">
        <v>6</v>
      </c>
      <c r="B27" s="12">
        <v>12</v>
      </c>
      <c r="C27" s="13">
        <v>0.51880000000000004</v>
      </c>
      <c r="D27" s="14">
        <v>60</v>
      </c>
      <c r="E27" s="13">
        <f>I27/1000</f>
        <v>0.152481203007518</v>
      </c>
      <c r="F27" s="18">
        <f>J27*$V27*MOUFAC</f>
        <v>6.5936390528128959</v>
      </c>
      <c r="G27" s="18">
        <f>K27*$V27*MOUFAC</f>
        <v>0.10007209355028988</v>
      </c>
      <c r="H27" s="24">
        <v>28</v>
      </c>
      <c r="I27" s="34">
        <v>152.48120300751799</v>
      </c>
      <c r="J27" s="36">
        <v>26.008771929824498</v>
      </c>
      <c r="K27" s="36">
        <v>0.39473684210530102</v>
      </c>
      <c r="L27" s="25"/>
      <c r="M27" s="26">
        <f>4*C27*(C27-E27)*Q27</f>
        <v>0.19004619187969965</v>
      </c>
      <c r="N27" s="27">
        <f>MP^2+2*MP*E27-M27</f>
        <v>-0.19004619187969965</v>
      </c>
      <c r="O27" s="28" t="e">
        <f>SQRT(N27)</f>
        <v>#NUM!</v>
      </c>
      <c r="P27" s="28">
        <f>PI()*D27/180</f>
        <v>1.0471975511965976</v>
      </c>
      <c r="Q27" s="28">
        <f>(SIN(P27/2))^2</f>
        <v>0.24999999999999994</v>
      </c>
      <c r="R27" s="28">
        <f>1/(1+2*(1+E27^2/M27)*(TAN(P27/2))^2)</f>
        <v>0.57200790092584242</v>
      </c>
      <c r="S27" s="29" t="e">
        <f>(1/137)*(C27-E27)*(N27-MP^2)/((4*PI()^2*M27*MP*C27)*(1-R27))</f>
        <v>#DIV/0!</v>
      </c>
      <c r="T27" s="29" t="e">
        <f>F27/S27</f>
        <v>#DIV/0!</v>
      </c>
      <c r="U27" s="30" t="e">
        <f>G27/S27</f>
        <v>#DIV/0!</v>
      </c>
      <c r="V27" s="24">
        <f>4*(1/137)^2*(1-Q27)*(C27-E27)^2/M27^2</f>
        <v>5.9385468302192482E-4</v>
      </c>
      <c r="W27" s="24">
        <f>(1/V27)*R27*(M27+E27^2)^2/M27^2</f>
        <v>1213.3100881480443</v>
      </c>
      <c r="X27" s="24">
        <f>(M27+E27^2)^2/(4*(1/137)^2*(C27-E27)^2*(1-Q27+2*Q27*(M27+E27^2)/M27))</f>
        <v>1213.3100881480445</v>
      </c>
      <c r="Y27" s="24">
        <f>AD27*X27*F27</f>
        <v>8000.1287803848036</v>
      </c>
      <c r="Z27" s="24">
        <f>AD27*X27*G27</f>
        <v>121.41848064666158</v>
      </c>
      <c r="AA27" s="24">
        <f>R27</f>
        <v>0.57200790092584242</v>
      </c>
      <c r="AB27" s="24">
        <f>Y27/(0.1973269^2*10000000)</f>
        <v>2.0545863176593931E-2</v>
      </c>
      <c r="AC27" s="24">
        <f>Z27/(0.1973269^2*10000000)</f>
        <v>3.1182591667683568E-4</v>
      </c>
      <c r="AD27" s="24">
        <v>1</v>
      </c>
      <c r="AE27" s="24">
        <f>SQRT(M27+E27^2)</f>
        <v>0.46184056680884972</v>
      </c>
      <c r="AF27" s="24"/>
      <c r="AG27" s="24"/>
      <c r="AH27" s="24"/>
      <c r="AI27" s="15"/>
      <c r="AJ27" s="15"/>
      <c r="AK27" s="15"/>
    </row>
    <row r="28" spans="1:37" ht="16" x14ac:dyDescent="0.2">
      <c r="A28" s="12">
        <v>6</v>
      </c>
      <c r="B28" s="12">
        <v>12</v>
      </c>
      <c r="C28" s="13">
        <v>0.51880000000000004</v>
      </c>
      <c r="D28" s="14">
        <v>60</v>
      </c>
      <c r="E28" s="13">
        <f>I28/1000</f>
        <v>0.157894736842105</v>
      </c>
      <c r="F28" s="18">
        <f>J28*$V28*MOUFAC</f>
        <v>6.2823036506564804</v>
      </c>
      <c r="G28" s="18">
        <f>K28*$V28*MOUFAC</f>
        <v>0.10007209355027726</v>
      </c>
      <c r="H28" s="24">
        <v>28</v>
      </c>
      <c r="I28" s="34">
        <v>157.894736842105</v>
      </c>
      <c r="J28" s="36">
        <v>24.780701754385952</v>
      </c>
      <c r="K28" s="36">
        <v>0.39473684210525128</v>
      </c>
      <c r="L28" s="25"/>
      <c r="M28" s="26">
        <f>4*C28*(C28-E28)*Q28</f>
        <v>0.18723765052631594</v>
      </c>
      <c r="N28" s="27">
        <f>MP^2+2*MP*E28-M28</f>
        <v>-0.18723765052631594</v>
      </c>
      <c r="O28" s="28" t="e">
        <f>SQRT(N28)</f>
        <v>#NUM!</v>
      </c>
      <c r="P28" s="28">
        <f>PI()*D28/180</f>
        <v>1.0471975511965976</v>
      </c>
      <c r="Q28" s="28">
        <f>(SIN(P28/2))^2</f>
        <v>0.24999999999999994</v>
      </c>
      <c r="R28" s="28">
        <f>1/(1+2*(1+E28^2/M28)*(TAN(P28/2))^2)</f>
        <v>0.56965984976604933</v>
      </c>
      <c r="S28" s="29" t="e">
        <f>(1/137)*(C28-E28)*(N28-MP^2)/((4*PI()^2*M28*MP*C28)*(1-R28))</f>
        <v>#DIV/0!</v>
      </c>
      <c r="T28" s="29" t="e">
        <f>F28/S28</f>
        <v>#DIV/0!</v>
      </c>
      <c r="U28" s="30" t="e">
        <f>G28/S28</f>
        <v>#DIV/0!</v>
      </c>
      <c r="V28" s="24">
        <f>4*(1/137)^2*(1-Q28)*(C28-E28)^2/M28^2</f>
        <v>5.9385468302192471E-4</v>
      </c>
      <c r="W28" s="24">
        <f>(1/V28)*R28*(M28+E28^2)^2/M28^2</f>
        <v>1231.7156394289752</v>
      </c>
      <c r="X28" s="24">
        <f>(M28+E28^2)^2/(4*(1/137)^2*(C28-E28)^2*(1-Q28+2*Q28*(M28+E28^2)/M28))</f>
        <v>1231.715639428975</v>
      </c>
      <c r="Y28" s="24">
        <f>AD28*X28*F28</f>
        <v>7738.0116581553311</v>
      </c>
      <c r="Z28" s="24">
        <f>AD28*X28*G28</f>
        <v>123.26036269627596</v>
      </c>
      <c r="AA28" s="24">
        <f>R28</f>
        <v>0.56965984976604933</v>
      </c>
      <c r="AB28" s="24">
        <f>Y28/(0.1973269^2*10000000)</f>
        <v>1.9872696196735609E-2</v>
      </c>
      <c r="AC28" s="24">
        <f>Z28/(0.1973269^2*10000000)</f>
        <v>3.1655622260285874E-4</v>
      </c>
      <c r="AD28" s="24">
        <v>1</v>
      </c>
      <c r="AE28" s="24">
        <f>SQRT(M28+E28^2)</f>
        <v>0.46061741005823209</v>
      </c>
      <c r="AF28" s="24"/>
      <c r="AG28" s="24"/>
      <c r="AH28" s="24"/>
      <c r="AI28" s="15"/>
      <c r="AJ28" s="15"/>
      <c r="AK28" s="15"/>
    </row>
    <row r="29" spans="1:37" ht="16" x14ac:dyDescent="0.2">
      <c r="A29" s="12">
        <v>6</v>
      </c>
      <c r="B29" s="12">
        <v>12</v>
      </c>
      <c r="C29" s="13">
        <v>0.51880000000000004</v>
      </c>
      <c r="D29" s="14">
        <v>60</v>
      </c>
      <c r="E29" s="13">
        <f>I29/1000</f>
        <v>0.162406015037594</v>
      </c>
      <c r="F29" s="18">
        <f>J29*$V29*MOUFAC</f>
        <v>5.9598491269944542</v>
      </c>
      <c r="G29" s="18">
        <f>K29*$V29*MOUFAC</f>
        <v>0.11119121505587462</v>
      </c>
      <c r="H29" s="24">
        <v>28</v>
      </c>
      <c r="I29" s="34">
        <v>162.40601503759399</v>
      </c>
      <c r="J29" s="36">
        <v>23.508771929824501</v>
      </c>
      <c r="K29" s="36">
        <v>0.4385964912281004</v>
      </c>
      <c r="L29" s="25"/>
      <c r="M29" s="26">
        <f>4*C29*(C29-E29)*Q29</f>
        <v>0.18489719939849625</v>
      </c>
      <c r="N29" s="27">
        <f>MP^2+2*MP*E29-M29</f>
        <v>-0.18489719939849625</v>
      </c>
      <c r="O29" s="28" t="e">
        <f>SQRT(N29)</f>
        <v>#NUM!</v>
      </c>
      <c r="P29" s="28">
        <f>PI()*D29/180</f>
        <v>1.0471975511965976</v>
      </c>
      <c r="Q29" s="28">
        <f>(SIN(P29/2))^2</f>
        <v>0.24999999999999994</v>
      </c>
      <c r="R29" s="28">
        <f>1/(1+2*(1+E29^2/M29)*(TAN(P29/2))^2)</f>
        <v>0.56761190712397769</v>
      </c>
      <c r="S29" s="29" t="e">
        <f>(1/137)*(C29-E29)*(N29-MP^2)/((4*PI()^2*M29*MP*C29)*(1-R29))</f>
        <v>#DIV/0!</v>
      </c>
      <c r="T29" s="29" t="e">
        <f>F29/S29</f>
        <v>#DIV/0!</v>
      </c>
      <c r="U29" s="30" t="e">
        <f>G29/S29</f>
        <v>#DIV/0!</v>
      </c>
      <c r="V29" s="24">
        <f>4*(1/137)^2*(1-Q29)*(C29-E29)^2/M29^2</f>
        <v>5.9385468302192471E-4</v>
      </c>
      <c r="W29" s="24">
        <f>(1/V29)*R29*(M29+E29^2)^2/M29^2</f>
        <v>1247.953165086838</v>
      </c>
      <c r="X29" s="24">
        <f>(M29+E29^2)^2/(4*(1/137)^2*(C29-E29)^2*(1-Q29+2*Q29*(M29+E29^2)/M29))</f>
        <v>1247.9531650868382</v>
      </c>
      <c r="Y29" s="24">
        <f>AD29*X29*F29</f>
        <v>7437.6125814727584</v>
      </c>
      <c r="Z29" s="24">
        <f>AD29*X29*G29</f>
        <v>138.76142875883002</v>
      </c>
      <c r="AA29" s="24">
        <f>R29</f>
        <v>0.56761190712397769</v>
      </c>
      <c r="AB29" s="24">
        <f>Y29/(0.1973269^2*10000000)</f>
        <v>1.9101213824723288E-2</v>
      </c>
      <c r="AC29" s="24">
        <f>Z29/(0.1973269^2*10000000)</f>
        <v>3.5636592956575844E-4</v>
      </c>
      <c r="AD29" s="24">
        <v>1</v>
      </c>
      <c r="AE29" s="24">
        <f>SQRT(M29+E29^2)</f>
        <v>0.45964433328268878</v>
      </c>
      <c r="AF29" s="24"/>
      <c r="AG29" s="24"/>
      <c r="AH29" s="24"/>
      <c r="AI29" s="15"/>
      <c r="AJ29" s="15"/>
      <c r="AK29" s="15"/>
    </row>
    <row r="30" spans="1:37" ht="16" x14ac:dyDescent="0.2">
      <c r="A30" s="12">
        <v>6</v>
      </c>
      <c r="B30" s="12">
        <v>12</v>
      </c>
      <c r="C30" s="13">
        <v>0.51880000000000004</v>
      </c>
      <c r="D30" s="14">
        <v>60</v>
      </c>
      <c r="E30" s="13">
        <f>I30/1000</f>
        <v>0.16781954887218001</v>
      </c>
      <c r="F30" s="18">
        <f>J30*$V30*MOUFAC</f>
        <v>5.6485137248380255</v>
      </c>
      <c r="G30" s="18">
        <f>K30*$V30*MOUFAC</f>
        <v>0.11119121505587418</v>
      </c>
      <c r="H30" s="24">
        <v>28</v>
      </c>
      <c r="I30" s="34">
        <v>167.81954887218001</v>
      </c>
      <c r="J30" s="36">
        <v>22.280701754385902</v>
      </c>
      <c r="K30" s="36">
        <v>0.43859649122809863</v>
      </c>
      <c r="L30" s="25"/>
      <c r="M30" s="26">
        <f>4*C30*(C30-E30)*Q30</f>
        <v>0.18208865804511304</v>
      </c>
      <c r="N30" s="27">
        <f>MP^2+2*MP*E30-M30</f>
        <v>-0.18208865804511304</v>
      </c>
      <c r="O30" s="28" t="e">
        <f>SQRT(N30)</f>
        <v>#NUM!</v>
      </c>
      <c r="P30" s="28">
        <f>PI()*D30/180</f>
        <v>1.0471975511965976</v>
      </c>
      <c r="Q30" s="28">
        <f>(SIN(P30/2))^2</f>
        <v>0.24999999999999994</v>
      </c>
      <c r="R30" s="28">
        <f>1/(1+2*(1+E30^2/M30)*(TAN(P30/2))^2)</f>
        <v>0.56504227690397835</v>
      </c>
      <c r="S30" s="29" t="e">
        <f>(1/137)*(C30-E30)*(N30-MP^2)/((4*PI()^2*M30*MP*C30)*(1-R30))</f>
        <v>#DIV/0!</v>
      </c>
      <c r="T30" s="29" t="e">
        <f>F30/S30</f>
        <v>#DIV/0!</v>
      </c>
      <c r="U30" s="30" t="e">
        <f>G30/S30</f>
        <v>#DIV/0!</v>
      </c>
      <c r="V30" s="24">
        <f>4*(1/137)^2*(1-Q30)*(C30-E30)^2/M30^2</f>
        <v>5.9385468302192471E-4</v>
      </c>
      <c r="W30" s="24">
        <f>(1/V30)*R30*(M30+E30^2)^2/M30^2</f>
        <v>1268.5730544333653</v>
      </c>
      <c r="X30" s="24">
        <f>(M30+E30^2)^2/(4*(1/137)^2*(C30-E30)^2*(1-Q30+2*Q30*(M30+E30^2)/M30))</f>
        <v>1268.5730544333653</v>
      </c>
      <c r="Y30" s="24">
        <f>AD30*X30*F30</f>
        <v>7165.5523089265598</v>
      </c>
      <c r="Z30" s="24">
        <f>AD30*X30*G30</f>
        <v>141.05417930958751</v>
      </c>
      <c r="AA30" s="24">
        <f>R30</f>
        <v>0.56504227690397835</v>
      </c>
      <c r="AB30" s="24">
        <f>Y30/(0.1973269^2*10000000)</f>
        <v>1.8402510930186609E-2</v>
      </c>
      <c r="AC30" s="24">
        <f>Z30/(0.1973269^2*10000000)</f>
        <v>3.6225415216905232E-4</v>
      </c>
      <c r="AD30" s="24">
        <v>1</v>
      </c>
      <c r="AE30" s="24">
        <f>SQRT(M30+E30^2)</f>
        <v>0.45853250596743417</v>
      </c>
      <c r="AF30" s="24"/>
      <c r="AG30" s="24"/>
      <c r="AH30" s="24"/>
      <c r="AI30" s="15"/>
      <c r="AJ30" s="15"/>
      <c r="AK30" s="15"/>
    </row>
    <row r="31" spans="1:37" ht="16" x14ac:dyDescent="0.2">
      <c r="A31" s="12">
        <v>6</v>
      </c>
      <c r="B31" s="12">
        <v>12</v>
      </c>
      <c r="C31" s="13">
        <v>0.51880000000000004</v>
      </c>
      <c r="D31" s="14">
        <v>60</v>
      </c>
      <c r="E31" s="13">
        <f>I31/1000</f>
        <v>0.17278195488721801</v>
      </c>
      <c r="F31" s="18">
        <f>J31*$V31*MOUFAC</f>
        <v>5.3260592011760108</v>
      </c>
      <c r="G31" s="18">
        <f>K31*$V31*MOUFAC</f>
        <v>0.10007209355028984</v>
      </c>
      <c r="H31" s="24">
        <v>28</v>
      </c>
      <c r="I31" s="34">
        <v>172.78195488721801</v>
      </c>
      <c r="J31" s="36">
        <v>21.008771929824498</v>
      </c>
      <c r="K31" s="36">
        <v>0.39473684210530102</v>
      </c>
      <c r="L31" s="25"/>
      <c r="M31" s="26">
        <f>4*C31*(C31-E31)*Q31</f>
        <v>0.1795141618045113</v>
      </c>
      <c r="N31" s="27">
        <f>MP^2+2*MP*E31-M31</f>
        <v>-0.1795141618045113</v>
      </c>
      <c r="O31" s="28" t="e">
        <f>SQRT(N31)</f>
        <v>#NUM!</v>
      </c>
      <c r="P31" s="28">
        <f>PI()*D31/180</f>
        <v>1.0471975511965976</v>
      </c>
      <c r="Q31" s="28">
        <f>(SIN(P31/2))^2</f>
        <v>0.24999999999999994</v>
      </c>
      <c r="R31" s="28">
        <f>1/(1+2*(1+E31^2/M31)*(TAN(P31/2))^2)</f>
        <v>0.56257688561793706</v>
      </c>
      <c r="S31" s="29" t="e">
        <f>(1/137)*(C31-E31)*(N31-MP^2)/((4*PI()^2*M31*MP*C31)*(1-R31))</f>
        <v>#DIV/0!</v>
      </c>
      <c r="T31" s="29" t="e">
        <f>F31/S31</f>
        <v>#DIV/0!</v>
      </c>
      <c r="U31" s="30" t="e">
        <f>G31/S31</f>
        <v>#DIV/0!</v>
      </c>
      <c r="V31" s="24">
        <f>4*(1/137)^2*(1-Q31)*(C31-E31)^2/M31^2</f>
        <v>5.9385468302192461E-4</v>
      </c>
      <c r="W31" s="24">
        <f>(1/V31)*R31*(M31+E31^2)^2/M31^2</f>
        <v>1288.6171433317591</v>
      </c>
      <c r="X31" s="24">
        <f>(M31+E31^2)^2/(4*(1/137)^2*(C31-E31)^2*(1-Q31+2*Q31*(M31+E31^2)/M31))</f>
        <v>1288.6171433317588</v>
      </c>
      <c r="Y31" s="24">
        <f>AD31*X31*F31</f>
        <v>6863.2511930352603</v>
      </c>
      <c r="Z31" s="24">
        <f>AD31*X31*G31</f>
        <v>128.95461531800302</v>
      </c>
      <c r="AA31" s="24">
        <f>R31</f>
        <v>0.56257688561793706</v>
      </c>
      <c r="AB31" s="24">
        <f>Y31/(0.1973269^2*10000000)</f>
        <v>1.7626143757140233E-2</v>
      </c>
      <c r="AC31" s="24">
        <f>Z31/(0.1973269^2*10000000)</f>
        <v>3.311801541007887E-4</v>
      </c>
      <c r="AD31" s="24">
        <v>1</v>
      </c>
      <c r="AE31" s="24">
        <f>SQRT(M31+E31^2)</f>
        <v>0.45756722537694933</v>
      </c>
      <c r="AF31" s="24"/>
      <c r="AG31" s="24"/>
      <c r="AH31" s="24"/>
      <c r="AI31" s="15"/>
      <c r="AJ31" s="15"/>
      <c r="AK31" s="15"/>
    </row>
    <row r="32" spans="1:37" ht="16" x14ac:dyDescent="0.2">
      <c r="A32" s="12">
        <v>6</v>
      </c>
      <c r="B32" s="12">
        <v>12</v>
      </c>
      <c r="C32" s="13">
        <v>0.51880000000000004</v>
      </c>
      <c r="D32" s="14">
        <v>60</v>
      </c>
      <c r="E32" s="13">
        <f>I32/1000</f>
        <v>0.17774436090225501</v>
      </c>
      <c r="F32" s="18">
        <f>J32*$V32*MOUFAC</f>
        <v>5.0036046775139988</v>
      </c>
      <c r="G32" s="18">
        <f>K32*$V32*MOUFAC</f>
        <v>0.11119121505587462</v>
      </c>
      <c r="H32" s="24">
        <v>28</v>
      </c>
      <c r="I32" s="34">
        <v>177.74436090225501</v>
      </c>
      <c r="J32" s="36">
        <v>19.736842105263101</v>
      </c>
      <c r="K32" s="36">
        <v>0.4385964912281004</v>
      </c>
      <c r="L32" s="25"/>
      <c r="M32" s="26">
        <f>4*C32*(C32-E32)*Q32</f>
        <v>0.17693966556391011</v>
      </c>
      <c r="N32" s="27">
        <f>MP^2+2*MP*E32-M32</f>
        <v>-0.17693966556391011</v>
      </c>
      <c r="O32" s="28" t="e">
        <f>SQRT(N32)</f>
        <v>#NUM!</v>
      </c>
      <c r="P32" s="28">
        <f>PI()*D32/180</f>
        <v>1.0471975511965976</v>
      </c>
      <c r="Q32" s="28">
        <f>(SIN(P32/2))^2</f>
        <v>0.24999999999999994</v>
      </c>
      <c r="R32" s="28">
        <f>1/(1+2*(1+E32^2/M32)*(TAN(P32/2))^2)</f>
        <v>0.56000391222827883</v>
      </c>
      <c r="S32" s="29" t="e">
        <f>(1/137)*(C32-E32)*(N32-MP^2)/((4*PI()^2*M32*MP*C32)*(1-R32))</f>
        <v>#DIV/0!</v>
      </c>
      <c r="T32" s="29" t="e">
        <f>F32/S32</f>
        <v>#DIV/0!</v>
      </c>
      <c r="U32" s="30" t="e">
        <f>G32/S32</f>
        <v>#DIV/0!</v>
      </c>
      <c r="V32" s="24">
        <f>4*(1/137)^2*(1-Q32)*(C32-E32)^2/M32^2</f>
        <v>5.9385468302192471E-4</v>
      </c>
      <c r="W32" s="24">
        <f>(1/V32)*R32*(M32+E32^2)^2/M32^2</f>
        <v>1309.8118084525804</v>
      </c>
      <c r="X32" s="24">
        <f>(M32+E32^2)^2/(4*(1/137)^2*(C32-E32)^2*(1-Q32+2*Q32*(M32+E32^2)/M32))</f>
        <v>1309.8118084525802</v>
      </c>
      <c r="Y32" s="24">
        <f>AD32*X32*F32</f>
        <v>6553.7804914363996</v>
      </c>
      <c r="Z32" s="24">
        <f>AD32*X32*G32</f>
        <v>145.63956647637491</v>
      </c>
      <c r="AA32" s="24">
        <f>R32</f>
        <v>0.56000391222827883</v>
      </c>
      <c r="AB32" s="24">
        <f>Y32/(0.1973269^2*10000000)</f>
        <v>1.6831363714623359E-2</v>
      </c>
      <c r="AC32" s="24">
        <f>Z32/(0.1973269^2*10000000)</f>
        <v>3.7403030476943486E-4</v>
      </c>
      <c r="AD32" s="24">
        <v>1</v>
      </c>
      <c r="AE32" s="24">
        <f>SQRT(M32+E32^2)</f>
        <v>0.45665383322212588</v>
      </c>
      <c r="AF32" s="24"/>
      <c r="AG32" s="24"/>
      <c r="AH32" s="24"/>
      <c r="AI32" s="15"/>
      <c r="AJ32" s="15"/>
      <c r="AK32" s="15"/>
    </row>
    <row r="33" spans="1:37" ht="16" x14ac:dyDescent="0.2">
      <c r="A33" s="12">
        <v>6</v>
      </c>
      <c r="B33" s="12">
        <v>12</v>
      </c>
      <c r="C33" s="13">
        <v>0.51880000000000004</v>
      </c>
      <c r="D33" s="14">
        <v>60</v>
      </c>
      <c r="E33" s="13">
        <f>I33/1000</f>
        <v>0.182255639097744</v>
      </c>
      <c r="F33" s="18">
        <f>J33*$V33*MOUFAC</f>
        <v>4.64779278933523</v>
      </c>
      <c r="G33" s="18">
        <f>K33*$V33*MOUFAC</f>
        <v>0.11119121505587459</v>
      </c>
      <c r="H33" s="24">
        <v>28</v>
      </c>
      <c r="I33" s="34">
        <v>182.25563909774399</v>
      </c>
      <c r="J33" s="36">
        <v>18.3333333333333</v>
      </c>
      <c r="K33" s="36">
        <v>0.4385964912281004</v>
      </c>
      <c r="L33" s="25"/>
      <c r="M33" s="26">
        <f>4*C33*(C33-E33)*Q33</f>
        <v>0.17459921443609042</v>
      </c>
      <c r="N33" s="27">
        <f>MP^2+2*MP*E33-M33</f>
        <v>-0.17459921443609042</v>
      </c>
      <c r="O33" s="28" t="e">
        <f>SQRT(N33)</f>
        <v>#NUM!</v>
      </c>
      <c r="P33" s="28">
        <f>PI()*D33/180</f>
        <v>1.0471975511965976</v>
      </c>
      <c r="Q33" s="28">
        <f>(SIN(P33/2))^2</f>
        <v>0.24999999999999994</v>
      </c>
      <c r="R33" s="28">
        <f>1/(1+2*(1+E33^2/M33)*(TAN(P33/2))^2)</f>
        <v>0.557569453280504</v>
      </c>
      <c r="S33" s="29" t="e">
        <f>(1/137)*(C33-E33)*(N33-MP^2)/((4*PI()^2*M33*MP*C33)*(1-R33))</f>
        <v>#DIV/0!</v>
      </c>
      <c r="T33" s="29" t="e">
        <f>F33/S33</f>
        <v>#DIV/0!</v>
      </c>
      <c r="U33" s="30" t="e">
        <f>G33/S33</f>
        <v>#DIV/0!</v>
      </c>
      <c r="V33" s="24">
        <f>4*(1/137)^2*(1-Q33)*(C33-E33)^2/M33^2</f>
        <v>5.9385468302192461E-4</v>
      </c>
      <c r="W33" s="24">
        <f>(1/V33)*R33*(M33+E33^2)^2/M33^2</f>
        <v>1330.1284065294494</v>
      </c>
      <c r="X33" s="24">
        <f>(M33+E33^2)^2/(4*(1/137)^2*(C33-E33)^2*(1-Q33+2*Q33*(M33+E33^2)/M33))</f>
        <v>1330.1284065294494</v>
      </c>
      <c r="Y33" s="24">
        <f>AD33*X33*F33</f>
        <v>6182.161216757534</v>
      </c>
      <c r="Z33" s="24">
        <f>AD33*X33*G33</f>
        <v>147.89859370234379</v>
      </c>
      <c r="AA33" s="24">
        <f>R33</f>
        <v>0.557569453280504</v>
      </c>
      <c r="AB33" s="24">
        <f>Y33/(0.1973269^2*10000000)</f>
        <v>1.5876974231536837E-2</v>
      </c>
      <c r="AC33" s="24">
        <f>Z33/(0.1973269^2*10000000)</f>
        <v>3.7983191941478369E-4</v>
      </c>
      <c r="AD33" s="24">
        <v>1</v>
      </c>
      <c r="AE33" s="24">
        <f>SQRT(M33+E33^2)</f>
        <v>0.45586876666318954</v>
      </c>
      <c r="AF33" s="24"/>
      <c r="AG33" s="24"/>
      <c r="AH33" s="24"/>
      <c r="AI33" s="15"/>
      <c r="AJ33" s="15"/>
      <c r="AK33" s="15"/>
    </row>
    <row r="34" spans="1:37" ht="16" x14ac:dyDescent="0.2">
      <c r="A34" s="12">
        <v>6</v>
      </c>
      <c r="B34" s="12">
        <v>12</v>
      </c>
      <c r="C34" s="13">
        <v>0.51880000000000004</v>
      </c>
      <c r="D34" s="14">
        <v>60</v>
      </c>
      <c r="E34" s="13">
        <f>I34/1000</f>
        <v>0.18721804511278101</v>
      </c>
      <c r="F34" s="18">
        <f>J34*$V34*MOUFAC</f>
        <v>4.2586235366396812</v>
      </c>
      <c r="G34" s="18">
        <f>K34*$V34*MOUFAC</f>
        <v>0.14454857957262932</v>
      </c>
      <c r="H34" s="24">
        <v>28</v>
      </c>
      <c r="I34" s="34">
        <v>187.218045112781</v>
      </c>
      <c r="J34" s="36">
        <v>16.798245614035</v>
      </c>
      <c r="K34" s="36">
        <v>0.57017543859650033</v>
      </c>
      <c r="L34" s="25"/>
      <c r="M34" s="26">
        <f>4*C34*(C34-E34)*Q34</f>
        <v>0.17202471819548923</v>
      </c>
      <c r="N34" s="27">
        <f>MP^2+2*MP*E34-M34</f>
        <v>-0.17202471819548923</v>
      </c>
      <c r="O34" s="28" t="e">
        <f>SQRT(N34)</f>
        <v>#NUM!</v>
      </c>
      <c r="P34" s="28">
        <f>PI()*D34/180</f>
        <v>1.0471975511965976</v>
      </c>
      <c r="Q34" s="28">
        <f>(SIN(P34/2))^2</f>
        <v>0.24999999999999994</v>
      </c>
      <c r="R34" s="28">
        <f>1/(1+2*(1+E34^2/M34)*(TAN(P34/2))^2)</f>
        <v>0.55478435273806803</v>
      </c>
      <c r="S34" s="29" t="e">
        <f>(1/137)*(C34-E34)*(N34-MP^2)/((4*PI()^2*M34*MP*C34)*(1-R34))</f>
        <v>#DIV/0!</v>
      </c>
      <c r="T34" s="29" t="e">
        <f>F34/S34</f>
        <v>#DIV/0!</v>
      </c>
      <c r="U34" s="30" t="e">
        <f>G34/S34</f>
        <v>#DIV/0!</v>
      </c>
      <c r="V34" s="24">
        <f>4*(1/137)^2*(1-Q34)*(C34-E34)^2/M34^2</f>
        <v>5.9385468302192461E-4</v>
      </c>
      <c r="W34" s="24">
        <f>(1/V34)*R34*(M34+E34^2)^2/M34^2</f>
        <v>1353.6892111675641</v>
      </c>
      <c r="X34" s="24">
        <f>(M34+E34^2)^2/(4*(1/137)^2*(C34-E34)^2*(1-Q34+2*Q34*(M34+E34^2)/M34))</f>
        <v>1353.6892111675643</v>
      </c>
      <c r="Y34" s="24">
        <f>AD34*X34*F34</f>
        <v>5764.8527359733926</v>
      </c>
      <c r="Z34" s="24">
        <f>AD34*X34*G34</f>
        <v>195.67385265706449</v>
      </c>
      <c r="AA34" s="24">
        <f>R34</f>
        <v>0.55478435273806803</v>
      </c>
      <c r="AB34" s="24">
        <f>Y34/(0.1973269^2*10000000)</f>
        <v>1.4805246115153835E-2</v>
      </c>
      <c r="AC34" s="24">
        <f>Z34/(0.1973269^2*10000000)</f>
        <v>5.0252793602350904E-4</v>
      </c>
      <c r="AD34" s="24">
        <v>1</v>
      </c>
      <c r="AE34" s="24">
        <f>SQRT(M34+E34^2)</f>
        <v>0.45505528742268292</v>
      </c>
      <c r="AF34" s="24"/>
      <c r="AG34" s="24"/>
      <c r="AH34" s="24"/>
      <c r="AI34" s="15"/>
      <c r="AJ34" s="15"/>
      <c r="AK34" s="15"/>
    </row>
    <row r="35" spans="1:37" ht="16" x14ac:dyDescent="0.2">
      <c r="A35" s="12">
        <v>6</v>
      </c>
      <c r="B35" s="12">
        <v>12</v>
      </c>
      <c r="C35" s="13">
        <v>0.51880000000000004</v>
      </c>
      <c r="D35" s="14">
        <v>60</v>
      </c>
      <c r="E35" s="13">
        <f>I35/1000</f>
        <v>0.19172932330827</v>
      </c>
      <c r="F35" s="18">
        <f>J35*$V35*MOUFAC</f>
        <v>3.8249777979218074</v>
      </c>
      <c r="G35" s="18">
        <f>K35*$V35*MOUFAC</f>
        <v>0.1111912150558618</v>
      </c>
      <c r="H35" s="24">
        <v>28</v>
      </c>
      <c r="I35" s="34">
        <v>191.72932330827001</v>
      </c>
      <c r="J35" s="36">
        <v>15.087719298245549</v>
      </c>
      <c r="K35" s="36">
        <v>0.43859649122804978</v>
      </c>
      <c r="L35" s="25"/>
      <c r="M35" s="26">
        <f>4*C35*(C35-E35)*Q35</f>
        <v>0.16968426706766954</v>
      </c>
      <c r="N35" s="27">
        <f>MP^2+2*MP*E35-M35</f>
        <v>-0.16968426706766954</v>
      </c>
      <c r="O35" s="28" t="e">
        <f>SQRT(N35)</f>
        <v>#NUM!</v>
      </c>
      <c r="P35" s="28">
        <f>PI()*D35/180</f>
        <v>1.0471975511965976</v>
      </c>
      <c r="Q35" s="28">
        <f>(SIN(P35/2))^2</f>
        <v>0.24999999999999994</v>
      </c>
      <c r="R35" s="28">
        <f>1/(1+2*(1+E35^2/M35)*(TAN(P35/2))^2)</f>
        <v>0.55215297802417407</v>
      </c>
      <c r="S35" s="29" t="e">
        <f>(1/137)*(C35-E35)*(N35-MP^2)/((4*PI()^2*M35*MP*C35)*(1-R35))</f>
        <v>#DIV/0!</v>
      </c>
      <c r="T35" s="29" t="e">
        <f>F35/S35</f>
        <v>#DIV/0!</v>
      </c>
      <c r="U35" s="30" t="e">
        <f>G35/S35</f>
        <v>#DIV/0!</v>
      </c>
      <c r="V35" s="24">
        <f>4*(1/137)^2*(1-Q35)*(C35-E35)^2/M35^2</f>
        <v>5.9385468302192471E-4</v>
      </c>
      <c r="W35" s="24">
        <f>(1/V35)*R35*(M35+E35^2)^2/M35^2</f>
        <v>1376.2657274840146</v>
      </c>
      <c r="X35" s="24">
        <f>(M35+E35^2)^2/(4*(1/137)^2*(C35-E35)^2*(1-Q35+2*Q35*(M35+E35^2)/M35))</f>
        <v>1376.2657274840149</v>
      </c>
      <c r="Y35" s="24">
        <f>AD35*X35*F35</f>
        <v>5264.1858516670618</v>
      </c>
      <c r="Z35" s="24">
        <f>AD35*X35*G35</f>
        <v>153.02865847868719</v>
      </c>
      <c r="AA35" s="24">
        <f>R35</f>
        <v>0.55215297802417407</v>
      </c>
      <c r="AB35" s="24">
        <f>Y35/(0.1973269^2*10000000)</f>
        <v>1.3519437650766256E-2</v>
      </c>
      <c r="AC35" s="24">
        <f>Z35/(0.1973269^2*10000000)</f>
        <v>3.9300690845249086E-4</v>
      </c>
      <c r="AD35" s="24">
        <v>1</v>
      </c>
      <c r="AE35" s="24">
        <f>SQRT(M35+E35^2)</f>
        <v>0.45436153059421375</v>
      </c>
      <c r="AF35" s="24"/>
      <c r="AG35" s="24"/>
      <c r="AH35" s="24"/>
      <c r="AI35" s="15"/>
      <c r="AJ35" s="15"/>
      <c r="AK35" s="15"/>
    </row>
    <row r="36" spans="1:37" ht="16" x14ac:dyDescent="0.2">
      <c r="A36" s="12">
        <v>6</v>
      </c>
      <c r="B36" s="12">
        <v>12</v>
      </c>
      <c r="C36" s="13">
        <v>0.51880000000000004</v>
      </c>
      <c r="D36" s="14">
        <v>60</v>
      </c>
      <c r="E36" s="13">
        <f>I36/1000</f>
        <v>0.19714285714285701</v>
      </c>
      <c r="F36" s="18">
        <f>J36*$V36*MOUFAC</f>
        <v>3.6470718538324221</v>
      </c>
      <c r="G36" s="18">
        <f>K36*$V36*MOUFAC</f>
        <v>0.11119121505586177</v>
      </c>
      <c r="H36" s="24">
        <v>28</v>
      </c>
      <c r="I36" s="34">
        <v>197.142857142857</v>
      </c>
      <c r="J36" s="36">
        <v>14.385964912280649</v>
      </c>
      <c r="K36" s="36">
        <v>0.43859649122804978</v>
      </c>
      <c r="L36" s="25"/>
      <c r="M36" s="26">
        <f>4*C36*(C36-E36)*Q36</f>
        <v>0.1668757257142858</v>
      </c>
      <c r="N36" s="27">
        <f>MP^2+2*MP*E36-M36</f>
        <v>-0.1668757257142858</v>
      </c>
      <c r="O36" s="28" t="e">
        <f>SQRT(N36)</f>
        <v>#NUM!</v>
      </c>
      <c r="P36" s="28">
        <f>PI()*D36/180</f>
        <v>1.0471975511965976</v>
      </c>
      <c r="Q36" s="28">
        <f>(SIN(P36/2))^2</f>
        <v>0.24999999999999994</v>
      </c>
      <c r="R36" s="28">
        <f>1/(1+2*(1+E36^2/M36)*(TAN(P36/2))^2)</f>
        <v>0.54886756403739767</v>
      </c>
      <c r="S36" s="29" t="e">
        <f>(1/137)*(C36-E36)*(N36-MP^2)/((4*PI()^2*M36*MP*C36)*(1-R36))</f>
        <v>#DIV/0!</v>
      </c>
      <c r="T36" s="29" t="e">
        <f>F36/S36</f>
        <v>#DIV/0!</v>
      </c>
      <c r="U36" s="30" t="e">
        <f>G36/S36</f>
        <v>#DIV/0!</v>
      </c>
      <c r="V36" s="24">
        <f>4*(1/137)^2*(1-Q36)*(C36-E36)^2/M36^2</f>
        <v>5.9385468302192461E-4</v>
      </c>
      <c r="W36" s="24">
        <f>(1/V36)*R36*(M36+E36^2)^2/M36^2</f>
        <v>1404.8917857129886</v>
      </c>
      <c r="X36" s="24">
        <f>(M36+E36^2)^2/(4*(1/137)^2*(C36-E36)^2*(1-Q36+2*Q36*(M36+E36^2)/M36))</f>
        <v>1404.8917857129886</v>
      </c>
      <c r="Y36" s="24">
        <f>AD36*X36*F36</f>
        <v>5123.7412893542114</v>
      </c>
      <c r="Z36" s="24">
        <f>AD36*X36*G36</f>
        <v>156.21162467542658</v>
      </c>
      <c r="AA36" s="24">
        <f>R36</f>
        <v>0.54886756403739767</v>
      </c>
      <c r="AB36" s="24">
        <f>Y36/(0.1973269^2*10000000)</f>
        <v>1.3158749111820306E-2</v>
      </c>
      <c r="AC36" s="24">
        <f>Z36/(0.1973269^2*10000000)</f>
        <v>4.01181375360358E-4</v>
      </c>
      <c r="AD36" s="24">
        <v>1</v>
      </c>
      <c r="AE36" s="24">
        <f>SQRT(M36+E36^2)</f>
        <v>0.45358685148131744</v>
      </c>
      <c r="AF36" s="24"/>
      <c r="AG36" s="24"/>
      <c r="AH36" s="24"/>
      <c r="AI36" s="15"/>
      <c r="AJ36" s="15"/>
      <c r="AK36" s="15"/>
    </row>
    <row r="37" spans="1:37" ht="16" x14ac:dyDescent="0.2">
      <c r="A37" s="12">
        <v>6</v>
      </c>
      <c r="B37" s="12">
        <v>12</v>
      </c>
      <c r="C37" s="13">
        <v>0.51880000000000004</v>
      </c>
      <c r="D37" s="14">
        <v>60</v>
      </c>
      <c r="E37" s="13">
        <f>I37/1000</f>
        <v>0.20210526315789401</v>
      </c>
      <c r="F37" s="18">
        <f>J37*$V37*MOUFAC</f>
        <v>3.4358085452262843</v>
      </c>
      <c r="G37" s="18">
        <f>K37*$V37*MOUFAC</f>
        <v>0.10007209355027681</v>
      </c>
      <c r="H37" s="24">
        <v>28</v>
      </c>
      <c r="I37" s="34">
        <v>202.105263157894</v>
      </c>
      <c r="J37" s="36">
        <v>13.55263157894735</v>
      </c>
      <c r="K37" s="36">
        <v>0.39473684210524951</v>
      </c>
      <c r="L37" s="25"/>
      <c r="M37" s="26">
        <f>4*C37*(C37-E37)*Q37</f>
        <v>0.16430122947368458</v>
      </c>
      <c r="N37" s="27">
        <f>MP^2+2*MP*E37-M37</f>
        <v>-0.16430122947368458</v>
      </c>
      <c r="O37" s="28" t="e">
        <f>SQRT(N37)</f>
        <v>#NUM!</v>
      </c>
      <c r="P37" s="28">
        <f>PI()*D37/180</f>
        <v>1.0471975511965976</v>
      </c>
      <c r="Q37" s="28">
        <f>(SIN(P37/2))^2</f>
        <v>0.24999999999999994</v>
      </c>
      <c r="R37" s="28">
        <f>1/(1+2*(1+E37^2/M37)*(TAN(P37/2))^2)</f>
        <v>0.54573086017712868</v>
      </c>
      <c r="S37" s="29" t="e">
        <f>(1/137)*(C37-E37)*(N37-MP^2)/((4*PI()^2*M37*MP*C37)*(1-R37))</f>
        <v>#DIV/0!</v>
      </c>
      <c r="T37" s="29" t="e">
        <f>F37/S37</f>
        <v>#DIV/0!</v>
      </c>
      <c r="U37" s="30" t="e">
        <f>G37/S37</f>
        <v>#DIV/0!</v>
      </c>
      <c r="V37" s="24">
        <f>4*(1/137)^2*(1-Q37)*(C37-E37)^2/M37^2</f>
        <v>5.9385468302192471E-4</v>
      </c>
      <c r="W37" s="24">
        <f>(1/V37)*R37*(M37+E37^2)^2/M37^2</f>
        <v>1432.6835969400743</v>
      </c>
      <c r="X37" s="24">
        <f>(M37+E37^2)^2/(4*(1/137)^2*(C37-E37)^2*(1-Q37+2*Q37*(M37+E37^2)/M37))</f>
        <v>1432.683596940074</v>
      </c>
      <c r="Y37" s="24">
        <f>AD37*X37*F37</f>
        <v>4922.4265449722361</v>
      </c>
      <c r="Z37" s="24">
        <f>AD37*X37*G37</f>
        <v>143.37164694093417</v>
      </c>
      <c r="AA37" s="24">
        <f>R37</f>
        <v>0.54573086017712868</v>
      </c>
      <c r="AB37" s="24">
        <f>Y37/(0.1973269^2*10000000)</f>
        <v>1.2641734285303463E-2</v>
      </c>
      <c r="AC37" s="24">
        <f>Z37/(0.1973269^2*10000000)</f>
        <v>3.682058529699916E-4</v>
      </c>
      <c r="AD37" s="24">
        <v>1</v>
      </c>
      <c r="AE37" s="24">
        <f>SQRT(M37+E37^2)</f>
        <v>0.4529324087209991</v>
      </c>
      <c r="AF37" s="24"/>
      <c r="AG37" s="24"/>
      <c r="AH37" s="24"/>
      <c r="AI37" s="15"/>
      <c r="AJ37" s="15"/>
      <c r="AK37" s="15"/>
    </row>
    <row r="38" spans="1:37" ht="16" x14ac:dyDescent="0.2">
      <c r="A38" s="12">
        <v>6</v>
      </c>
      <c r="B38" s="12">
        <v>12</v>
      </c>
      <c r="C38" s="13">
        <v>0.51880000000000004</v>
      </c>
      <c r="D38" s="14">
        <v>60</v>
      </c>
      <c r="E38" s="13">
        <f>I38/1000</f>
        <v>0.20706766917293201</v>
      </c>
      <c r="F38" s="18">
        <f>J38*$V38*MOUFAC</f>
        <v>3.1689496290921957</v>
      </c>
      <c r="G38" s="18">
        <f>K38*$V38*MOUFAC</f>
        <v>0.12231033656144678</v>
      </c>
      <c r="H38" s="24">
        <v>28</v>
      </c>
      <c r="I38" s="34">
        <v>207.067669172932</v>
      </c>
      <c r="J38" s="36">
        <v>12.49999999999995</v>
      </c>
      <c r="K38" s="36">
        <v>0.48245614035085005</v>
      </c>
      <c r="L38" s="25"/>
      <c r="M38" s="26">
        <f>4*C38*(C38-E38)*Q38</f>
        <v>0.16172673323308287</v>
      </c>
      <c r="N38" s="27">
        <f>MP^2+2*MP*E38-M38</f>
        <v>-0.16172673323308287</v>
      </c>
      <c r="O38" s="28" t="e">
        <f>SQRT(N38)</f>
        <v>#NUM!</v>
      </c>
      <c r="P38" s="28">
        <f>PI()*D38/180</f>
        <v>1.0471975511965976</v>
      </c>
      <c r="Q38" s="28">
        <f>(SIN(P38/2))^2</f>
        <v>0.24999999999999994</v>
      </c>
      <c r="R38" s="28">
        <f>1/(1+2*(1+E38^2/M38)*(TAN(P38/2))^2)</f>
        <v>0.54247190202921169</v>
      </c>
      <c r="S38" s="29" t="e">
        <f>(1/137)*(C38-E38)*(N38-MP^2)/((4*PI()^2*M38*MP*C38)*(1-R38))</f>
        <v>#DIV/0!</v>
      </c>
      <c r="T38" s="29" t="e">
        <f>F38/S38</f>
        <v>#DIV/0!</v>
      </c>
      <c r="U38" s="30" t="e">
        <f>G38/S38</f>
        <v>#DIV/0!</v>
      </c>
      <c r="V38" s="24">
        <f>4*(1/137)^2*(1-Q38)*(C38-E38)^2/M38^2</f>
        <v>5.9385468302192471E-4</v>
      </c>
      <c r="W38" s="24">
        <f>(1/V38)*R38*(M38+E38^2)^2/M38^2</f>
        <v>1462.0446129859472</v>
      </c>
      <c r="X38" s="24">
        <f>(M38+E38^2)^2/(4*(1/137)^2*(C38-E38)^2*(1-Q38+2*Q38*(M38+E38^2)/M38))</f>
        <v>1462.0446129859467</v>
      </c>
      <c r="Y38" s="24">
        <f>AD38*X38*F38</f>
        <v>4633.1457340380584</v>
      </c>
      <c r="Z38" s="24">
        <f>AD38*X38*G38</f>
        <v>178.82316868216137</v>
      </c>
      <c r="AA38" s="24">
        <f>R38</f>
        <v>0.54247190202921169</v>
      </c>
      <c r="AB38" s="24">
        <f>Y38/(0.1973269^2*10000000)</f>
        <v>1.1898805749497835E-2</v>
      </c>
      <c r="AC38" s="24">
        <f>Z38/(0.1973269^2*10000000)</f>
        <v>4.5925215173498027E-4</v>
      </c>
      <c r="AD38" s="24">
        <v>1</v>
      </c>
      <c r="AE38" s="24">
        <f>SQRT(M38+E38^2)</f>
        <v>0.45233146347539621</v>
      </c>
      <c r="AF38" s="24"/>
      <c r="AG38" s="24"/>
      <c r="AH38" s="24"/>
      <c r="AI38" s="15"/>
      <c r="AJ38" s="15"/>
      <c r="AK38" s="15"/>
    </row>
    <row r="39" spans="1:37" ht="16" x14ac:dyDescent="0.2">
      <c r="A39" s="12">
        <v>6</v>
      </c>
      <c r="B39" s="12">
        <v>12</v>
      </c>
      <c r="C39" s="13">
        <v>0.51880000000000004</v>
      </c>
      <c r="D39" s="14">
        <v>60</v>
      </c>
      <c r="E39" s="13">
        <f>I39/1000</f>
        <v>0.21157894736842101</v>
      </c>
      <c r="F39" s="18">
        <f>J39*$V39*MOUFAC</f>
        <v>3.1022349000586735</v>
      </c>
      <c r="G39" s="18">
        <f>K39*$V39*MOUFAC</f>
        <v>0.10007209355028963</v>
      </c>
      <c r="H39" s="24">
        <v>28</v>
      </c>
      <c r="I39" s="34">
        <v>211.57894736842101</v>
      </c>
      <c r="J39" s="36">
        <v>12.236842105263101</v>
      </c>
      <c r="K39" s="36">
        <v>0.39473684210530013</v>
      </c>
      <c r="L39" s="25"/>
      <c r="M39" s="26">
        <f>4*C39*(C39-E39)*Q39</f>
        <v>0.15938628210526321</v>
      </c>
      <c r="N39" s="27">
        <f>MP^2+2*MP*E39-M39</f>
        <v>-0.15938628210526321</v>
      </c>
      <c r="O39" s="28" t="e">
        <f>SQRT(N39)</f>
        <v>#NUM!</v>
      </c>
      <c r="P39" s="28">
        <f>PI()*D39/180</f>
        <v>1.0471975511965976</v>
      </c>
      <c r="Q39" s="28">
        <f>(SIN(P39/2))^2</f>
        <v>0.24999999999999994</v>
      </c>
      <c r="R39" s="28">
        <f>1/(1+2*(1+E39^2/M39)*(TAN(P39/2))^2)</f>
        <v>0.53940096925900527</v>
      </c>
      <c r="S39" s="29" t="e">
        <f>(1/137)*(C39-E39)*(N39-MP^2)/((4*PI()^2*M39*MP*C39)*(1-R39))</f>
        <v>#DIV/0!</v>
      </c>
      <c r="T39" s="29" t="e">
        <f>F39/S39</f>
        <v>#DIV/0!</v>
      </c>
      <c r="U39" s="30" t="e">
        <f>G39/S39</f>
        <v>#DIV/0!</v>
      </c>
      <c r="V39" s="24">
        <f>4*(1/137)^2*(1-Q39)*(C39-E39)^2/M39^2</f>
        <v>5.9385468302192471E-4</v>
      </c>
      <c r="W39" s="24">
        <f>(1/V39)*R39*(M39+E39^2)^2/M39^2</f>
        <v>1490.1728599603728</v>
      </c>
      <c r="X39" s="24">
        <f>(M39+E39^2)^2/(4*(1/137)^2*(C39-E39)^2*(1-Q39+2*Q39*(M39+E39^2)/M39))</f>
        <v>1490.1728599603725</v>
      </c>
      <c r="Y39" s="24">
        <f>AD39*X39*F39</f>
        <v>4622.866253289314</v>
      </c>
      <c r="Z39" s="24">
        <f>AD39*X39*G39</f>
        <v>149.12471784805706</v>
      </c>
      <c r="AA39" s="24">
        <f>R39</f>
        <v>0.53940096925900527</v>
      </c>
      <c r="AB39" s="24">
        <f>Y39/(0.1973269^2*10000000)</f>
        <v>1.1872406073844117E-2</v>
      </c>
      <c r="AC39" s="24">
        <f>Z39/(0.1973269^2*10000000)</f>
        <v>3.829808410917834E-4</v>
      </c>
      <c r="AD39" s="24">
        <v>1</v>
      </c>
      <c r="AE39" s="24">
        <f>SQRT(M39+E39^2)</f>
        <v>0.45183175306168144</v>
      </c>
      <c r="AF39" s="24"/>
      <c r="AG39" s="24"/>
      <c r="AH39" s="24"/>
      <c r="AI39" s="15"/>
      <c r="AJ39" s="15"/>
      <c r="AK39" s="15"/>
    </row>
    <row r="40" spans="1:37" ht="16" x14ac:dyDescent="0.2">
      <c r="A40" s="12">
        <v>6</v>
      </c>
      <c r="B40" s="12">
        <v>12</v>
      </c>
      <c r="C40" s="13">
        <v>0.51880000000000004</v>
      </c>
      <c r="D40" s="14">
        <v>60</v>
      </c>
      <c r="E40" s="13">
        <f>I40/1000</f>
        <v>0.21699248120300701</v>
      </c>
      <c r="F40" s="18">
        <f>J40*$V40*MOUFAC</f>
        <v>2.7797803763966598</v>
      </c>
      <c r="G40" s="18">
        <f>K40*$V40*MOUFAC</f>
        <v>0.11119121505587459</v>
      </c>
      <c r="H40" s="24">
        <v>28</v>
      </c>
      <c r="I40" s="34">
        <v>216.992481203007</v>
      </c>
      <c r="J40" s="36">
        <v>10.9649122807017</v>
      </c>
      <c r="K40" s="36">
        <v>0.4385964912281004</v>
      </c>
      <c r="L40" s="25"/>
      <c r="M40" s="26">
        <f>4*C40*(C40-E40)*Q40</f>
        <v>0.15657774075187997</v>
      </c>
      <c r="N40" s="27">
        <f>MP^2+2*MP*E40-M40</f>
        <v>-0.15657774075187997</v>
      </c>
      <c r="O40" s="28" t="e">
        <f>SQRT(N40)</f>
        <v>#NUM!</v>
      </c>
      <c r="P40" s="28">
        <f>PI()*D40/180</f>
        <v>1.0471975511965976</v>
      </c>
      <c r="Q40" s="28">
        <f>(SIN(P40/2))^2</f>
        <v>0.24999999999999994</v>
      </c>
      <c r="R40" s="28">
        <f>1/(1+2*(1+E40^2/M40)*(TAN(P40/2))^2)</f>
        <v>0.53557695842972697</v>
      </c>
      <c r="S40" s="29" t="e">
        <f>(1/137)*(C40-E40)*(N40-MP^2)/((4*PI()^2*M40*MP*C40)*(1-R40))</f>
        <v>#DIV/0!</v>
      </c>
      <c r="T40" s="29" t="e">
        <f>F40/S40</f>
        <v>#DIV/0!</v>
      </c>
      <c r="U40" s="30" t="e">
        <f>G40/S40</f>
        <v>#DIV/0!</v>
      </c>
      <c r="V40" s="24">
        <f>4*(1/137)^2*(1-Q40)*(C40-E40)^2/M40^2</f>
        <v>5.9385468302192461E-4</v>
      </c>
      <c r="W40" s="24">
        <f>(1/V40)*R40*(M40+E40^2)^2/M40^2</f>
        <v>1525.8363777307202</v>
      </c>
      <c r="X40" s="24">
        <f>(M40+E40^2)^2/(4*(1/137)^2*(C40-E40)^2*(1-Q40+2*Q40*(M40+E40^2)/M40))</f>
        <v>1525.8363777307197</v>
      </c>
      <c r="Y40" s="24">
        <f>AD40*X40*F40</f>
        <v>4241.4900204080159</v>
      </c>
      <c r="Z40" s="24">
        <f>AD40*X40*G40</f>
        <v>169.65960081633315</v>
      </c>
      <c r="AA40" s="24">
        <f>R40</f>
        <v>0.53557695842972697</v>
      </c>
      <c r="AB40" s="24">
        <f>Y40/(0.1973269^2*10000000)</f>
        <v>1.0892958853094869E-2</v>
      </c>
      <c r="AC40" s="24">
        <f>Z40/(0.1973269^2*10000000)</f>
        <v>4.3571835412382687E-4</v>
      </c>
      <c r="AD40" s="24">
        <v>1</v>
      </c>
      <c r="AE40" s="24">
        <f>SQRT(M40+E40^2)</f>
        <v>0.45129090136021721</v>
      </c>
      <c r="AF40" s="24"/>
      <c r="AG40" s="24"/>
      <c r="AH40" s="24"/>
      <c r="AI40" s="15"/>
      <c r="AJ40" s="15"/>
      <c r="AK40" s="15"/>
    </row>
    <row r="41" spans="1:37" ht="16" x14ac:dyDescent="0.2">
      <c r="A41" s="12">
        <v>6</v>
      </c>
      <c r="B41" s="12">
        <v>12</v>
      </c>
      <c r="C41" s="13">
        <v>0.51880000000000004</v>
      </c>
      <c r="D41" s="14">
        <v>60</v>
      </c>
      <c r="E41" s="13">
        <f>I41/1000</f>
        <v>0.22195488721804499</v>
      </c>
      <c r="F41" s="18">
        <f>J41*$V41*MOUFAC</f>
        <v>2.6685891613407979</v>
      </c>
      <c r="G41" s="18">
        <f>K41*$V41*MOUFAC</f>
        <v>0.1111912150558618</v>
      </c>
      <c r="H41" s="24">
        <v>28</v>
      </c>
      <c r="I41" s="34">
        <v>221.954887218045</v>
      </c>
      <c r="J41" s="36">
        <v>10.526315789473649</v>
      </c>
      <c r="K41" s="36">
        <v>0.43859649122804978</v>
      </c>
      <c r="L41" s="25"/>
      <c r="M41" s="26">
        <f>4*C41*(C41-E41)*Q41</f>
        <v>0.15400324451127825</v>
      </c>
      <c r="N41" s="27">
        <f>MP^2+2*MP*E41-M41</f>
        <v>-0.15400324451127825</v>
      </c>
      <c r="O41" s="28" t="e">
        <f>SQRT(N41)</f>
        <v>#NUM!</v>
      </c>
      <c r="P41" s="28">
        <f>PI()*D41/180</f>
        <v>1.0471975511965976</v>
      </c>
      <c r="Q41" s="28">
        <f>(SIN(P41/2))^2</f>
        <v>0.24999999999999994</v>
      </c>
      <c r="R41" s="28">
        <f>1/(1+2*(1+E41^2/M41)*(TAN(P41/2))^2)</f>
        <v>0.53193579712612094</v>
      </c>
      <c r="S41" s="29" t="e">
        <f>(1/137)*(C41-E41)*(N41-MP^2)/((4*PI()^2*M41*MP*C41)*(1-R41))</f>
        <v>#DIV/0!</v>
      </c>
      <c r="T41" s="29" t="e">
        <f>F41/S41</f>
        <v>#DIV/0!</v>
      </c>
      <c r="U41" s="30" t="e">
        <f>G41/S41</f>
        <v>#DIV/0!</v>
      </c>
      <c r="V41" s="24">
        <f>4*(1/137)^2*(1-Q41)*(C41-E41)^2/M41^2</f>
        <v>5.9385468302192471E-4</v>
      </c>
      <c r="W41" s="24">
        <f>(1/V41)*R41*(M41+E41^2)^2/M41^2</f>
        <v>1560.4647795061107</v>
      </c>
      <c r="X41" s="24">
        <f>(M41+E41^2)^2/(4*(1/137)^2*(C41-E41)^2*(1-Q41+2*Q41*(M41+E41^2)/M41))</f>
        <v>1560.4647795061103</v>
      </c>
      <c r="Y41" s="24">
        <f>AD41*X41*F41</f>
        <v>4164.2393972440641</v>
      </c>
      <c r="Z41" s="24">
        <f>AD41*X41*G41</f>
        <v>173.50997488516188</v>
      </c>
      <c r="AA41" s="24">
        <f>R41</f>
        <v>0.53193579712612094</v>
      </c>
      <c r="AB41" s="24">
        <f>Y41/(0.1973269^2*10000000)</f>
        <v>1.0694564455029087E-2</v>
      </c>
      <c r="AC41" s="24">
        <f>Z41/(0.1973269^2*10000000)</f>
        <v>4.4560685229285947E-4</v>
      </c>
      <c r="AD41" s="24">
        <v>1</v>
      </c>
      <c r="AE41" s="24">
        <f>SQRT(M41+E41^2)</f>
        <v>0.4508516568354311</v>
      </c>
      <c r="AF41" s="24"/>
      <c r="AG41" s="24"/>
      <c r="AH41" s="24"/>
      <c r="AI41" s="15"/>
      <c r="AJ41" s="15"/>
      <c r="AK41" s="15"/>
    </row>
    <row r="42" spans="1:37" ht="16" x14ac:dyDescent="0.2">
      <c r="A42" s="12">
        <v>6</v>
      </c>
      <c r="B42" s="12">
        <v>12</v>
      </c>
      <c r="C42" s="13">
        <v>0.51880000000000004</v>
      </c>
      <c r="D42" s="14">
        <v>60</v>
      </c>
      <c r="E42" s="13">
        <f>I42/1000</f>
        <v>0.22691729323308202</v>
      </c>
      <c r="F42" s="18">
        <f>J42*$V42*MOUFAC</f>
        <v>2.6463509183296283</v>
      </c>
      <c r="G42" s="18">
        <f>K42*$V42*MOUFAC</f>
        <v>0.11119121505586177</v>
      </c>
      <c r="H42" s="24">
        <v>28</v>
      </c>
      <c r="I42" s="34">
        <v>226.91729323308201</v>
      </c>
      <c r="J42" s="36">
        <v>10.438596491228051</v>
      </c>
      <c r="K42" s="36">
        <v>0.43859649122804978</v>
      </c>
      <c r="L42" s="25"/>
      <c r="M42" s="26">
        <f>4*C42*(C42-E42)*Q42</f>
        <v>0.15142874827067707</v>
      </c>
      <c r="N42" s="27">
        <f>MP^2+2*MP*E42-M42</f>
        <v>-0.15142874827067707</v>
      </c>
      <c r="O42" s="28" t="e">
        <f>SQRT(N42)</f>
        <v>#NUM!</v>
      </c>
      <c r="P42" s="28">
        <f>PI()*D42/180</f>
        <v>1.0471975511965976</v>
      </c>
      <c r="Q42" s="28">
        <f>(SIN(P42/2))^2</f>
        <v>0.24999999999999994</v>
      </c>
      <c r="R42" s="28">
        <f>1/(1+2*(1+E42^2/M42)*(TAN(P42/2))^2)</f>
        <v>0.52816203400024098</v>
      </c>
      <c r="S42" s="29" t="e">
        <f>(1/137)*(C42-E42)*(N42-MP^2)/((4*PI()^2*M42*MP*C42)*(1-R42))</f>
        <v>#DIV/0!</v>
      </c>
      <c r="T42" s="29" t="e">
        <f>F42/S42</f>
        <v>#DIV/0!</v>
      </c>
      <c r="U42" s="30" t="e">
        <f>G42/S42</f>
        <v>#DIV/0!</v>
      </c>
      <c r="V42" s="24">
        <f>4*(1/137)^2*(1-Q42)*(C42-E42)^2/M42^2</f>
        <v>5.9385468302192461E-4</v>
      </c>
      <c r="W42" s="24">
        <f>(1/V42)*R42*(M42+E42^2)^2/M42^2</f>
        <v>1597.0588477740707</v>
      </c>
      <c r="X42" s="24">
        <f>(M42+E42^2)^2/(4*(1/137)^2*(C42-E42)^2*(1-Q42+2*Q42*(M42+E42^2)/M42))</f>
        <v>1597.0588477740698</v>
      </c>
      <c r="Y42" s="24">
        <f>AD42*X42*F42</f>
        <v>4226.3781484333676</v>
      </c>
      <c r="Z42" s="24">
        <f>AD42*X42*G42</f>
        <v>177.5789137997134</v>
      </c>
      <c r="AA42" s="24">
        <f>R42</f>
        <v>0.52816203400024098</v>
      </c>
      <c r="AB42" s="24">
        <f>Y42/(0.1973269^2*10000000)</f>
        <v>1.0854148671101974E-2</v>
      </c>
      <c r="AC42" s="24">
        <f>Z42/(0.1973269^2*10000000)</f>
        <v>4.5605666685300374E-4</v>
      </c>
      <c r="AD42" s="24">
        <v>1</v>
      </c>
      <c r="AE42" s="24">
        <f>SQRT(M42+E42^2)</f>
        <v>0.45046665385897944</v>
      </c>
      <c r="AF42" s="24"/>
      <c r="AG42" s="24"/>
      <c r="AH42" s="24"/>
      <c r="AI42" s="15"/>
      <c r="AJ42" s="15"/>
      <c r="AK42" s="15"/>
    </row>
    <row r="43" spans="1:37" ht="16" x14ac:dyDescent="0.2">
      <c r="A43" s="12">
        <v>6</v>
      </c>
      <c r="B43" s="12">
        <v>12</v>
      </c>
      <c r="C43" s="13">
        <v>0.51880000000000004</v>
      </c>
      <c r="D43" s="14">
        <v>60</v>
      </c>
      <c r="E43" s="13">
        <f>I43/1000</f>
        <v>0.23142857142857098</v>
      </c>
      <c r="F43" s="18">
        <f>J43*$V43*MOUFAC</f>
        <v>2.4906832172514135</v>
      </c>
      <c r="G43" s="18">
        <f>K43*$V43*MOUFAC</f>
        <v>0.11119121505586314</v>
      </c>
      <c r="H43" s="24">
        <v>28</v>
      </c>
      <c r="I43" s="34">
        <v>231.42857142857099</v>
      </c>
      <c r="J43" s="36">
        <v>9.8245614035087456</v>
      </c>
      <c r="K43" s="36">
        <v>0.43859649122805511</v>
      </c>
      <c r="L43" s="25"/>
      <c r="M43" s="26">
        <f>4*C43*(C43-E43)*Q43</f>
        <v>0.14908829714285737</v>
      </c>
      <c r="N43" s="27">
        <f>MP^2+2*MP*E43-M43</f>
        <v>-0.14908829714285737</v>
      </c>
      <c r="O43" s="28" t="e">
        <f>SQRT(N43)</f>
        <v>#NUM!</v>
      </c>
      <c r="P43" s="28">
        <f>PI()*D43/180</f>
        <v>1.0471975511965976</v>
      </c>
      <c r="Q43" s="28">
        <f>(SIN(P43/2))^2</f>
        <v>0.24999999999999994</v>
      </c>
      <c r="R43" s="28">
        <f>1/(1+2*(1+E43^2/M43)*(TAN(P43/2))^2)</f>
        <v>0.52461406647593178</v>
      </c>
      <c r="S43" s="29" t="e">
        <f>(1/137)*(C43-E43)*(N43-MP^2)/((4*PI()^2*M43*MP*C43)*(1-R43))</f>
        <v>#DIV/0!</v>
      </c>
      <c r="T43" s="29" t="e">
        <f>F43/S43</f>
        <v>#DIV/0!</v>
      </c>
      <c r="U43" s="30" t="e">
        <f>G43/S43</f>
        <v>#DIV/0!</v>
      </c>
      <c r="V43" s="24">
        <f>4*(1/137)^2*(1-Q43)*(C43-E43)^2/M43^2</f>
        <v>5.9385468302192471E-4</v>
      </c>
      <c r="W43" s="24">
        <f>(1/V43)*R43*(M43+E43^2)^2/M43^2</f>
        <v>1632.1311566602949</v>
      </c>
      <c r="X43" s="24">
        <f>(M43+E43^2)^2/(4*(1/137)^2*(C43-E43)^2*(1-Q43+2*Q43*(M43+E43^2)/M43))</f>
        <v>1632.1311566602947</v>
      </c>
      <c r="Y43" s="24">
        <f>AD43*X43*F43</f>
        <v>4065.1216802469335</v>
      </c>
      <c r="Z43" s="24">
        <f>AD43*X43*G43</f>
        <v>181.47864643958948</v>
      </c>
      <c r="AA43" s="24">
        <f>R43</f>
        <v>0.52461406647593178</v>
      </c>
      <c r="AB43" s="24">
        <f>Y43/(0.1973269^2*10000000)</f>
        <v>1.0440011171237891E-2</v>
      </c>
      <c r="AC43" s="24">
        <f>Z43/(0.1973269^2*10000000)</f>
        <v>4.6607192728739105E-4</v>
      </c>
      <c r="AD43" s="24">
        <v>1</v>
      </c>
      <c r="AE43" s="24">
        <f>SQRT(M43+E43^2)</f>
        <v>0.45016383774835417</v>
      </c>
      <c r="AF43" s="24"/>
      <c r="AG43" s="24"/>
      <c r="AH43" s="24"/>
      <c r="AI43" s="15"/>
      <c r="AJ43" s="15"/>
      <c r="AK43" s="15"/>
    </row>
    <row r="44" spans="1:37" ht="16" x14ac:dyDescent="0.2">
      <c r="A44" s="12">
        <v>6</v>
      </c>
      <c r="B44" s="12">
        <v>12</v>
      </c>
      <c r="C44" s="13">
        <v>0.51880000000000004</v>
      </c>
      <c r="D44" s="14">
        <v>60</v>
      </c>
      <c r="E44" s="13">
        <f>I44/1000</f>
        <v>0.23684210526315702</v>
      </c>
      <c r="F44" s="18">
        <f>J44*$V44*MOUFAC</f>
        <v>2.4684449742402421</v>
      </c>
      <c r="G44" s="18">
        <f>K44*$V44*MOUFAC</f>
        <v>0.11119121505586428</v>
      </c>
      <c r="H44" s="24">
        <v>28</v>
      </c>
      <c r="I44" s="34">
        <v>236.84210526315701</v>
      </c>
      <c r="J44" s="36">
        <v>9.7368421052631398</v>
      </c>
      <c r="K44" s="36">
        <v>0.43859649122805955</v>
      </c>
      <c r="L44" s="25"/>
      <c r="M44" s="26">
        <f>4*C44*(C44-E44)*Q44</f>
        <v>0.14627975578947414</v>
      </c>
      <c r="N44" s="27">
        <f>MP^2+2*MP*E44-M44</f>
        <v>-0.14627975578947414</v>
      </c>
      <c r="O44" s="28" t="e">
        <f>SQRT(N44)</f>
        <v>#NUM!</v>
      </c>
      <c r="P44" s="28">
        <f>PI()*D44/180</f>
        <v>1.0471975511965976</v>
      </c>
      <c r="Q44" s="28">
        <f>(SIN(P44/2))^2</f>
        <v>0.24999999999999994</v>
      </c>
      <c r="R44" s="28">
        <f>1/(1+2*(1+E44^2/M44)*(TAN(P44/2))^2)</f>
        <v>0.52020620534392903</v>
      </c>
      <c r="S44" s="29" t="e">
        <f>(1/137)*(C44-E44)*(N44-MP^2)/((4*PI()^2*M44*MP*C44)*(1-R44))</f>
        <v>#DIV/0!</v>
      </c>
      <c r="T44" s="29" t="e">
        <f>F44/S44</f>
        <v>#DIV/0!</v>
      </c>
      <c r="U44" s="30" t="e">
        <f>G44/S44</f>
        <v>#DIV/0!</v>
      </c>
      <c r="V44" s="24">
        <f>4*(1/137)^2*(1-Q44)*(C44-E44)^2/M44^2</f>
        <v>5.9385468302192471E-4</v>
      </c>
      <c r="W44" s="24">
        <f>(1/V44)*R44*(M44+E44^2)^2/M44^2</f>
        <v>1676.6254635496771</v>
      </c>
      <c r="X44" s="24">
        <f>(M44+E44^2)^2/(4*(1/137)^2*(C44-E44)^2*(1-Q44+2*Q44*(M44+E44^2)/M44))</f>
        <v>1676.6254635496769</v>
      </c>
      <c r="Y44" s="24">
        <f>AD44*X44*F44</f>
        <v>4138.6576991824159</v>
      </c>
      <c r="Z44" s="24">
        <f>AD44*X44*G44</f>
        <v>186.42602248569025</v>
      </c>
      <c r="AA44" s="24">
        <f>R44</f>
        <v>0.52020620534392903</v>
      </c>
      <c r="AB44" s="24">
        <f>Y44/(0.1973269^2*10000000)</f>
        <v>1.0628865754092141E-2</v>
      </c>
      <c r="AC44" s="24">
        <f>Z44/(0.1973269^2*10000000)</f>
        <v>4.7877773667080644E-4</v>
      </c>
      <c r="AD44" s="24">
        <v>1</v>
      </c>
      <c r="AE44" s="24">
        <f>SQRT(M44+E44^2)</f>
        <v>0.44985990998860803</v>
      </c>
      <c r="AF44" s="24"/>
      <c r="AG44" s="24"/>
      <c r="AH44" s="24"/>
      <c r="AI44" s="15"/>
      <c r="AJ44" s="15"/>
      <c r="AK44" s="15"/>
    </row>
    <row r="45" spans="1:37" ht="16" x14ac:dyDescent="0.2">
      <c r="A45" s="12">
        <v>6</v>
      </c>
      <c r="B45" s="12">
        <v>12</v>
      </c>
      <c r="C45" s="13">
        <v>0.51880000000000004</v>
      </c>
      <c r="D45" s="14">
        <v>60</v>
      </c>
      <c r="E45" s="13">
        <f>I45/1000</f>
        <v>0.24180451127819499</v>
      </c>
      <c r="F45" s="18">
        <f>J45*$V45*MOUFAC</f>
        <v>2.4239684882178985</v>
      </c>
      <c r="G45" s="18">
        <f>K45*$V45*MOUFAC</f>
        <v>0.1111912150558681</v>
      </c>
      <c r="H45" s="24">
        <v>28</v>
      </c>
      <c r="I45" s="34">
        <v>241.80451127819501</v>
      </c>
      <c r="J45" s="36">
        <v>9.5614035087719245</v>
      </c>
      <c r="K45" s="36">
        <v>0.43859649122807465</v>
      </c>
      <c r="L45" s="25"/>
      <c r="M45" s="26">
        <f>4*C45*(C45-E45)*Q45</f>
        <v>0.14370525954887242</v>
      </c>
      <c r="N45" s="27">
        <f>MP^2+2*MP*E45-M45</f>
        <v>-0.14370525954887242</v>
      </c>
      <c r="O45" s="28" t="e">
        <f>SQRT(N45)</f>
        <v>#NUM!</v>
      </c>
      <c r="P45" s="28">
        <f>PI()*D45/180</f>
        <v>1.0471975511965976</v>
      </c>
      <c r="Q45" s="28">
        <f>(SIN(P45/2))^2</f>
        <v>0.24999999999999994</v>
      </c>
      <c r="R45" s="28">
        <f>1/(1+2*(1+E45^2/M45)*(TAN(P45/2))^2)</f>
        <v>0.51601887073640873</v>
      </c>
      <c r="S45" s="29" t="e">
        <f>(1/137)*(C45-E45)*(N45-MP^2)/((4*PI()^2*M45*MP*C45)*(1-R45))</f>
        <v>#DIV/0!</v>
      </c>
      <c r="T45" s="29" t="e">
        <f>F45/S45</f>
        <v>#DIV/0!</v>
      </c>
      <c r="U45" s="30" t="e">
        <f>G45/S45</f>
        <v>#DIV/0!</v>
      </c>
      <c r="V45" s="24">
        <f>4*(1/137)^2*(1-Q45)*(C45-E45)^2/M45^2</f>
        <v>5.9385468302192471E-4</v>
      </c>
      <c r="W45" s="24">
        <f>(1/V45)*R45*(M45+E45^2)^2/M45^2</f>
        <v>1719.8620185196237</v>
      </c>
      <c r="X45" s="24">
        <f>(M45+E45^2)^2/(4*(1/137)^2*(C45-E45)^2*(1-Q45+2*Q45*(M45+E45^2)/M45))</f>
        <v>1719.862018519623</v>
      </c>
      <c r="Y45" s="24">
        <f>AD45*X45*F45</f>
        <v>4168.8913369743941</v>
      </c>
      <c r="Z45" s="24">
        <f>AD45*X45*G45</f>
        <v>191.23354756763482</v>
      </c>
      <c r="AA45" s="24">
        <f>R45</f>
        <v>0.51601887073640873</v>
      </c>
      <c r="AB45" s="24">
        <f>Y45/(0.1973269^2*10000000)</f>
        <v>1.0706511527361157E-2</v>
      </c>
      <c r="AC45" s="24">
        <f>Z45/(0.1973269^2*10000000)</f>
        <v>4.9112438198904913E-4</v>
      </c>
      <c r="AD45" s="24">
        <v>1</v>
      </c>
      <c r="AE45" s="24">
        <f>SQRT(M45+E45^2)</f>
        <v>0.44963838940126005</v>
      </c>
      <c r="AF45" s="24"/>
      <c r="AG45" s="24"/>
      <c r="AH45" s="24"/>
      <c r="AI45" s="15"/>
      <c r="AJ45" s="15"/>
      <c r="AK45" s="15"/>
    </row>
    <row r="46" spans="1:37" ht="16" x14ac:dyDescent="0.2">
      <c r="A46" s="12">
        <v>6</v>
      </c>
      <c r="B46" s="12">
        <v>12</v>
      </c>
      <c r="C46" s="13">
        <v>0.51880000000000004</v>
      </c>
      <c r="D46" s="14">
        <v>60</v>
      </c>
      <c r="E46" s="13">
        <f>I46/1000</f>
        <v>0.246766917293233</v>
      </c>
      <c r="F46" s="18">
        <f>J46*$V46*MOUFAC</f>
        <v>2.5796361892961013</v>
      </c>
      <c r="G46" s="18">
        <f>K46*$V46*MOUFAC</f>
        <v>0.11119121505585437</v>
      </c>
      <c r="H46" s="24">
        <v>28</v>
      </c>
      <c r="I46" s="34">
        <v>246.76691729323301</v>
      </c>
      <c r="J46" s="36">
        <v>10.17543859649118</v>
      </c>
      <c r="K46" s="36">
        <v>0.43859649122802047</v>
      </c>
      <c r="L46" s="25"/>
      <c r="M46" s="26">
        <f>4*C46*(C46-E46)*Q46</f>
        <v>0.14113076330827073</v>
      </c>
      <c r="N46" s="27">
        <f>MP^2+2*MP*E46-M46</f>
        <v>-0.14113076330827073</v>
      </c>
      <c r="O46" s="28" t="e">
        <f>SQRT(N46)</f>
        <v>#NUM!</v>
      </c>
      <c r="P46" s="28">
        <f>PI()*D46/180</f>
        <v>1.0471975511965976</v>
      </c>
      <c r="Q46" s="28">
        <f>(SIN(P46/2))^2</f>
        <v>0.24999999999999994</v>
      </c>
      <c r="R46" s="28">
        <f>1/(1+2*(1+E46^2/M46)*(TAN(P46/2))^2)</f>
        <v>0.51168840160108797</v>
      </c>
      <c r="S46" s="29" t="e">
        <f>(1/137)*(C46-E46)*(N46-MP^2)/((4*PI()^2*M46*MP*C46)*(1-R46))</f>
        <v>#DIV/0!</v>
      </c>
      <c r="T46" s="29" t="e">
        <f>F46/S46</f>
        <v>#DIV/0!</v>
      </c>
      <c r="U46" s="30" t="e">
        <f>G46/S46</f>
        <v>#DIV/0!</v>
      </c>
      <c r="V46" s="24">
        <f>4*(1/137)^2*(1-Q46)*(C46-E46)^2/M46^2</f>
        <v>5.9385468302192471E-4</v>
      </c>
      <c r="W46" s="24">
        <f>(1/V46)*R46*(M46+E46^2)^2/M46^2</f>
        <v>1765.593979029504</v>
      </c>
      <c r="X46" s="24">
        <f>(M46+E46^2)^2/(4*(1/137)^2*(C46-E46)^2*(1-Q46+2*Q46*(M46+E46^2)/M46))</f>
        <v>1765.593979029504</v>
      </c>
      <c r="Y46" s="24">
        <f>AD46*X46*F46</f>
        <v>4554.5901239078103</v>
      </c>
      <c r="Z46" s="24">
        <f>AD46*X46*G46</f>
        <v>196.31853982359121</v>
      </c>
      <c r="AA46" s="24">
        <f>R46</f>
        <v>0.51168840160108797</v>
      </c>
      <c r="AB46" s="24">
        <f>Y46/(0.1973269^2*10000000)</f>
        <v>1.169705989492519E-2</v>
      </c>
      <c r="AC46" s="24">
        <f>Z46/(0.1973269^2*10000000)</f>
        <v>5.0418361616051384E-4</v>
      </c>
      <c r="AD46" s="24">
        <v>1</v>
      </c>
      <c r="AE46" s="24">
        <f>SQRT(M46+E46^2)</f>
        <v>0.44947155057764893</v>
      </c>
      <c r="AF46" s="24"/>
      <c r="AG46" s="24"/>
      <c r="AH46" s="24"/>
      <c r="AI46" s="15"/>
      <c r="AJ46" s="15"/>
      <c r="AK46" s="15"/>
    </row>
    <row r="47" spans="1:37" ht="16" x14ac:dyDescent="0.2">
      <c r="A47" s="12">
        <v>6</v>
      </c>
      <c r="B47" s="12">
        <v>12</v>
      </c>
      <c r="C47" s="13">
        <v>0.51880000000000004</v>
      </c>
      <c r="D47" s="14">
        <v>60</v>
      </c>
      <c r="E47" s="13">
        <f>I47/1000</f>
        <v>0.25172932330827003</v>
      </c>
      <c r="F47" s="18">
        <f>J47*$V47*MOUFAC</f>
        <v>2.5351597032737558</v>
      </c>
      <c r="G47" s="18">
        <f>K47*$V47*MOUFAC</f>
        <v>0.1111912150558593</v>
      </c>
      <c r="H47" s="24">
        <v>28</v>
      </c>
      <c r="I47" s="34">
        <v>251.72932330827001</v>
      </c>
      <c r="J47" s="36">
        <v>9.9999999999999591</v>
      </c>
      <c r="K47" s="36">
        <v>0.43859649122804001</v>
      </c>
      <c r="L47" s="25"/>
      <c r="M47" s="26">
        <f>4*C47*(C47-E47)*Q47</f>
        <v>0.13855626706766952</v>
      </c>
      <c r="N47" s="27">
        <f>MP^2+2*MP*E47-M47</f>
        <v>-0.13855626706766952</v>
      </c>
      <c r="O47" s="28" t="e">
        <f>SQRT(N47)</f>
        <v>#NUM!</v>
      </c>
      <c r="P47" s="28">
        <f>PI()*D47/180</f>
        <v>1.0471975511965976</v>
      </c>
      <c r="Q47" s="28">
        <f>(SIN(P47/2))^2</f>
        <v>0.24999999999999994</v>
      </c>
      <c r="R47" s="28">
        <f>1/(1+2*(1+E47^2/M47)*(TAN(P47/2))^2)</f>
        <v>0.50721215535329633</v>
      </c>
      <c r="S47" s="29" t="e">
        <f>(1/137)*(C47-E47)*(N47-MP^2)/((4*PI()^2*M47*MP*C47)*(1-R47))</f>
        <v>#DIV/0!</v>
      </c>
      <c r="T47" s="29" t="e">
        <f>F47/S47</f>
        <v>#DIV/0!</v>
      </c>
      <c r="U47" s="30" t="e">
        <f>G47/S47</f>
        <v>#DIV/0!</v>
      </c>
      <c r="V47" s="24">
        <f>4*(1/137)^2*(1-Q47)*(C47-E47)^2/M47^2</f>
        <v>5.9385468302192461E-4</v>
      </c>
      <c r="W47" s="24">
        <f>(1/V47)*R47*(M47+E47^2)^2/M47^2</f>
        <v>1813.9806629882532</v>
      </c>
      <c r="X47" s="24">
        <f>(M47+E47^2)^2/(4*(1/137)^2*(C47-E47)^2*(1-Q47+2*Q47*(M47+E47^2)/M47))</f>
        <v>1813.9806629882532</v>
      </c>
      <c r="Y47" s="24">
        <f>AD47*X47*F47</f>
        <v>4598.7306793256312</v>
      </c>
      <c r="Z47" s="24">
        <f>AD47*X47*G47</f>
        <v>201.6987140054971</v>
      </c>
      <c r="AA47" s="24">
        <f>R47</f>
        <v>0.50721215535329633</v>
      </c>
      <c r="AB47" s="24">
        <f>Y47/(0.1973269^2*10000000)</f>
        <v>1.1810421296603752E-2</v>
      </c>
      <c r="AC47" s="24">
        <f>Z47/(0.1973269^2*10000000)</f>
        <v>5.1800093406153451E-4</v>
      </c>
      <c r="AD47" s="24">
        <v>1</v>
      </c>
      <c r="AE47" s="24">
        <f>SQRT(M47+E47^2)</f>
        <v>0.44935945442475012</v>
      </c>
      <c r="AF47" s="24"/>
      <c r="AG47" s="24"/>
      <c r="AH47" s="24"/>
      <c r="AI47" s="15"/>
      <c r="AJ47" s="15"/>
      <c r="AK47" s="15"/>
    </row>
    <row r="48" spans="1:37" ht="16" x14ac:dyDescent="0.2">
      <c r="A48" s="12">
        <v>6</v>
      </c>
      <c r="B48" s="12">
        <v>12</v>
      </c>
      <c r="C48" s="13">
        <v>0.51880000000000004</v>
      </c>
      <c r="D48" s="14">
        <v>60</v>
      </c>
      <c r="E48" s="13">
        <f>I48/1000</f>
        <v>0.25669172932330797</v>
      </c>
      <c r="F48" s="18">
        <f>J48*$V48*MOUFAC</f>
        <v>2.6574700398352129</v>
      </c>
      <c r="G48" s="18">
        <f>K48*$V48*MOUFAC</f>
        <v>0.10007209355027678</v>
      </c>
      <c r="H48" s="24">
        <v>28</v>
      </c>
      <c r="I48" s="34">
        <v>256.69172932330798</v>
      </c>
      <c r="J48" s="36">
        <v>10.48245614035085</v>
      </c>
      <c r="K48" s="36">
        <v>0.39473684210524951</v>
      </c>
      <c r="L48" s="25"/>
      <c r="M48" s="26">
        <f>4*C48*(C48-E48)*Q48</f>
        <v>0.13598177082706783</v>
      </c>
      <c r="N48" s="27">
        <f>MP^2+2*MP*E48-M48</f>
        <v>-0.13598177082706783</v>
      </c>
      <c r="O48" s="28" t="e">
        <f>SQRT(N48)</f>
        <v>#NUM!</v>
      </c>
      <c r="P48" s="28">
        <f>PI()*D48/180</f>
        <v>1.0471975511965976</v>
      </c>
      <c r="Q48" s="28">
        <f>(SIN(P48/2))^2</f>
        <v>0.24999999999999994</v>
      </c>
      <c r="R48" s="28">
        <f>1/(1+2*(1+E48^2/M48)*(TAN(P48/2))^2)</f>
        <v>0.50258749170652783</v>
      </c>
      <c r="S48" s="29" t="e">
        <f>(1/137)*(C48-E48)*(N48-MP^2)/((4*PI()^2*M48*MP*C48)*(1-R48))</f>
        <v>#DIV/0!</v>
      </c>
      <c r="T48" s="29" t="e">
        <f>F48/S48</f>
        <v>#DIV/0!</v>
      </c>
      <c r="U48" s="30" t="e">
        <f>G48/S48</f>
        <v>#DIV/0!</v>
      </c>
      <c r="V48" s="24">
        <f>4*(1/137)^2*(1-Q48)*(C48-E48)^2/M48^2</f>
        <v>5.9385468302192461E-4</v>
      </c>
      <c r="W48" s="24">
        <f>(1/V48)*R48*(M48+E48^2)^2/M48^2</f>
        <v>1865.1942204907255</v>
      </c>
      <c r="X48" s="24">
        <f>(M48+E48^2)^2/(4*(1/137)^2*(C48-E48)^2*(1-Q48+2*Q48*(M48+E48^2)/M48))</f>
        <v>1865.1942204907255</v>
      </c>
      <c r="Y48" s="24">
        <f>AD48*X48*F48</f>
        <v>4956.6977594278969</v>
      </c>
      <c r="Z48" s="24">
        <f>AD48*X48*G48</f>
        <v>186.65389052238345</v>
      </c>
      <c r="AA48" s="24">
        <f>R48</f>
        <v>0.50258749170652783</v>
      </c>
      <c r="AB48" s="24">
        <f>Y48/(0.1973269^2*10000000)</f>
        <v>1.2729749328864781E-2</v>
      </c>
      <c r="AC48" s="24">
        <f>Z48/(0.1973269^2*10000000)</f>
        <v>4.7936294543840735E-4</v>
      </c>
      <c r="AD48" s="24">
        <v>1</v>
      </c>
      <c r="AE48" s="24">
        <f>SQRT(M48+E48^2)</f>
        <v>0.44930214191572493</v>
      </c>
      <c r="AF48" s="24"/>
      <c r="AG48" s="24"/>
      <c r="AH48" s="24"/>
      <c r="AI48" s="15"/>
      <c r="AJ48" s="15"/>
      <c r="AK48" s="15"/>
    </row>
    <row r="49" spans="1:37" ht="16" x14ac:dyDescent="0.2">
      <c r="A49" s="12">
        <v>6</v>
      </c>
      <c r="B49" s="12">
        <v>12</v>
      </c>
      <c r="C49" s="13">
        <v>0.51880000000000004</v>
      </c>
      <c r="D49" s="14">
        <v>60</v>
      </c>
      <c r="E49" s="13">
        <f>I49/1000</f>
        <v>0.26120300751879699</v>
      </c>
      <c r="F49" s="18">
        <f>J49*$V49*MOUFAC</f>
        <v>2.7464230118798936</v>
      </c>
      <c r="G49" s="18">
        <f>K49*$V49*MOUFAC</f>
        <v>0.10007209355027705</v>
      </c>
      <c r="H49" s="24">
        <v>28</v>
      </c>
      <c r="I49" s="34">
        <v>261.20300751879699</v>
      </c>
      <c r="J49" s="36">
        <v>10.83333333333325</v>
      </c>
      <c r="K49" s="36">
        <v>0.3947368421052504</v>
      </c>
      <c r="L49" s="25"/>
      <c r="M49" s="26">
        <f>4*C49*(C49-E49)*Q49</f>
        <v>0.13364131969924811</v>
      </c>
      <c r="N49" s="27">
        <f>MP^2+2*MP*E49-M49</f>
        <v>-0.13364131969924811</v>
      </c>
      <c r="O49" s="28" t="e">
        <f>SQRT(N49)</f>
        <v>#NUM!</v>
      </c>
      <c r="P49" s="28">
        <f>PI()*D49/180</f>
        <v>1.0471975511965976</v>
      </c>
      <c r="Q49" s="28">
        <f>(SIN(P49/2))^2</f>
        <v>0.24999999999999994</v>
      </c>
      <c r="R49" s="28">
        <f>1/(1+2*(1+E49^2/M49)*(TAN(P49/2))^2)</f>
        <v>0.49825224293206394</v>
      </c>
      <c r="S49" s="29" t="e">
        <f>(1/137)*(C49-E49)*(N49-MP^2)/((4*PI()^2*M49*MP*C49)*(1-R49))</f>
        <v>#DIV/0!</v>
      </c>
      <c r="T49" s="29" t="e">
        <f>F49/S49</f>
        <v>#DIV/0!</v>
      </c>
      <c r="U49" s="30" t="e">
        <f>G49/S49</f>
        <v>#DIV/0!</v>
      </c>
      <c r="V49" s="24">
        <f>4*(1/137)^2*(1-Q49)*(C49-E49)^2/M49^2</f>
        <v>5.9385468302192482E-4</v>
      </c>
      <c r="W49" s="24">
        <f>(1/V49)*R49*(M49+E49^2)^2/M49^2</f>
        <v>1914.3614917375576</v>
      </c>
      <c r="X49" s="24">
        <f>(M49+E49^2)^2/(4*(1/137)^2*(C49-E49)^2*(1-Q49+2*Q49*(M49+E49^2)/M49))</f>
        <v>1914.3614917375571</v>
      </c>
      <c r="Y49" s="24">
        <f>AD49*X49*F49</f>
        <v>5257.6464539647477</v>
      </c>
      <c r="Z49" s="24">
        <f>AD49*X49*G49</f>
        <v>191.57416229020873</v>
      </c>
      <c r="AA49" s="24">
        <f>R49</f>
        <v>0.49825224293206394</v>
      </c>
      <c r="AB49" s="24">
        <f>Y49/(0.1973269^2*10000000)</f>
        <v>1.3502643224809201E-2</v>
      </c>
      <c r="AC49" s="24">
        <f>Z49/(0.1973269^2*10000000)</f>
        <v>4.9199914584323811E-4</v>
      </c>
      <c r="AD49" s="24">
        <v>1</v>
      </c>
      <c r="AE49" s="24">
        <f>SQRT(M49+E49^2)</f>
        <v>0.44929759718488682</v>
      </c>
      <c r="AF49" s="24"/>
      <c r="AG49" s="24"/>
      <c r="AH49" s="24"/>
      <c r="AI49" s="15"/>
      <c r="AJ49" s="15"/>
      <c r="AK49" s="15"/>
    </row>
    <row r="50" spans="1:37" ht="16" x14ac:dyDescent="0.2">
      <c r="A50" s="12">
        <v>6</v>
      </c>
      <c r="B50" s="12">
        <v>12</v>
      </c>
      <c r="C50" s="13">
        <v>0.51880000000000004</v>
      </c>
      <c r="D50" s="14">
        <v>60</v>
      </c>
      <c r="E50" s="13">
        <f>I50/1000</f>
        <v>0.26661654135338303</v>
      </c>
      <c r="F50" s="18">
        <f>J50*$V50*MOUFAC</f>
        <v>2.8353759839245982</v>
      </c>
      <c r="G50" s="18">
        <f>K50*$V50*MOUFAC</f>
        <v>0.1223103365614468</v>
      </c>
      <c r="H50" s="24">
        <v>28</v>
      </c>
      <c r="I50" s="34">
        <v>266.61654135338301</v>
      </c>
      <c r="J50" s="36">
        <v>11.18421052631575</v>
      </c>
      <c r="K50" s="36">
        <v>0.48245614035085005</v>
      </c>
      <c r="L50" s="25"/>
      <c r="M50" s="26">
        <f>4*C50*(C50-E50)*Q50</f>
        <v>0.13083277834586488</v>
      </c>
      <c r="N50" s="27">
        <f>MP^2+2*MP*E50-M50</f>
        <v>-0.13083277834586488</v>
      </c>
      <c r="O50" s="28" t="e">
        <f>SQRT(N50)</f>
        <v>#NUM!</v>
      </c>
      <c r="P50" s="28">
        <f>PI()*D50/180</f>
        <v>1.0471975511965976</v>
      </c>
      <c r="Q50" s="28">
        <f>(SIN(P50/2))^2</f>
        <v>0.24999999999999994</v>
      </c>
      <c r="R50" s="28">
        <f>1/(1+2*(1+E50^2/M50)*(TAN(P50/2))^2)</f>
        <v>0.49288238283807073</v>
      </c>
      <c r="S50" s="29" t="e">
        <f>(1/137)*(C50-E50)*(N50-MP^2)/((4*PI()^2*M50*MP*C50)*(1-R50))</f>
        <v>#DIV/0!</v>
      </c>
      <c r="T50" s="29" t="e">
        <f>F50/S50</f>
        <v>#DIV/0!</v>
      </c>
      <c r="U50" s="30" t="e">
        <f>G50/S50</f>
        <v>#DIV/0!</v>
      </c>
      <c r="V50" s="24">
        <f>4*(1/137)^2*(1-Q50)*(C50-E50)^2/M50^2</f>
        <v>5.9385468302192482E-4</v>
      </c>
      <c r="W50" s="24">
        <f>(1/V50)*R50*(M50+E50^2)^2/M50^2</f>
        <v>1976.8623643826145</v>
      </c>
      <c r="X50" s="24">
        <f>(M50+E50^2)^2/(4*(1/137)^2*(C50-E50)^2*(1-Q50+2*Q50*(M50+E50^2)/M50))</f>
        <v>1976.862364382614</v>
      </c>
      <c r="Y50" s="24">
        <f>AD50*X50*F50</f>
        <v>5605.1480714948621</v>
      </c>
      <c r="Z50" s="24">
        <f>AD50*X50*G50</f>
        <v>241.79070112329501</v>
      </c>
      <c r="AA50" s="24">
        <f>R50</f>
        <v>0.49288238283807073</v>
      </c>
      <c r="AB50" s="24">
        <f>Y50/(0.1973269^2*10000000)</f>
        <v>1.4395093944468165E-2</v>
      </c>
      <c r="AC50" s="24">
        <f>Z50/(0.1973269^2*10000000)</f>
        <v>6.2096483682016253E-4</v>
      </c>
      <c r="AD50" s="24">
        <v>1</v>
      </c>
      <c r="AE50" s="24">
        <f>SQRT(M50+E50^2)</f>
        <v>0.44935193164056286</v>
      </c>
      <c r="AF50" s="24"/>
      <c r="AG50" s="24"/>
      <c r="AH50" s="24"/>
      <c r="AI50" s="15"/>
      <c r="AJ50" s="15"/>
      <c r="AK50" s="15"/>
    </row>
    <row r="51" spans="1:37" ht="16" x14ac:dyDescent="0.2">
      <c r="A51" s="12">
        <v>6</v>
      </c>
      <c r="B51" s="12">
        <v>12</v>
      </c>
      <c r="C51" s="13">
        <v>0.51880000000000004</v>
      </c>
      <c r="D51" s="14">
        <v>60</v>
      </c>
      <c r="E51" s="13">
        <f>I51/1000</f>
        <v>0.27157894736842098</v>
      </c>
      <c r="F51" s="18">
        <f>J51*$V51*MOUFAC</f>
        <v>2.746423011879894</v>
      </c>
      <c r="G51" s="18">
        <f>K51*$V51*MOUFAC</f>
        <v>0.10007209355027706</v>
      </c>
      <c r="H51" s="24">
        <v>28</v>
      </c>
      <c r="I51" s="34">
        <v>271.57894736842098</v>
      </c>
      <c r="J51" s="36">
        <v>10.83333333333325</v>
      </c>
      <c r="K51" s="36">
        <v>0.3947368421052504</v>
      </c>
      <c r="L51" s="25"/>
      <c r="M51" s="26">
        <f>4*C51*(C51-E51)*Q51</f>
        <v>0.12825828210526319</v>
      </c>
      <c r="N51" s="27">
        <f>MP^2+2*MP*E51-M51</f>
        <v>-0.12825828210526319</v>
      </c>
      <c r="O51" s="28" t="e">
        <f>SQRT(N51)</f>
        <v>#NUM!</v>
      </c>
      <c r="P51" s="28">
        <f>PI()*D51/180</f>
        <v>1.0471975511965976</v>
      </c>
      <c r="Q51" s="28">
        <f>(SIN(P51/2))^2</f>
        <v>0.24999999999999994</v>
      </c>
      <c r="R51" s="28">
        <f>1/(1+2*(1+E51^2/M51)*(TAN(P51/2))^2)</f>
        <v>0.48779669961250316</v>
      </c>
      <c r="S51" s="29" t="e">
        <f>(1/137)*(C51-E51)*(N51-MP^2)/((4*PI()^2*M51*MP*C51)*(1-R51))</f>
        <v>#DIV/0!</v>
      </c>
      <c r="T51" s="29" t="e">
        <f>F51/S51</f>
        <v>#DIV/0!</v>
      </c>
      <c r="U51" s="30" t="e">
        <f>G51/S51</f>
        <v>#DIV/0!</v>
      </c>
      <c r="V51" s="24">
        <f>4*(1/137)^2*(1-Q51)*(C51-E51)^2/M51^2</f>
        <v>5.9385468302192493E-4</v>
      </c>
      <c r="W51" s="24">
        <f>(1/V51)*R51*(M51+E51^2)^2/M51^2</f>
        <v>2037.7374166577697</v>
      </c>
      <c r="X51" s="24">
        <f>(M51+E51^2)^2/(4*(1/137)^2*(C51-E51)^2*(1-Q51+2*Q51*(M51+E51^2)/M51))</f>
        <v>2037.7374166577697</v>
      </c>
      <c r="Y51" s="24">
        <f>AD51*X51*F51</f>
        <v>5596.4889332775865</v>
      </c>
      <c r="Z51" s="24">
        <f>AD51*X51*G51</f>
        <v>203.92064939067623</v>
      </c>
      <c r="AA51" s="24">
        <f>R51</f>
        <v>0.48779669961250316</v>
      </c>
      <c r="AB51" s="24">
        <f>Y51/(0.1973269^2*10000000)</f>
        <v>1.4372855618820762E-2</v>
      </c>
      <c r="AC51" s="24">
        <f>Z51/(0.1973269^2*10000000)</f>
        <v>5.2370728975458967E-4</v>
      </c>
      <c r="AD51" s="24">
        <v>1</v>
      </c>
      <c r="AE51" s="24">
        <f>SQRT(M51+E51^2)</f>
        <v>0.44945901566105306</v>
      </c>
      <c r="AF51" s="24"/>
      <c r="AG51" s="24"/>
      <c r="AH51" s="24"/>
      <c r="AI51" s="15"/>
      <c r="AJ51" s="15"/>
      <c r="AK51" s="15"/>
    </row>
    <row r="52" spans="1:37" ht="16" x14ac:dyDescent="0.2">
      <c r="A52" s="12">
        <v>6</v>
      </c>
      <c r="B52" s="12">
        <v>12</v>
      </c>
      <c r="C52" s="13">
        <v>0.51880000000000004</v>
      </c>
      <c r="D52" s="14">
        <v>60</v>
      </c>
      <c r="E52" s="13">
        <f t="shared" ref="E52:E67" si="17">I52/1000</f>
        <v>0.27654135338345798</v>
      </c>
      <c r="F52" s="18">
        <f>J52*$V52*MOUFAC</f>
        <v>2.9132098344637041</v>
      </c>
      <c r="G52" s="18">
        <f>K52*$V52*MOUFAC</f>
        <v>0.11119121505587441</v>
      </c>
      <c r="H52" s="24"/>
      <c r="I52" s="34">
        <v>276.54135338345799</v>
      </c>
      <c r="J52" s="36">
        <v>11.491228070175399</v>
      </c>
      <c r="K52" s="36">
        <v>0.43859649122809952</v>
      </c>
      <c r="L52" s="25"/>
      <c r="M52" s="26">
        <f t="shared" ref="M52:M67" si="18">4*C52*(C52-E52)*Q52</f>
        <v>0.125683785864662</v>
      </c>
      <c r="N52" s="27">
        <f>MP^2+2*MP*E52-M52</f>
        <v>-0.125683785864662</v>
      </c>
      <c r="O52" s="28" t="e">
        <f t="shared" ref="O52:O67" si="19">SQRT(N52)</f>
        <v>#NUM!</v>
      </c>
      <c r="P52" s="28">
        <f t="shared" ref="P52:P67" si="20">PI()*D52/180</f>
        <v>1.0471975511965976</v>
      </c>
      <c r="Q52" s="28">
        <f t="shared" ref="Q52:Q67" si="21">(SIN(P52/2))^2</f>
        <v>0.24999999999999994</v>
      </c>
      <c r="R52" s="28">
        <f t="shared" ref="R52:R67" si="22">1/(1+2*(1+E52^2/M52)*(TAN(P52/2))^2)</f>
        <v>0.48255213063236985</v>
      </c>
      <c r="S52" s="29" t="e">
        <f>(1/137)*(C52-E52)*(N52-MP^2)/((4*PI()^2*M52*MP*C52)*(1-R52))</f>
        <v>#DIV/0!</v>
      </c>
      <c r="T52" s="29" t="e">
        <f t="shared" ref="T52:T67" si="23">F52/S52</f>
        <v>#DIV/0!</v>
      </c>
      <c r="U52" s="30" t="e">
        <f t="shared" ref="U52:U67" si="24">G52/S52</f>
        <v>#DIV/0!</v>
      </c>
      <c r="V52" s="24">
        <f t="shared" ref="V52:V67" si="25">4*(1/137)^2*(1-Q52)*(C52-E52)^2/M52^2</f>
        <v>5.9385468302192471E-4</v>
      </c>
      <c r="W52" s="24">
        <f t="shared" ref="W52:W67" si="26">(1/V52)*R52*(M52+E52^2)^2/M52^2</f>
        <v>2102.2835938305939</v>
      </c>
      <c r="X52" s="24">
        <f t="shared" ref="X52:X67" si="27">(M52+E52^2)^2/(4*(1/137)^2*(C52-E52)^2*(1-Q52+2*Q52*(M52+E52^2)/M52))</f>
        <v>2102.2835938305934</v>
      </c>
      <c r="Y52" s="24">
        <f t="shared" ref="Y52:Y67" si="28">AD52*X52*F52</f>
        <v>6124.393240378984</v>
      </c>
      <c r="Z52" s="24">
        <f t="shared" ref="Z52:Z67" si="29">AD52*X52*G52</f>
        <v>233.75546719005405</v>
      </c>
      <c r="AA52" s="24">
        <f t="shared" ref="AA52:AA67" si="30">R52</f>
        <v>0.48255213063236985</v>
      </c>
      <c r="AB52" s="24">
        <f t="shared" ref="AB52:AB67" si="31">Y52/(0.1973269^2*10000000)</f>
        <v>1.5728615002423865E-2</v>
      </c>
      <c r="AC52" s="24">
        <f t="shared" ref="AC52:AC67" si="32">Z52/(0.1973269^2*10000000)</f>
        <v>6.0032881688644934E-4</v>
      </c>
      <c r="AD52" s="24">
        <v>1</v>
      </c>
      <c r="AE52" s="24">
        <f t="shared" ref="AE52:AE67" si="33">SQRT(M52+E52^2)</f>
        <v>0.44962084693196397</v>
      </c>
      <c r="AF52" s="24"/>
      <c r="AG52" s="24"/>
      <c r="AH52" s="24"/>
      <c r="AI52" s="15"/>
      <c r="AJ52" s="15"/>
      <c r="AK52" s="15"/>
    </row>
    <row r="53" spans="1:37" ht="16" x14ac:dyDescent="0.2">
      <c r="A53" s="12">
        <v>6</v>
      </c>
      <c r="B53" s="12">
        <v>12</v>
      </c>
      <c r="C53" s="13">
        <v>0.51880000000000004</v>
      </c>
      <c r="D53" s="14">
        <v>60</v>
      </c>
      <c r="E53" s="13">
        <f t="shared" si="17"/>
        <v>0.28150375939849603</v>
      </c>
      <c r="F53" s="18">
        <f>J53*$V53*MOUFAC</f>
        <v>3.2134261151145491</v>
      </c>
      <c r="G53" s="18">
        <f>K53*$V53*MOUFAC</f>
        <v>0.12231033656145965</v>
      </c>
      <c r="H53" s="24"/>
      <c r="I53" s="34">
        <v>281.50375939849602</v>
      </c>
      <c r="J53" s="36">
        <v>12.675438596491201</v>
      </c>
      <c r="K53" s="36">
        <v>0.48245614035090068</v>
      </c>
      <c r="L53" s="25"/>
      <c r="M53" s="26">
        <f t="shared" si="18"/>
        <v>0.12310928962406026</v>
      </c>
      <c r="N53" s="27">
        <f>MP^2+2*MP*E53-M53</f>
        <v>-0.12310928962406026</v>
      </c>
      <c r="O53" s="28" t="e">
        <f t="shared" si="19"/>
        <v>#NUM!</v>
      </c>
      <c r="P53" s="28">
        <f t="shared" si="20"/>
        <v>1.0471975511965976</v>
      </c>
      <c r="Q53" s="28">
        <f t="shared" si="21"/>
        <v>0.24999999999999994</v>
      </c>
      <c r="R53" s="28">
        <f t="shared" si="22"/>
        <v>0.47714610114321071</v>
      </c>
      <c r="S53" s="29" t="e">
        <f>(1/137)*(C53-E53)*(N53-MP^2)/((4*PI()^2*M53*MP*C53)*(1-R53))</f>
        <v>#DIV/0!</v>
      </c>
      <c r="T53" s="29" t="e">
        <f t="shared" si="23"/>
        <v>#DIV/0!</v>
      </c>
      <c r="U53" s="30" t="e">
        <f t="shared" si="24"/>
        <v>#DIV/0!</v>
      </c>
      <c r="V53" s="24">
        <f t="shared" si="25"/>
        <v>5.9385468302192482E-4</v>
      </c>
      <c r="W53" s="24">
        <f t="shared" si="26"/>
        <v>2170.7592222417156</v>
      </c>
      <c r="X53" s="24">
        <f t="shared" si="27"/>
        <v>2170.7592222417165</v>
      </c>
      <c r="Y53" s="24">
        <f t="shared" si="28"/>
        <v>6975.5743743772791</v>
      </c>
      <c r="Z53" s="24">
        <f t="shared" si="29"/>
        <v>265.50629106627673</v>
      </c>
      <c r="AA53" s="24">
        <f t="shared" si="30"/>
        <v>0.47714610114321071</v>
      </c>
      <c r="AB53" s="24">
        <f t="shared" si="31"/>
        <v>1.7914611202948259E-2</v>
      </c>
      <c r="AC53" s="24">
        <f t="shared" si="32"/>
        <v>6.8187101464512411E-4</v>
      </c>
      <c r="AD53" s="24">
        <v>1</v>
      </c>
      <c r="AE53" s="24">
        <f t="shared" si="33"/>
        <v>0.44983736636649763</v>
      </c>
      <c r="AF53" s="24"/>
      <c r="AG53" s="24"/>
      <c r="AH53" s="24"/>
      <c r="AI53" s="15"/>
      <c r="AJ53" s="15"/>
      <c r="AK53" s="15"/>
    </row>
    <row r="54" spans="1:37" ht="16" x14ac:dyDescent="0.2">
      <c r="A54" s="12">
        <v>6</v>
      </c>
      <c r="B54" s="12">
        <v>12</v>
      </c>
      <c r="C54" s="13">
        <v>0.51880000000000004</v>
      </c>
      <c r="D54" s="14">
        <v>60</v>
      </c>
      <c r="E54" s="13">
        <f t="shared" si="17"/>
        <v>0.28646616541353304</v>
      </c>
      <c r="F54" s="18">
        <f>J54*$V54*MOUFAC</f>
        <v>3.113354021564259</v>
      </c>
      <c r="G54" s="18">
        <f>K54*$V54*MOUFAC</f>
        <v>0.11119121505587465</v>
      </c>
      <c r="H54" s="24"/>
      <c r="I54" s="34">
        <v>286.46616541353302</v>
      </c>
      <c r="J54" s="36">
        <v>12.2807017543859</v>
      </c>
      <c r="K54" s="36">
        <v>0.4385964912281004</v>
      </c>
      <c r="L54" s="25"/>
      <c r="M54" s="26">
        <f t="shared" si="18"/>
        <v>0.12053479338345906</v>
      </c>
      <c r="N54" s="27">
        <f>MP^2+2*MP*E54-M54</f>
        <v>-0.12053479338345906</v>
      </c>
      <c r="O54" s="28" t="e">
        <f t="shared" si="19"/>
        <v>#NUM!</v>
      </c>
      <c r="P54" s="28">
        <f t="shared" si="20"/>
        <v>1.0471975511965976</v>
      </c>
      <c r="Q54" s="28">
        <f t="shared" si="21"/>
        <v>0.24999999999999994</v>
      </c>
      <c r="R54" s="28">
        <f t="shared" si="22"/>
        <v>0.47157606167081234</v>
      </c>
      <c r="S54" s="29" t="e">
        <f>(1/137)*(C54-E54)*(N54-MP^2)/((4*PI()^2*M54*MP*C54)*(1-R54))</f>
        <v>#DIV/0!</v>
      </c>
      <c r="T54" s="29" t="e">
        <f t="shared" si="23"/>
        <v>#DIV/0!</v>
      </c>
      <c r="U54" s="30" t="e">
        <f t="shared" si="24"/>
        <v>#DIV/0!</v>
      </c>
      <c r="V54" s="24">
        <f t="shared" si="25"/>
        <v>5.9385468302192482E-4</v>
      </c>
      <c r="W54" s="24">
        <f t="shared" si="26"/>
        <v>2243.4456277748932</v>
      </c>
      <c r="X54" s="24">
        <f t="shared" si="27"/>
        <v>2243.4456277748927</v>
      </c>
      <c r="Y54" s="24">
        <f t="shared" si="28"/>
        <v>6984.6404673937159</v>
      </c>
      <c r="Z54" s="24">
        <f t="shared" si="29"/>
        <v>249.45144526407981</v>
      </c>
      <c r="AA54" s="24">
        <f t="shared" si="30"/>
        <v>0.47157606167081234</v>
      </c>
      <c r="AB54" s="24">
        <f t="shared" si="31"/>
        <v>1.7937894666474333E-2</v>
      </c>
      <c r="AC54" s="24">
        <f t="shared" si="32"/>
        <v>6.4063909523127374E-4</v>
      </c>
      <c r="AD54" s="24">
        <v>1</v>
      </c>
      <c r="AE54" s="24">
        <f t="shared" si="33"/>
        <v>0.45010849504335371</v>
      </c>
      <c r="AF54" s="24"/>
      <c r="AG54" s="24"/>
      <c r="AH54" s="24"/>
      <c r="AI54" s="15"/>
      <c r="AJ54" s="15"/>
      <c r="AK54" s="15"/>
    </row>
    <row r="55" spans="1:37" ht="16" x14ac:dyDescent="0.2">
      <c r="A55" s="12">
        <v>6</v>
      </c>
      <c r="B55" s="12">
        <v>12</v>
      </c>
      <c r="C55" s="13">
        <v>0.51880000000000004</v>
      </c>
      <c r="D55" s="14">
        <v>60</v>
      </c>
      <c r="E55" s="13">
        <f t="shared" si="17"/>
        <v>0.29142857142857098</v>
      </c>
      <c r="F55" s="18">
        <f>J55*$V55*MOUFAC</f>
        <v>3.2245452366201337</v>
      </c>
      <c r="G55" s="18">
        <f>K55*$V55*MOUFAC</f>
        <v>0.11119121505587465</v>
      </c>
      <c r="H55" s="24"/>
      <c r="I55" s="34">
        <v>291.42857142857099</v>
      </c>
      <c r="J55" s="36">
        <v>12.719298245614</v>
      </c>
      <c r="K55" s="36">
        <v>0.4385964912281004</v>
      </c>
      <c r="L55" s="25"/>
      <c r="M55" s="26">
        <f t="shared" si="18"/>
        <v>0.11796029714285737</v>
      </c>
      <c r="N55" s="27">
        <f>MP^2+2*MP*E55-M55</f>
        <v>-0.11796029714285737</v>
      </c>
      <c r="O55" s="28" t="e">
        <f t="shared" si="19"/>
        <v>#NUM!</v>
      </c>
      <c r="P55" s="28">
        <f t="shared" si="20"/>
        <v>1.0471975511965976</v>
      </c>
      <c r="Q55" s="28">
        <f t="shared" si="21"/>
        <v>0.24999999999999994</v>
      </c>
      <c r="R55" s="28">
        <f t="shared" si="22"/>
        <v>0.46583949254729468</v>
      </c>
      <c r="S55" s="29" t="e">
        <f>(1/137)*(C55-E55)*(N55-MP^2)/((4*PI()^2*M55*MP*C55)*(1-R55))</f>
        <v>#DIV/0!</v>
      </c>
      <c r="T55" s="29" t="e">
        <f t="shared" si="23"/>
        <v>#DIV/0!</v>
      </c>
      <c r="U55" s="30" t="e">
        <f t="shared" si="24"/>
        <v>#DIV/0!</v>
      </c>
      <c r="V55" s="24">
        <f t="shared" si="25"/>
        <v>5.9385468302192482E-4</v>
      </c>
      <c r="W55" s="24">
        <f t="shared" si="26"/>
        <v>2320.6496523909404</v>
      </c>
      <c r="X55" s="24">
        <f t="shared" si="27"/>
        <v>2320.64965239094</v>
      </c>
      <c r="Y55" s="24">
        <f t="shared" si="28"/>
        <v>7483.0397824813745</v>
      </c>
      <c r="Z55" s="24">
        <f t="shared" si="29"/>
        <v>258.03585456834173</v>
      </c>
      <c r="AA55" s="24">
        <f t="shared" si="30"/>
        <v>0.46583949254729468</v>
      </c>
      <c r="AB55" s="24">
        <f t="shared" si="31"/>
        <v>1.9217879578743033E-2</v>
      </c>
      <c r="AC55" s="24">
        <f t="shared" si="32"/>
        <v>6.6268550271532444E-4</v>
      </c>
      <c r="AD55" s="24">
        <v>1</v>
      </c>
      <c r="AE55" s="24">
        <f t="shared" si="33"/>
        <v>0.45043413435013457</v>
      </c>
      <c r="AF55" s="24"/>
      <c r="AG55" s="24"/>
      <c r="AH55" s="24"/>
      <c r="AI55" s="15"/>
      <c r="AJ55" s="15"/>
      <c r="AK55" s="15"/>
    </row>
    <row r="56" spans="1:37" ht="16" x14ac:dyDescent="0.2">
      <c r="A56" s="12">
        <v>6</v>
      </c>
      <c r="B56" s="12">
        <v>12</v>
      </c>
      <c r="C56" s="13">
        <v>0.51880000000000004</v>
      </c>
      <c r="D56" s="14">
        <v>60</v>
      </c>
      <c r="E56" s="13">
        <f t="shared" si="17"/>
        <v>0.29639097744360904</v>
      </c>
      <c r="F56" s="18">
        <f>J56*$V56*MOUFAC</f>
        <v>3.2912599656536554</v>
      </c>
      <c r="G56" s="18">
        <f>K56*$V56*MOUFAC</f>
        <v>0.11119121505586201</v>
      </c>
      <c r="H56" s="24"/>
      <c r="I56" s="34">
        <v>296.39097744360902</v>
      </c>
      <c r="J56" s="36">
        <v>12.98245614035085</v>
      </c>
      <c r="K56" s="36">
        <v>0.43859649122805067</v>
      </c>
      <c r="L56" s="25"/>
      <c r="M56" s="26">
        <f t="shared" si="18"/>
        <v>0.11538580090225563</v>
      </c>
      <c r="N56" s="27">
        <f>MP^2+2*MP*E56-M56</f>
        <v>-0.11538580090225563</v>
      </c>
      <c r="O56" s="28" t="e">
        <f t="shared" si="19"/>
        <v>#NUM!</v>
      </c>
      <c r="P56" s="28">
        <f t="shared" si="20"/>
        <v>1.0471975511965976</v>
      </c>
      <c r="Q56" s="28">
        <f t="shared" si="21"/>
        <v>0.24999999999999994</v>
      </c>
      <c r="R56" s="28">
        <f t="shared" si="22"/>
        <v>0.45993390864154904</v>
      </c>
      <c r="S56" s="29" t="e">
        <f>(1/137)*(C56-E56)*(N56-MP^2)/((4*PI()^2*M56*MP*C56)*(1-R56))</f>
        <v>#DIV/0!</v>
      </c>
      <c r="T56" s="29" t="e">
        <f t="shared" si="23"/>
        <v>#DIV/0!</v>
      </c>
      <c r="U56" s="30" t="e">
        <f t="shared" si="24"/>
        <v>#DIV/0!</v>
      </c>
      <c r="V56" s="24">
        <f t="shared" si="25"/>
        <v>5.9385468302192471E-4</v>
      </c>
      <c r="W56" s="24">
        <f t="shared" si="26"/>
        <v>2402.7065060344412</v>
      </c>
      <c r="X56" s="24">
        <f t="shared" si="27"/>
        <v>2402.7065060344398</v>
      </c>
      <c r="Y56" s="24">
        <f t="shared" si="28"/>
        <v>7907.9317325267248</v>
      </c>
      <c r="Z56" s="24">
        <f t="shared" si="29"/>
        <v>267.15985582859417</v>
      </c>
      <c r="AA56" s="24">
        <f t="shared" si="30"/>
        <v>0.45993390864154904</v>
      </c>
      <c r="AB56" s="24">
        <f t="shared" si="31"/>
        <v>2.0309083496843967E-2</v>
      </c>
      <c r="AC56" s="24">
        <f t="shared" si="32"/>
        <v>6.861176857041589E-4</v>
      </c>
      <c r="AD56" s="24">
        <v>1</v>
      </c>
      <c r="AE56" s="24">
        <f t="shared" si="33"/>
        <v>0.45081416616188269</v>
      </c>
      <c r="AF56" s="24"/>
      <c r="AG56" s="24"/>
      <c r="AH56" s="24"/>
      <c r="AI56" s="15"/>
      <c r="AJ56" s="15"/>
      <c r="AK56" s="15"/>
    </row>
    <row r="57" spans="1:37" ht="16" x14ac:dyDescent="0.2">
      <c r="A57" s="12">
        <v>6</v>
      </c>
      <c r="B57" s="12">
        <v>12</v>
      </c>
      <c r="C57" s="13">
        <v>0.51880000000000004</v>
      </c>
      <c r="D57" s="14">
        <v>60</v>
      </c>
      <c r="E57" s="13">
        <f t="shared" si="17"/>
        <v>0.300902255639097</v>
      </c>
      <c r="F57" s="18">
        <f>J57*$V57*MOUFAC</f>
        <v>3.4469276667318698</v>
      </c>
      <c r="G57" s="18">
        <f>K57*$V57*MOUFAC</f>
        <v>8.8952972044692061E-2</v>
      </c>
      <c r="H57" s="24"/>
      <c r="I57" s="34">
        <v>300.90225563909701</v>
      </c>
      <c r="J57" s="36">
        <v>13.59649122807015</v>
      </c>
      <c r="K57" s="36">
        <v>0.35087719298245013</v>
      </c>
      <c r="L57" s="25"/>
      <c r="M57" s="26">
        <f t="shared" si="18"/>
        <v>0.11304534977443648</v>
      </c>
      <c r="N57" s="27">
        <f>MP^2+2*MP*E57-M57</f>
        <v>-0.11304534977443648</v>
      </c>
      <c r="O57" s="28" t="e">
        <f t="shared" si="19"/>
        <v>#NUM!</v>
      </c>
      <c r="P57" s="28">
        <f t="shared" si="20"/>
        <v>1.0471975511965976</v>
      </c>
      <c r="Q57" s="28">
        <f t="shared" si="21"/>
        <v>0.24999999999999994</v>
      </c>
      <c r="R57" s="28">
        <f t="shared" si="22"/>
        <v>0.45441647149383391</v>
      </c>
      <c r="S57" s="29" t="e">
        <f>(1/137)*(C57-E57)*(N57-MP^2)/((4*PI()^2*M57*MP*C57)*(1-R57))</f>
        <v>#DIV/0!</v>
      </c>
      <c r="T57" s="29" t="e">
        <f t="shared" si="23"/>
        <v>#DIV/0!</v>
      </c>
      <c r="U57" s="30" t="e">
        <f t="shared" si="24"/>
        <v>#DIV/0!</v>
      </c>
      <c r="V57" s="24">
        <f t="shared" si="25"/>
        <v>5.9385468302192482E-4</v>
      </c>
      <c r="W57" s="24">
        <f t="shared" si="26"/>
        <v>2481.8227878356593</v>
      </c>
      <c r="X57" s="24">
        <f t="shared" si="27"/>
        <v>2481.8227878356593</v>
      </c>
      <c r="Y57" s="24">
        <f t="shared" si="28"/>
        <v>8554.6636313163526</v>
      </c>
      <c r="Z57" s="24">
        <f t="shared" si="29"/>
        <v>220.76551306622511</v>
      </c>
      <c r="AA57" s="24">
        <f t="shared" si="30"/>
        <v>0.45441647149383391</v>
      </c>
      <c r="AB57" s="24">
        <f t="shared" si="31"/>
        <v>2.1970014897979659E-2</v>
      </c>
      <c r="AC57" s="24">
        <f t="shared" si="32"/>
        <v>5.6696812639946647E-4</v>
      </c>
      <c r="AD57" s="24">
        <v>1</v>
      </c>
      <c r="AE57" s="24">
        <f t="shared" si="33"/>
        <v>0.45120673446119236</v>
      </c>
      <c r="AF57" s="24"/>
      <c r="AG57" s="24"/>
      <c r="AH57" s="24"/>
      <c r="AI57" s="15"/>
      <c r="AJ57" s="15"/>
      <c r="AK57" s="15"/>
    </row>
    <row r="58" spans="1:37" ht="16" x14ac:dyDescent="0.2">
      <c r="A58" s="12">
        <v>6</v>
      </c>
      <c r="B58" s="12">
        <v>12</v>
      </c>
      <c r="C58" s="13">
        <v>0.51880000000000004</v>
      </c>
      <c r="D58" s="14">
        <v>60</v>
      </c>
      <c r="E58" s="13">
        <f t="shared" si="17"/>
        <v>0.30631578947368399</v>
      </c>
      <c r="F58" s="18">
        <f>J58*$V58*MOUFAC</f>
        <v>3.4580467882374424</v>
      </c>
      <c r="G58" s="18">
        <f>K58*$V58*MOUFAC</f>
        <v>0.14454857957262915</v>
      </c>
      <c r="H58" s="24"/>
      <c r="I58" s="34">
        <v>306.31578947368399</v>
      </c>
      <c r="J58" s="36">
        <v>13.640350877192901</v>
      </c>
      <c r="K58" s="36">
        <v>0.57017543859649944</v>
      </c>
      <c r="L58" s="25"/>
      <c r="M58" s="26">
        <f t="shared" si="18"/>
        <v>0.11023680842105275</v>
      </c>
      <c r="N58" s="27">
        <f>MP^2+2*MP*E58-M58</f>
        <v>-0.11023680842105275</v>
      </c>
      <c r="O58" s="28" t="e">
        <f t="shared" si="19"/>
        <v>#NUM!</v>
      </c>
      <c r="P58" s="28">
        <f t="shared" si="20"/>
        <v>1.0471975511965976</v>
      </c>
      <c r="Q58" s="28">
        <f t="shared" si="21"/>
        <v>0.24999999999999994</v>
      </c>
      <c r="R58" s="28">
        <f t="shared" si="22"/>
        <v>0.44760595846107504</v>
      </c>
      <c r="S58" s="29" t="e">
        <f>(1/137)*(C58-E58)*(N58-MP^2)/((4*PI()^2*M58*MP*C58)*(1-R58))</f>
        <v>#DIV/0!</v>
      </c>
      <c r="T58" s="29" t="e">
        <f t="shared" si="23"/>
        <v>#DIV/0!</v>
      </c>
      <c r="U58" s="30" t="e">
        <f t="shared" si="24"/>
        <v>#DIV/0!</v>
      </c>
      <c r="V58" s="24">
        <f t="shared" si="25"/>
        <v>5.9385468302192471E-4</v>
      </c>
      <c r="W58" s="24">
        <f t="shared" si="26"/>
        <v>2582.88127677378</v>
      </c>
      <c r="X58" s="24">
        <f t="shared" si="27"/>
        <v>2582.88127677378</v>
      </c>
      <c r="Y58" s="24">
        <f t="shared" si="28"/>
        <v>8931.7243035461943</v>
      </c>
      <c r="Z58" s="24">
        <f t="shared" si="29"/>
        <v>373.35181976238869</v>
      </c>
      <c r="AA58" s="24">
        <f t="shared" si="30"/>
        <v>0.44760595846107504</v>
      </c>
      <c r="AB58" s="24">
        <f t="shared" si="31"/>
        <v>2.2938378932306644E-2</v>
      </c>
      <c r="AC58" s="24">
        <f t="shared" si="32"/>
        <v>9.5883899073952552E-4</v>
      </c>
      <c r="AD58" s="24">
        <v>1</v>
      </c>
      <c r="AE58" s="24">
        <f t="shared" si="33"/>
        <v>0.45173683854866103</v>
      </c>
      <c r="AF58" s="24"/>
      <c r="AG58" s="24"/>
      <c r="AH58" s="24"/>
      <c r="AI58" s="15"/>
      <c r="AJ58" s="15"/>
      <c r="AK58" s="15"/>
    </row>
    <row r="59" spans="1:37" ht="16" x14ac:dyDescent="0.2">
      <c r="A59" s="12">
        <v>6</v>
      </c>
      <c r="B59" s="12">
        <v>12</v>
      </c>
      <c r="C59" s="13">
        <v>0.51880000000000004</v>
      </c>
      <c r="D59" s="14">
        <v>60</v>
      </c>
      <c r="E59" s="13">
        <f t="shared" si="17"/>
        <v>0.31082706766917201</v>
      </c>
      <c r="F59" s="18">
        <f>J59*$V59*MOUFAC</f>
        <v>3.3913320592039327</v>
      </c>
      <c r="G59" s="18">
        <f>K59*$V59*MOUFAC</f>
        <v>0.12231033656145941</v>
      </c>
      <c r="H59" s="24"/>
      <c r="I59" s="34">
        <v>310.82706766917198</v>
      </c>
      <c r="J59" s="36">
        <v>13.3771929824561</v>
      </c>
      <c r="K59" s="36">
        <v>0.48245614035089979</v>
      </c>
      <c r="L59" s="25"/>
      <c r="M59" s="26">
        <f t="shared" si="18"/>
        <v>0.10789635729323356</v>
      </c>
      <c r="N59" s="27">
        <f>MP^2+2*MP*E59-M59</f>
        <v>-0.10789635729323356</v>
      </c>
      <c r="O59" s="28" t="e">
        <f t="shared" si="19"/>
        <v>#NUM!</v>
      </c>
      <c r="P59" s="28">
        <f t="shared" si="20"/>
        <v>1.0471975511965976</v>
      </c>
      <c r="Q59" s="28">
        <f t="shared" si="21"/>
        <v>0.24999999999999994</v>
      </c>
      <c r="R59" s="28">
        <f t="shared" si="22"/>
        <v>0.44177046584214152</v>
      </c>
      <c r="S59" s="29" t="e">
        <f>(1/137)*(C59-E59)*(N59-MP^2)/((4*PI()^2*M59*MP*C59)*(1-R59))</f>
        <v>#DIV/0!</v>
      </c>
      <c r="T59" s="29" t="e">
        <f t="shared" si="23"/>
        <v>#DIV/0!</v>
      </c>
      <c r="U59" s="30" t="e">
        <f t="shared" si="24"/>
        <v>#DIV/0!</v>
      </c>
      <c r="V59" s="24">
        <f t="shared" si="25"/>
        <v>5.9385468302192482E-4</v>
      </c>
      <c r="W59" s="24">
        <f t="shared" si="26"/>
        <v>2672.5834468441212</v>
      </c>
      <c r="X59" s="24">
        <f t="shared" si="27"/>
        <v>2672.5834468441203</v>
      </c>
      <c r="Y59" s="24">
        <f t="shared" si="28"/>
        <v>9063.6179241802147</v>
      </c>
      <c r="Z59" s="24">
        <f t="shared" si="29"/>
        <v>326.8845808720896</v>
      </c>
      <c r="AA59" s="24">
        <f t="shared" si="30"/>
        <v>0.44177046584214152</v>
      </c>
      <c r="AB59" s="24">
        <f t="shared" si="31"/>
        <v>2.327710701504156E-2</v>
      </c>
      <c r="AC59" s="24">
        <f t="shared" si="32"/>
        <v>8.3950222021465543E-4</v>
      </c>
      <c r="AD59" s="24">
        <v>1</v>
      </c>
      <c r="AE59" s="24">
        <f t="shared" si="33"/>
        <v>0.45222762331490718</v>
      </c>
      <c r="AF59" s="24"/>
      <c r="AG59" s="24"/>
      <c r="AH59" s="24"/>
      <c r="AI59" s="15"/>
      <c r="AJ59" s="15"/>
      <c r="AK59" s="15"/>
    </row>
    <row r="60" spans="1:37" ht="16" x14ac:dyDescent="0.2">
      <c r="A60" s="12">
        <v>6</v>
      </c>
      <c r="B60" s="12">
        <v>12</v>
      </c>
      <c r="C60" s="13">
        <v>0.51880000000000004</v>
      </c>
      <c r="D60" s="14">
        <v>60</v>
      </c>
      <c r="E60" s="13">
        <f t="shared" si="17"/>
        <v>0.31624060150375904</v>
      </c>
      <c r="F60" s="18">
        <f>J60*$V60*MOUFAC</f>
        <v>3.6025953678100837</v>
      </c>
      <c r="G60" s="18">
        <f>K60*$V60*MOUFAC</f>
        <v>0.1111912150558618</v>
      </c>
      <c r="H60" s="24"/>
      <c r="I60" s="34">
        <v>316.24060150375902</v>
      </c>
      <c r="J60" s="36">
        <v>14.210526315789451</v>
      </c>
      <c r="K60" s="36">
        <v>0.43859649122804978</v>
      </c>
      <c r="L60" s="25"/>
      <c r="M60" s="26">
        <f t="shared" si="18"/>
        <v>0.10508781593984981</v>
      </c>
      <c r="N60" s="27">
        <f>MP^2+2*MP*E60-M60</f>
        <v>-0.10508781593984981</v>
      </c>
      <c r="O60" s="28" t="e">
        <f t="shared" si="19"/>
        <v>#NUM!</v>
      </c>
      <c r="P60" s="28">
        <f t="shared" si="20"/>
        <v>1.0471975511965976</v>
      </c>
      <c r="Q60" s="28">
        <f t="shared" si="21"/>
        <v>0.24999999999999994</v>
      </c>
      <c r="R60" s="28">
        <f t="shared" si="22"/>
        <v>0.43457321348783379</v>
      </c>
      <c r="S60" s="29" t="e">
        <f>(1/137)*(C60-E60)*(N60-MP^2)/((4*PI()^2*M60*MP*C60)*(1-R60))</f>
        <v>#DIV/0!</v>
      </c>
      <c r="T60" s="29" t="e">
        <f t="shared" si="23"/>
        <v>#DIV/0!</v>
      </c>
      <c r="U60" s="30" t="e">
        <f t="shared" si="24"/>
        <v>#DIV/0!</v>
      </c>
      <c r="V60" s="24">
        <f t="shared" si="25"/>
        <v>5.9385468302192471E-4</v>
      </c>
      <c r="W60" s="24">
        <f t="shared" si="26"/>
        <v>2787.3540531678204</v>
      </c>
      <c r="X60" s="24">
        <f t="shared" si="27"/>
        <v>2787.3540531678195</v>
      </c>
      <c r="Y60" s="24">
        <f t="shared" si="28"/>
        <v>10041.708800389048</v>
      </c>
      <c r="Z60" s="24">
        <f t="shared" si="29"/>
        <v>309.92928396261107</v>
      </c>
      <c r="AA60" s="24">
        <f t="shared" si="30"/>
        <v>0.43457321348783379</v>
      </c>
      <c r="AB60" s="24">
        <f t="shared" si="31"/>
        <v>2.5789031743820107E-2</v>
      </c>
      <c r="AC60" s="24">
        <f t="shared" si="32"/>
        <v>7.9595776987095542E-4</v>
      </c>
      <c r="AD60" s="24">
        <v>1</v>
      </c>
      <c r="AE60" s="24">
        <f t="shared" si="33"/>
        <v>0.45287518587278452</v>
      </c>
      <c r="AF60" s="24"/>
      <c r="AG60" s="24"/>
      <c r="AH60" s="24"/>
      <c r="AI60" s="15"/>
      <c r="AJ60" s="15"/>
      <c r="AK60" s="15"/>
    </row>
    <row r="61" spans="1:37" ht="16" x14ac:dyDescent="0.2">
      <c r="A61" s="12">
        <v>6</v>
      </c>
      <c r="B61" s="12">
        <v>12</v>
      </c>
      <c r="C61" s="13">
        <v>0.51880000000000004</v>
      </c>
      <c r="D61" s="14">
        <v>60</v>
      </c>
      <c r="E61" s="13">
        <f t="shared" si="17"/>
        <v>0.32075187969924795</v>
      </c>
      <c r="F61" s="18">
        <f>J61*$V61*MOUFAC</f>
        <v>3.724905704371531</v>
      </c>
      <c r="G61" s="18">
        <f>K61*$V61*MOUFAC</f>
        <v>0.10007209355028965</v>
      </c>
      <c r="H61" s="24"/>
      <c r="I61" s="34">
        <v>320.75187969924798</v>
      </c>
      <c r="J61" s="36">
        <v>14.6929824561403</v>
      </c>
      <c r="K61" s="36">
        <v>0.39473684210530013</v>
      </c>
      <c r="L61" s="25"/>
      <c r="M61" s="26">
        <f t="shared" si="18"/>
        <v>0.10274736481203016</v>
      </c>
      <c r="N61" s="27">
        <f>MP^2+2*MP*E61-M61</f>
        <v>-0.10274736481203016</v>
      </c>
      <c r="O61" s="28" t="e">
        <f t="shared" si="19"/>
        <v>#NUM!</v>
      </c>
      <c r="P61" s="28">
        <f t="shared" si="20"/>
        <v>1.0471975511965976</v>
      </c>
      <c r="Q61" s="28">
        <f t="shared" si="21"/>
        <v>0.24999999999999994</v>
      </c>
      <c r="R61" s="28">
        <f t="shared" si="22"/>
        <v>0.4284113132716918</v>
      </c>
      <c r="S61" s="29" t="e">
        <f>(1/137)*(C61-E61)*(N61-MP^2)/((4*PI()^2*M61*MP*C61)*(1-R61))</f>
        <v>#DIV/0!</v>
      </c>
      <c r="T61" s="29" t="e">
        <f t="shared" si="23"/>
        <v>#DIV/0!</v>
      </c>
      <c r="U61" s="30" t="e">
        <f t="shared" si="24"/>
        <v>#DIV/0!</v>
      </c>
      <c r="V61" s="24">
        <f t="shared" si="25"/>
        <v>5.9385468302192482E-4</v>
      </c>
      <c r="W61" s="24">
        <f t="shared" si="26"/>
        <v>2889.4065322743768</v>
      </c>
      <c r="X61" s="24">
        <f t="shared" si="27"/>
        <v>2889.4065322743772</v>
      </c>
      <c r="Y61" s="24">
        <f t="shared" si="28"/>
        <v>10762.766874317193</v>
      </c>
      <c r="Z61" s="24">
        <f t="shared" si="29"/>
        <v>289.1489608025795</v>
      </c>
      <c r="AA61" s="24">
        <f t="shared" si="30"/>
        <v>0.4284113132716918</v>
      </c>
      <c r="AB61" s="24">
        <f t="shared" si="31"/>
        <v>2.7640847000298195E-2</v>
      </c>
      <c r="AC61" s="24">
        <f t="shared" si="32"/>
        <v>7.4258991941106832E-4</v>
      </c>
      <c r="AD61" s="24">
        <v>1</v>
      </c>
      <c r="AE61" s="24">
        <f t="shared" si="33"/>
        <v>0.45346348600811398</v>
      </c>
      <c r="AF61" s="24"/>
      <c r="AG61" s="24"/>
      <c r="AH61" s="24"/>
      <c r="AI61" s="15"/>
      <c r="AJ61" s="15"/>
      <c r="AK61" s="15"/>
    </row>
    <row r="62" spans="1:37" ht="16" x14ac:dyDescent="0.2">
      <c r="A62" s="12">
        <v>6</v>
      </c>
      <c r="B62" s="12">
        <v>12</v>
      </c>
      <c r="C62" s="13">
        <v>0.51880000000000004</v>
      </c>
      <c r="D62" s="14">
        <v>60</v>
      </c>
      <c r="E62" s="13">
        <f t="shared" si="17"/>
        <v>0.32616541353383399</v>
      </c>
      <c r="F62" s="18">
        <f>J62*$V62*MOUFAC</f>
        <v>3.6137144893156696</v>
      </c>
      <c r="G62" s="18">
        <f>K62*$V62*MOUFAC</f>
        <v>0.1223103365614468</v>
      </c>
      <c r="H62" s="24"/>
      <c r="I62" s="34">
        <v>326.165413533834</v>
      </c>
      <c r="J62" s="36">
        <v>14.254385964912251</v>
      </c>
      <c r="K62" s="36">
        <v>0.48245614035085005</v>
      </c>
      <c r="L62" s="25"/>
      <c r="M62" s="26">
        <f t="shared" si="18"/>
        <v>9.9938823458646922E-2</v>
      </c>
      <c r="N62" s="27">
        <f>MP^2+2*MP*E62-M62</f>
        <v>-9.9938823458646922E-2</v>
      </c>
      <c r="O62" s="28" t="e">
        <f t="shared" si="19"/>
        <v>#NUM!</v>
      </c>
      <c r="P62" s="28">
        <f t="shared" si="20"/>
        <v>1.0471975511965976</v>
      </c>
      <c r="Q62" s="28">
        <f t="shared" si="21"/>
        <v>0.24999999999999994</v>
      </c>
      <c r="R62" s="28">
        <f t="shared" si="22"/>
        <v>0.42081756577901208</v>
      </c>
      <c r="S62" s="29" t="e">
        <f>(1/137)*(C62-E62)*(N62-MP^2)/((4*PI()^2*M62*MP*C62)*(1-R62))</f>
        <v>#DIV/0!</v>
      </c>
      <c r="T62" s="29" t="e">
        <f t="shared" si="23"/>
        <v>#DIV/0!</v>
      </c>
      <c r="U62" s="30" t="e">
        <f t="shared" si="24"/>
        <v>#DIV/0!</v>
      </c>
      <c r="V62" s="24">
        <f t="shared" si="25"/>
        <v>5.9385468302192482E-4</v>
      </c>
      <c r="W62" s="24">
        <f t="shared" si="26"/>
        <v>3020.2245705934583</v>
      </c>
      <c r="X62" s="24">
        <f t="shared" si="27"/>
        <v>3020.2245705934579</v>
      </c>
      <c r="Y62" s="24">
        <f t="shared" si="28"/>
        <v>10914.229291740776</v>
      </c>
      <c r="Z62" s="24">
        <f t="shared" si="29"/>
        <v>369.40468372043699</v>
      </c>
      <c r="AA62" s="24">
        <f t="shared" si="30"/>
        <v>0.42081756577901208</v>
      </c>
      <c r="AB62" s="24">
        <f t="shared" si="31"/>
        <v>2.8029831501699111E-2</v>
      </c>
      <c r="AC62" s="24">
        <f t="shared" si="32"/>
        <v>9.4870198928822614E-4</v>
      </c>
      <c r="AD62" s="24">
        <v>1</v>
      </c>
      <c r="AE62" s="24">
        <f t="shared" si="33"/>
        <v>0.45422758661748391</v>
      </c>
      <c r="AF62" s="24"/>
      <c r="AG62" s="24"/>
      <c r="AH62" s="24"/>
      <c r="AI62" s="15"/>
      <c r="AJ62" s="15"/>
      <c r="AK62" s="15"/>
    </row>
    <row r="63" spans="1:37" ht="16" x14ac:dyDescent="0.2">
      <c r="A63" s="12">
        <v>6</v>
      </c>
      <c r="B63" s="12">
        <v>12</v>
      </c>
      <c r="C63" s="13">
        <v>0.51880000000000004</v>
      </c>
      <c r="D63" s="14">
        <v>60</v>
      </c>
      <c r="E63" s="13">
        <f t="shared" si="17"/>
        <v>0.33067669172932301</v>
      </c>
      <c r="F63" s="18">
        <f>J63*$V63*MOUFAC</f>
        <v>3.7471439473827011</v>
      </c>
      <c r="G63" s="18">
        <f>K63*$V63*MOUFAC</f>
        <v>0.12231033656145941</v>
      </c>
      <c r="H63" s="24"/>
      <c r="I63" s="34">
        <v>330.67669172932301</v>
      </c>
      <c r="J63" s="36">
        <v>14.7807017543859</v>
      </c>
      <c r="K63" s="36">
        <v>0.48245614035089979</v>
      </c>
      <c r="L63" s="25"/>
      <c r="M63" s="26">
        <f t="shared" si="18"/>
        <v>9.7598372330827216E-2</v>
      </c>
      <c r="N63" s="27">
        <f>MP^2+2*MP*E63-M63</f>
        <v>-9.7598372330827216E-2</v>
      </c>
      <c r="O63" s="28" t="e">
        <f t="shared" si="19"/>
        <v>#NUM!</v>
      </c>
      <c r="P63" s="28">
        <f t="shared" si="20"/>
        <v>1.0471975511965976</v>
      </c>
      <c r="Q63" s="28">
        <f t="shared" si="21"/>
        <v>0.24999999999999994</v>
      </c>
      <c r="R63" s="28">
        <f t="shared" si="22"/>
        <v>0.41432137132637475</v>
      </c>
      <c r="S63" s="29" t="e">
        <f>(1/137)*(C63-E63)*(N63-MP^2)/((4*PI()^2*M63*MP*C63)*(1-R63))</f>
        <v>#DIV/0!</v>
      </c>
      <c r="T63" s="29" t="e">
        <f t="shared" si="23"/>
        <v>#DIV/0!</v>
      </c>
      <c r="U63" s="30" t="e">
        <f t="shared" si="24"/>
        <v>#DIV/0!</v>
      </c>
      <c r="V63" s="24">
        <f t="shared" si="25"/>
        <v>5.9385468302192482E-4</v>
      </c>
      <c r="W63" s="24">
        <f t="shared" si="26"/>
        <v>3136.7777665954627</v>
      </c>
      <c r="X63" s="24">
        <f t="shared" si="27"/>
        <v>3136.7777665954623</v>
      </c>
      <c r="Y63" s="24">
        <f t="shared" si="28"/>
        <v>11753.957822382814</v>
      </c>
      <c r="Z63" s="24">
        <f t="shared" si="29"/>
        <v>383.66034435079399</v>
      </c>
      <c r="AA63" s="24">
        <f t="shared" si="30"/>
        <v>0.41432137132637475</v>
      </c>
      <c r="AB63" s="24">
        <f t="shared" si="31"/>
        <v>3.0186415222995623E-2</v>
      </c>
      <c r="AC63" s="24">
        <f t="shared" si="32"/>
        <v>9.8531325653699957E-4</v>
      </c>
      <c r="AD63" s="24">
        <v>1</v>
      </c>
      <c r="AE63" s="24">
        <f t="shared" si="33"/>
        <v>0.45491257048346878</v>
      </c>
      <c r="AF63" s="24"/>
      <c r="AG63" s="24"/>
      <c r="AH63" s="24"/>
      <c r="AI63" s="15"/>
      <c r="AJ63" s="15"/>
      <c r="AK63" s="15"/>
    </row>
    <row r="64" spans="1:37" ht="16" x14ac:dyDescent="0.2">
      <c r="A64" s="12">
        <v>6</v>
      </c>
      <c r="B64" s="12">
        <v>12</v>
      </c>
      <c r="C64" s="13">
        <v>0.51880000000000004</v>
      </c>
      <c r="D64" s="14">
        <v>60</v>
      </c>
      <c r="E64" s="13">
        <f t="shared" si="17"/>
        <v>0.33563909774436002</v>
      </c>
      <c r="F64" s="18">
        <f>J64*$V64*MOUFAC</f>
        <v>4.1029558355614801</v>
      </c>
      <c r="G64" s="18">
        <f>K64*$V64*MOUFAC</f>
        <v>0.14454857957261652</v>
      </c>
      <c r="H64" s="24"/>
      <c r="I64" s="34">
        <v>335.63909774436001</v>
      </c>
      <c r="J64" s="36">
        <v>16.184210526315749</v>
      </c>
      <c r="K64" s="36">
        <v>0.5701754385964497</v>
      </c>
      <c r="L64" s="25"/>
      <c r="M64" s="26">
        <f t="shared" si="18"/>
        <v>9.5023876090226028E-2</v>
      </c>
      <c r="N64" s="27">
        <f>MP^2+2*MP*E64-M64</f>
        <v>-9.5023876090226028E-2</v>
      </c>
      <c r="O64" s="28" t="e">
        <f t="shared" si="19"/>
        <v>#NUM!</v>
      </c>
      <c r="P64" s="28">
        <f t="shared" si="20"/>
        <v>1.0471975511965976</v>
      </c>
      <c r="Q64" s="28">
        <f t="shared" si="21"/>
        <v>0.24999999999999994</v>
      </c>
      <c r="R64" s="28">
        <f t="shared" si="22"/>
        <v>0.40699715434027128</v>
      </c>
      <c r="S64" s="29" t="e">
        <f>(1/137)*(C64-E64)*(N64-MP^2)/((4*PI()^2*M64*MP*C64)*(1-R64))</f>
        <v>#DIV/0!</v>
      </c>
      <c r="T64" s="29" t="e">
        <f t="shared" si="23"/>
        <v>#DIV/0!</v>
      </c>
      <c r="U64" s="30" t="e">
        <f t="shared" si="24"/>
        <v>#DIV/0!</v>
      </c>
      <c r="V64" s="24">
        <f t="shared" si="25"/>
        <v>5.9385468302192471E-4</v>
      </c>
      <c r="W64" s="24">
        <f t="shared" si="26"/>
        <v>3273.5917283953145</v>
      </c>
      <c r="X64" s="24">
        <f t="shared" si="27"/>
        <v>3273.5917283953136</v>
      </c>
      <c r="Y64" s="24">
        <f t="shared" si="28"/>
        <v>13431.402285265343</v>
      </c>
      <c r="Z64" s="24">
        <f t="shared" si="29"/>
        <v>473.1930344402092</v>
      </c>
      <c r="AA64" s="24">
        <f t="shared" si="30"/>
        <v>0.40699715434027128</v>
      </c>
      <c r="AB64" s="24">
        <f t="shared" si="31"/>
        <v>3.4494413927369204E-2</v>
      </c>
      <c r="AC64" s="24">
        <f t="shared" si="32"/>
        <v>1.2152503551646834E-3</v>
      </c>
      <c r="AD64" s="24">
        <v>1</v>
      </c>
      <c r="AE64" s="24">
        <f t="shared" si="33"/>
        <v>0.45571644695454439</v>
      </c>
      <c r="AF64" s="24"/>
      <c r="AG64" s="24"/>
      <c r="AH64" s="24"/>
      <c r="AI64" s="15"/>
      <c r="AJ64" s="15"/>
      <c r="AK64" s="15"/>
    </row>
    <row r="65" spans="1:37" ht="16" x14ac:dyDescent="0.2">
      <c r="A65" s="12">
        <v>6</v>
      </c>
      <c r="B65" s="12">
        <v>12</v>
      </c>
      <c r="C65" s="13">
        <v>0.51880000000000004</v>
      </c>
      <c r="D65" s="14">
        <v>60</v>
      </c>
      <c r="E65" s="13">
        <f t="shared" si="17"/>
        <v>0.34060150375939796</v>
      </c>
      <c r="F65" s="18">
        <f>J65*$V65*MOUFAC</f>
        <v>3.8360969194273915</v>
      </c>
      <c r="G65" s="18">
        <f>K65*$V65*MOUFAC</f>
        <v>0.12231033656144676</v>
      </c>
      <c r="H65" s="24"/>
      <c r="I65" s="34">
        <v>340.60150375939799</v>
      </c>
      <c r="J65" s="36">
        <v>15.13157894736835</v>
      </c>
      <c r="K65" s="36">
        <v>0.48245614035085005</v>
      </c>
      <c r="L65" s="25"/>
      <c r="M65" s="26">
        <f t="shared" si="18"/>
        <v>9.2449379849624355E-2</v>
      </c>
      <c r="N65" s="27">
        <f>MP^2+2*MP*E65-M65</f>
        <v>-9.2449379849624355E-2</v>
      </c>
      <c r="O65" s="28" t="e">
        <f t="shared" si="19"/>
        <v>#NUM!</v>
      </c>
      <c r="P65" s="28">
        <f t="shared" si="20"/>
        <v>1.0471975511965976</v>
      </c>
      <c r="Q65" s="28">
        <f t="shared" si="21"/>
        <v>0.24999999999999994</v>
      </c>
      <c r="R65" s="28">
        <f t="shared" si="22"/>
        <v>0.39948416340109261</v>
      </c>
      <c r="S65" s="29" t="e">
        <f>(1/137)*(C65-E65)*(N65-MP^2)/((4*PI()^2*M65*MP*C65)*(1-R65))</f>
        <v>#DIV/0!</v>
      </c>
      <c r="T65" s="29" t="e">
        <f t="shared" si="23"/>
        <v>#DIV/0!</v>
      </c>
      <c r="U65" s="30" t="e">
        <f t="shared" si="24"/>
        <v>#DIV/0!</v>
      </c>
      <c r="V65" s="24">
        <f t="shared" si="25"/>
        <v>5.9385468302192461E-4</v>
      </c>
      <c r="W65" s="24">
        <f t="shared" si="26"/>
        <v>3420.2015149620138</v>
      </c>
      <c r="X65" s="24">
        <f t="shared" si="27"/>
        <v>3420.2015149620133</v>
      </c>
      <c r="Y65" s="24">
        <f t="shared" si="28"/>
        <v>13120.224495366678</v>
      </c>
      <c r="Z65" s="24">
        <f t="shared" si="29"/>
        <v>418.32599840297394</v>
      </c>
      <c r="AA65" s="24">
        <f t="shared" si="30"/>
        <v>0.39948416340109261</v>
      </c>
      <c r="AB65" s="24">
        <f t="shared" si="31"/>
        <v>3.3695249755096301E-2</v>
      </c>
      <c r="AC65" s="24">
        <f t="shared" si="32"/>
        <v>1.0743412965392469E-3</v>
      </c>
      <c r="AD65" s="24">
        <v>1</v>
      </c>
      <c r="AE65" s="24">
        <f t="shared" si="33"/>
        <v>0.45657284655659008</v>
      </c>
      <c r="AF65" s="24"/>
      <c r="AG65" s="24"/>
      <c r="AH65" s="24"/>
      <c r="AI65" s="15"/>
      <c r="AJ65" s="15"/>
      <c r="AK65" s="15"/>
    </row>
    <row r="66" spans="1:37" ht="16" x14ac:dyDescent="0.2">
      <c r="A66" s="12">
        <v>6</v>
      </c>
      <c r="B66" s="12">
        <v>12</v>
      </c>
      <c r="C66" s="13">
        <v>0.51880000000000004</v>
      </c>
      <c r="D66" s="14">
        <v>60</v>
      </c>
      <c r="E66" s="13">
        <f t="shared" si="17"/>
        <v>0.34511278195488698</v>
      </c>
      <c r="F66" s="18">
        <f>J66*$V66*MOUFAC</f>
        <v>4.225266172122927</v>
      </c>
      <c r="G66" s="18">
        <f>K66*$V66*MOUFAC</f>
        <v>0.11119121505587459</v>
      </c>
      <c r="H66" s="24"/>
      <c r="I66" s="34">
        <v>345.112781954887</v>
      </c>
      <c r="J66" s="36">
        <v>16.6666666666666</v>
      </c>
      <c r="K66" s="36">
        <v>0.4385964912281004</v>
      </c>
      <c r="L66" s="25"/>
      <c r="M66" s="26">
        <f t="shared" si="18"/>
        <v>9.0108928721804649E-2</v>
      </c>
      <c r="N66" s="27">
        <f>MP^2+2*MP*E66-M66</f>
        <v>-9.0108928721804649E-2</v>
      </c>
      <c r="O66" s="28" t="e">
        <f t="shared" si="19"/>
        <v>#NUM!</v>
      </c>
      <c r="P66" s="28">
        <f t="shared" si="20"/>
        <v>1.0471975511965976</v>
      </c>
      <c r="Q66" s="28">
        <f t="shared" si="21"/>
        <v>0.24999999999999994</v>
      </c>
      <c r="R66" s="28">
        <f t="shared" si="22"/>
        <v>0.39248880612913001</v>
      </c>
      <c r="S66" s="29" t="e">
        <f>(1/137)*(C66-E66)*(N66-MP^2)/((4*PI()^2*M66*MP*C66)*(1-R66))</f>
        <v>#DIV/0!</v>
      </c>
      <c r="T66" s="29" t="e">
        <f t="shared" si="23"/>
        <v>#DIV/0!</v>
      </c>
      <c r="U66" s="30" t="e">
        <f t="shared" si="24"/>
        <v>#DIV/0!</v>
      </c>
      <c r="V66" s="24">
        <f t="shared" si="25"/>
        <v>5.9385468302192461E-4</v>
      </c>
      <c r="W66" s="24">
        <f t="shared" si="26"/>
        <v>3562.7358720477546</v>
      </c>
      <c r="X66" s="24">
        <f t="shared" si="27"/>
        <v>3562.7358720477532</v>
      </c>
      <c r="Y66" s="24">
        <f t="shared" si="28"/>
        <v>15053.507360372249</v>
      </c>
      <c r="Z66" s="24">
        <f t="shared" si="29"/>
        <v>396.14493053614063</v>
      </c>
      <c r="AA66" s="24">
        <f t="shared" si="30"/>
        <v>0.39248880612913001</v>
      </c>
      <c r="AB66" s="24">
        <f t="shared" si="31"/>
        <v>3.86602904833716E-2</v>
      </c>
      <c r="AC66" s="24">
        <f t="shared" si="32"/>
        <v>1.0173760653519584E-3</v>
      </c>
      <c r="AD66" s="24">
        <v>1</v>
      </c>
      <c r="AE66" s="24">
        <f t="shared" si="33"/>
        <v>0.45739672166560841</v>
      </c>
      <c r="AF66" s="24"/>
      <c r="AG66" s="24"/>
      <c r="AH66" s="24"/>
      <c r="AI66" s="15"/>
      <c r="AJ66" s="15"/>
      <c r="AK66" s="15"/>
    </row>
    <row r="67" spans="1:37" ht="16" x14ac:dyDescent="0.2">
      <c r="A67" s="12">
        <v>6</v>
      </c>
      <c r="B67" s="12">
        <v>12</v>
      </c>
      <c r="C67" s="13">
        <v>0.51880000000000004</v>
      </c>
      <c r="D67" s="14">
        <v>60</v>
      </c>
      <c r="E67" s="13">
        <f t="shared" si="17"/>
        <v>0.35007518796992398</v>
      </c>
      <c r="F67" s="18">
        <f>J67*$V67*MOUFAC</f>
        <v>4.191908807606171</v>
      </c>
      <c r="G67" s="18">
        <f>K67*$V67*MOUFAC</f>
        <v>0.12231033656145937</v>
      </c>
      <c r="H67" s="24"/>
      <c r="I67" s="34">
        <v>350.075187969924</v>
      </c>
      <c r="J67" s="36">
        <v>16.535087719298197</v>
      </c>
      <c r="K67" s="36">
        <v>0.48245614035089979</v>
      </c>
      <c r="L67" s="25"/>
      <c r="M67" s="26">
        <f t="shared" si="18"/>
        <v>8.7534432481203447E-2</v>
      </c>
      <c r="N67" s="27">
        <f>MP^2+2*MP*E67-M67</f>
        <v>-8.7534432481203447E-2</v>
      </c>
      <c r="O67" s="28" t="e">
        <f t="shared" si="19"/>
        <v>#NUM!</v>
      </c>
      <c r="P67" s="28">
        <f t="shared" si="20"/>
        <v>1.0471975511965976</v>
      </c>
      <c r="Q67" s="28">
        <f t="shared" si="21"/>
        <v>0.24999999999999994</v>
      </c>
      <c r="R67" s="28">
        <f t="shared" si="22"/>
        <v>0.38461039170728567</v>
      </c>
      <c r="S67" s="29" t="e">
        <f>(1/137)*(C67-E67)*(N67-MP^2)/((4*PI()^2*M67*MP*C67)*(1-R67))</f>
        <v>#DIV/0!</v>
      </c>
      <c r="T67" s="29" t="e">
        <f t="shared" si="23"/>
        <v>#DIV/0!</v>
      </c>
      <c r="U67" s="30" t="e">
        <f t="shared" si="24"/>
        <v>#DIV/0!</v>
      </c>
      <c r="V67" s="24">
        <f t="shared" si="25"/>
        <v>5.9385468302192461E-4</v>
      </c>
      <c r="W67" s="24">
        <f t="shared" si="26"/>
        <v>3730.6253327594773</v>
      </c>
      <c r="X67" s="24">
        <f t="shared" si="27"/>
        <v>3730.6253327594754</v>
      </c>
      <c r="Y67" s="24">
        <f t="shared" si="28"/>
        <v>15638.441190273148</v>
      </c>
      <c r="Z67" s="24">
        <f t="shared" si="29"/>
        <v>456.29404003451782</v>
      </c>
      <c r="AA67" s="24">
        <f t="shared" si="30"/>
        <v>0.38461039170728567</v>
      </c>
      <c r="AB67" s="24">
        <f t="shared" si="31"/>
        <v>4.0162512605841846E-2</v>
      </c>
      <c r="AC67" s="24">
        <f t="shared" si="32"/>
        <v>1.1718505004357622E-3</v>
      </c>
      <c r="AD67" s="24">
        <v>1</v>
      </c>
      <c r="AE67" s="24">
        <f t="shared" si="33"/>
        <v>0.45835256049615458</v>
      </c>
      <c r="AF67" s="24"/>
      <c r="AG67" s="24"/>
      <c r="AH67" s="24"/>
      <c r="AI67" s="15"/>
      <c r="AJ67" s="15"/>
      <c r="AK67" s="15"/>
    </row>
    <row r="68" spans="1:37" ht="16" x14ac:dyDescent="0.2">
      <c r="A68" s="12"/>
      <c r="B68" s="12"/>
      <c r="C68" s="13"/>
      <c r="D68" s="14"/>
      <c r="E68" s="13"/>
      <c r="F68" s="18"/>
      <c r="G68" s="18"/>
      <c r="I68" s="24" t="s">
        <v>25</v>
      </c>
      <c r="J68" s="34" t="s">
        <v>26</v>
      </c>
      <c r="K68" s="36" t="s">
        <v>27</v>
      </c>
      <c r="L68" s="25"/>
      <c r="M68" s="26"/>
      <c r="N68" s="27"/>
      <c r="O68" s="28"/>
      <c r="P68" s="28"/>
      <c r="Q68" s="28"/>
      <c r="R68" s="28"/>
      <c r="S68" s="29"/>
      <c r="T68" s="29"/>
      <c r="U68" s="30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15"/>
      <c r="AJ68" s="15"/>
      <c r="AK68" s="15"/>
    </row>
    <row r="69" spans="1:37" ht="16" x14ac:dyDescent="0.2">
      <c r="A69" s="12">
        <v>6</v>
      </c>
      <c r="B69" s="12">
        <v>12</v>
      </c>
      <c r="C69" s="13">
        <v>0.48</v>
      </c>
      <c r="D69" s="14">
        <v>60</v>
      </c>
      <c r="E69" s="13">
        <f t="shared" ref="E69" si="34">I69/1000</f>
        <v>1.12911657083115E-2</v>
      </c>
      <c r="F69" s="18">
        <f>J69*$V69*MOUFAC</f>
        <v>0.38702404826996911</v>
      </c>
      <c r="G69" s="18">
        <f>K69*$V69*MOUFAC</f>
        <v>6.7308530133909625E-2</v>
      </c>
      <c r="H69" s="24">
        <v>28</v>
      </c>
      <c r="I69" s="24">
        <v>11.2911657083115</v>
      </c>
      <c r="J69" s="34">
        <v>1.3068181818181599</v>
      </c>
      <c r="K69" s="36">
        <v>0.22727272727273007</v>
      </c>
      <c r="L69" s="25"/>
      <c r="M69" s="26">
        <f t="shared" ref="M69:M132" si="35">4*C69*(C69-E69)*Q69</f>
        <v>0.22498024046001039</v>
      </c>
      <c r="N69" s="27">
        <f t="shared" ref="N69:N132" si="36">MP^2+2*MP*E69-M69</f>
        <v>-0.22498024046001039</v>
      </c>
      <c r="O69" s="28" t="e">
        <f t="shared" ref="O69:O132" si="37">SQRT(N69)</f>
        <v>#NUM!</v>
      </c>
      <c r="P69" s="28">
        <f t="shared" ref="P69:P132" si="38">PI()*D69/180</f>
        <v>1.0471975511965976</v>
      </c>
      <c r="Q69" s="28">
        <f t="shared" ref="Q69:Q132" si="39">(SIN(P69/2))^2</f>
        <v>0.24999999999999994</v>
      </c>
      <c r="R69" s="28">
        <f t="shared" ref="R69:R132" si="40">1/(1+2*(1+E69^2/M69)*(TAN(P69/2))^2)</f>
        <v>0.59986402909217884</v>
      </c>
      <c r="S69" s="29" t="e">
        <f t="shared" ref="S69:S132" si="41">(1/137)*(C69-E69)*(N69-MP^2)/((4*PI()^2*M69*MP*C69)*(1-R69))</f>
        <v>#DIV/0!</v>
      </c>
      <c r="T69" s="29" t="e">
        <f t="shared" ref="T69:T132" si="42">F69/S69</f>
        <v>#DIV/0!</v>
      </c>
      <c r="U69" s="30" t="e">
        <f t="shared" ref="U69:U132" si="43">G69/S69</f>
        <v>#DIV/0!</v>
      </c>
      <c r="V69" s="24">
        <f t="shared" ref="V69:V132" si="44">4*(1/137)^2*(1-Q69)*(C69-E69)^2/M69^2</f>
        <v>6.9374145310529818E-4</v>
      </c>
      <c r="W69" s="24">
        <f t="shared" ref="W69:W132" si="45">(1/V69)*R69*(M69+E69^2)^2/M69^2</f>
        <v>865.65978372930419</v>
      </c>
      <c r="X69" s="24">
        <f t="shared" ref="X69:X132" si="46">(M69+E69^2)^2/(4*(1/137)^2*(C69-E69)^2*(1-Q69+2*Q69*(M69+E69^2)/M69))</f>
        <v>865.65978372930408</v>
      </c>
      <c r="Y69" s="24">
        <f t="shared" ref="Y69:Y132" si="47">AD69*X69*F69</f>
        <v>335.03115392342119</v>
      </c>
      <c r="Z69" s="24">
        <f t="shared" ref="Z69:Z132" si="48">AD69*X69*G69</f>
        <v>58.266287638857555</v>
      </c>
      <c r="AA69" s="24">
        <f t="shared" ref="AA69:AA132" si="49">R69</f>
        <v>0.59986402909217884</v>
      </c>
      <c r="AB69" s="24">
        <f t="shared" ref="AB69:AB132" si="50">Y69/(0.1973269^2*10000000)</f>
        <v>8.6042418033124444E-4</v>
      </c>
      <c r="AC69" s="24">
        <f t="shared" ref="AC69:AC132" si="51">Z69/(0.1973269^2*10000000)</f>
        <v>1.4963898788369903E-4</v>
      </c>
      <c r="AD69" s="24">
        <v>1</v>
      </c>
      <c r="AE69" s="24">
        <f t="shared" ref="AE69:AE132" si="52">SQRT(M69+E69^2)</f>
        <v>0.47445519375707434</v>
      </c>
      <c r="AF69" s="24"/>
      <c r="AG69" s="24"/>
      <c r="AH69" s="24"/>
      <c r="AI69" s="15"/>
      <c r="AJ69" s="15"/>
      <c r="AK69" s="15"/>
    </row>
    <row r="70" spans="1:37" ht="16" x14ac:dyDescent="0.2">
      <c r="A70" s="12">
        <v>6</v>
      </c>
      <c r="B70" s="12">
        <v>12</v>
      </c>
      <c r="C70" s="13">
        <v>0.48</v>
      </c>
      <c r="D70" s="14">
        <v>60</v>
      </c>
      <c r="E70" s="13">
        <f t="shared" ref="E70:E133" si="53">I70/1000</f>
        <v>1.6309461578672198E-2</v>
      </c>
      <c r="F70" s="18">
        <f>J70*$V70*MOUFAC</f>
        <v>0.34916300006964546</v>
      </c>
      <c r="G70" s="18">
        <f>K70*$V70*MOUFAC</f>
        <v>7.992887953401534E-2</v>
      </c>
      <c r="I70" s="24">
        <v>16.309461578672199</v>
      </c>
      <c r="J70" s="34">
        <v>1.1789772727272509</v>
      </c>
      <c r="K70" s="36">
        <v>0.26988636363635904</v>
      </c>
      <c r="L70" s="25"/>
      <c r="M70" s="26">
        <f t="shared" si="35"/>
        <v>0.22257145844223727</v>
      </c>
      <c r="N70" s="27">
        <f t="shared" si="36"/>
        <v>-0.22257145844223727</v>
      </c>
      <c r="O70" s="28" t="e">
        <f t="shared" si="37"/>
        <v>#NUM!</v>
      </c>
      <c r="P70" s="28">
        <f t="shared" si="38"/>
        <v>1.0471975511965976</v>
      </c>
      <c r="Q70" s="28">
        <f t="shared" si="39"/>
        <v>0.24999999999999994</v>
      </c>
      <c r="R70" s="28">
        <f t="shared" si="40"/>
        <v>0.59971330939909773</v>
      </c>
      <c r="S70" s="29" t="e">
        <f t="shared" si="41"/>
        <v>#DIV/0!</v>
      </c>
      <c r="T70" s="29" t="e">
        <f t="shared" si="42"/>
        <v>#DIV/0!</v>
      </c>
      <c r="U70" s="30" t="e">
        <f t="shared" si="43"/>
        <v>#DIV/0!</v>
      </c>
      <c r="V70" s="24">
        <f t="shared" si="44"/>
        <v>6.9374145310529818E-4</v>
      </c>
      <c r="W70" s="24">
        <f t="shared" si="45"/>
        <v>866.52976592868424</v>
      </c>
      <c r="X70" s="24">
        <f t="shared" si="46"/>
        <v>866.52976592868436</v>
      </c>
      <c r="Y70" s="24">
        <f t="shared" si="47"/>
        <v>302.56013272130707</v>
      </c>
      <c r="Z70" s="24">
        <f t="shared" si="48"/>
        <v>69.260753273552325</v>
      </c>
      <c r="AA70" s="24">
        <f t="shared" si="49"/>
        <v>0.59971330939909773</v>
      </c>
      <c r="AB70" s="24">
        <f t="shared" si="50"/>
        <v>7.7703237788193081E-4</v>
      </c>
      <c r="AC70" s="24">
        <f t="shared" si="51"/>
        <v>1.7787488168381576E-4</v>
      </c>
      <c r="AD70" s="24">
        <v>1</v>
      </c>
      <c r="AE70" s="24">
        <f t="shared" si="52"/>
        <v>0.4720566247593857</v>
      </c>
      <c r="AF70" s="24"/>
      <c r="AG70" s="24"/>
      <c r="AH70" s="24"/>
      <c r="AI70" s="15"/>
      <c r="AJ70" s="15"/>
      <c r="AK70" s="15"/>
    </row>
    <row r="71" spans="1:37" ht="16" x14ac:dyDescent="0.2">
      <c r="A71" s="12">
        <v>6</v>
      </c>
      <c r="B71" s="12">
        <v>12</v>
      </c>
      <c r="C71" s="13">
        <v>0.48</v>
      </c>
      <c r="D71" s="14">
        <v>60</v>
      </c>
      <c r="E71" s="13">
        <f t="shared" si="53"/>
        <v>2.1641400940930398E-2</v>
      </c>
      <c r="F71" s="18">
        <f>J71*$V71*MOUFAC</f>
        <v>0.47957327720409215</v>
      </c>
      <c r="G71" s="18">
        <f>K71*$V71*MOUFAC</f>
        <v>7.5722096400646449E-2</v>
      </c>
      <c r="I71" s="24">
        <v>21.641400940930399</v>
      </c>
      <c r="J71" s="34">
        <v>1.619318181818155</v>
      </c>
      <c r="K71" s="36">
        <v>0.25568181818181501</v>
      </c>
      <c r="L71" s="25"/>
      <c r="M71" s="26">
        <f t="shared" si="35"/>
        <v>0.22001212754835334</v>
      </c>
      <c r="N71" s="27">
        <f t="shared" si="36"/>
        <v>-0.22001212754835334</v>
      </c>
      <c r="O71" s="28" t="e">
        <f t="shared" si="37"/>
        <v>#NUM!</v>
      </c>
      <c r="P71" s="28">
        <f t="shared" si="38"/>
        <v>1.0471975511965976</v>
      </c>
      <c r="Q71" s="28">
        <f t="shared" si="39"/>
        <v>0.24999999999999994</v>
      </c>
      <c r="R71" s="28">
        <f t="shared" si="40"/>
        <v>0.59948953529484794</v>
      </c>
      <c r="S71" s="29" t="e">
        <f t="shared" si="41"/>
        <v>#DIV/0!</v>
      </c>
      <c r="T71" s="29" t="e">
        <f t="shared" si="42"/>
        <v>#DIV/0!</v>
      </c>
      <c r="U71" s="30" t="e">
        <f t="shared" si="43"/>
        <v>#DIV/0!</v>
      </c>
      <c r="V71" s="24">
        <f t="shared" si="44"/>
        <v>6.9374145310529807E-4</v>
      </c>
      <c r="W71" s="24">
        <f t="shared" si="45"/>
        <v>867.82269208757646</v>
      </c>
      <c r="X71" s="24">
        <f t="shared" si="46"/>
        <v>867.82269208757634</v>
      </c>
      <c r="Y71" s="24">
        <f t="shared" si="47"/>
        <v>416.18457247651673</v>
      </c>
      <c r="Z71" s="24">
        <f t="shared" si="48"/>
        <v>65.713353548923976</v>
      </c>
      <c r="AA71" s="24">
        <f t="shared" si="49"/>
        <v>0.59948953529484794</v>
      </c>
      <c r="AB71" s="24">
        <f t="shared" si="50"/>
        <v>1.0688417045582183E-3</v>
      </c>
      <c r="AC71" s="24">
        <f t="shared" si="51"/>
        <v>1.6876447966708783E-4</v>
      </c>
      <c r="AD71" s="24">
        <v>1</v>
      </c>
      <c r="AE71" s="24">
        <f t="shared" si="52"/>
        <v>0.46955348766997723</v>
      </c>
      <c r="AF71" s="24"/>
      <c r="AG71" s="24"/>
      <c r="AH71" s="24"/>
      <c r="AI71" s="15"/>
      <c r="AJ71" s="15"/>
      <c r="AK71" s="15"/>
    </row>
    <row r="72" spans="1:37" ht="16" x14ac:dyDescent="0.2">
      <c r="A72" s="12">
        <v>6</v>
      </c>
      <c r="B72" s="12">
        <v>12</v>
      </c>
      <c r="C72" s="13">
        <v>0.48</v>
      </c>
      <c r="D72" s="14">
        <v>60</v>
      </c>
      <c r="E72" s="13">
        <f t="shared" si="53"/>
        <v>2.63460533193936E-2</v>
      </c>
      <c r="F72" s="18">
        <f>J72*$V72*MOUFAC</f>
        <v>1.2788620725442617</v>
      </c>
      <c r="G72" s="18">
        <f>K72*$V72*MOUFAC</f>
        <v>8.4135662667386285E-2</v>
      </c>
      <c r="I72" s="24">
        <v>26.346053319393601</v>
      </c>
      <c r="J72" s="34">
        <v>4.3181818181817997</v>
      </c>
      <c r="K72" s="36">
        <v>0.28409090909091006</v>
      </c>
      <c r="L72" s="25"/>
      <c r="M72" s="26">
        <f t="shared" si="35"/>
        <v>0.21775389440669099</v>
      </c>
      <c r="N72" s="27">
        <f t="shared" si="36"/>
        <v>-0.21775389440669099</v>
      </c>
      <c r="O72" s="28" t="e">
        <f t="shared" si="37"/>
        <v>#NUM!</v>
      </c>
      <c r="P72" s="28">
        <f t="shared" si="38"/>
        <v>1.0471975511965976</v>
      </c>
      <c r="Q72" s="28">
        <f t="shared" si="39"/>
        <v>0.24999999999999994</v>
      </c>
      <c r="R72" s="28">
        <f t="shared" si="40"/>
        <v>0.59923594776262079</v>
      </c>
      <c r="S72" s="29" t="e">
        <f t="shared" si="41"/>
        <v>#DIV/0!</v>
      </c>
      <c r="T72" s="29" t="e">
        <f t="shared" si="42"/>
        <v>#DIV/0!</v>
      </c>
      <c r="U72" s="30" t="e">
        <f t="shared" si="43"/>
        <v>#DIV/0!</v>
      </c>
      <c r="V72" s="24">
        <f t="shared" si="44"/>
        <v>6.9374145310529818E-4</v>
      </c>
      <c r="W72" s="24">
        <f t="shared" si="45"/>
        <v>869.28969719453085</v>
      </c>
      <c r="X72" s="24">
        <f t="shared" si="46"/>
        <v>869.28969719453062</v>
      </c>
      <c r="Y72" s="24">
        <f t="shared" si="47"/>
        <v>1111.7016237955711</v>
      </c>
      <c r="Z72" s="24">
        <f t="shared" si="48"/>
        <v>73.138264723393391</v>
      </c>
      <c r="AA72" s="24">
        <f t="shared" si="49"/>
        <v>0.59923594776262079</v>
      </c>
      <c r="AB72" s="24">
        <f t="shared" si="50"/>
        <v>2.8550627224531336E-3</v>
      </c>
      <c r="AC72" s="24">
        <f t="shared" si="51"/>
        <v>1.8783307384560231E-4</v>
      </c>
      <c r="AD72" s="24">
        <v>1</v>
      </c>
      <c r="AE72" s="24">
        <f t="shared" si="52"/>
        <v>0.46738421981513167</v>
      </c>
      <c r="AF72" s="24"/>
      <c r="AG72" s="24"/>
      <c r="AH72" s="24"/>
      <c r="AI72" s="15"/>
      <c r="AJ72" s="15"/>
      <c r="AK72" s="15"/>
    </row>
    <row r="73" spans="1:37" ht="16" x14ac:dyDescent="0.2">
      <c r="A73" s="12">
        <v>6</v>
      </c>
      <c r="B73" s="12">
        <v>12</v>
      </c>
      <c r="C73" s="13">
        <v>0.48</v>
      </c>
      <c r="D73" s="14">
        <v>60</v>
      </c>
      <c r="E73" s="13">
        <f t="shared" si="53"/>
        <v>3.1207527443805498E-2</v>
      </c>
      <c r="F73" s="18">
        <f>J73*$V73*MOUFAC</f>
        <v>1.7710556991484689</v>
      </c>
      <c r="G73" s="18">
        <f>K73*$V73*MOUFAC</f>
        <v>7.9928879534016992E-2</v>
      </c>
      <c r="I73" s="24">
        <v>31.2075274438055</v>
      </c>
      <c r="J73" s="34">
        <v>5.9801136363636154</v>
      </c>
      <c r="K73" s="36">
        <v>0.26988636363636465</v>
      </c>
      <c r="L73" s="25"/>
      <c r="M73" s="26">
        <f t="shared" si="35"/>
        <v>0.21542038682697329</v>
      </c>
      <c r="N73" s="27">
        <f t="shared" si="36"/>
        <v>-0.21542038682697329</v>
      </c>
      <c r="O73" s="28" t="e">
        <f t="shared" si="37"/>
        <v>#NUM!</v>
      </c>
      <c r="P73" s="28">
        <f t="shared" si="38"/>
        <v>1.0471975511965976</v>
      </c>
      <c r="Q73" s="28">
        <f t="shared" si="39"/>
        <v>0.24999999999999994</v>
      </c>
      <c r="R73" s="28">
        <f t="shared" si="40"/>
        <v>0.59891692508245464</v>
      </c>
      <c r="S73" s="29" t="e">
        <f t="shared" si="41"/>
        <v>#DIV/0!</v>
      </c>
      <c r="T73" s="29" t="e">
        <f t="shared" si="42"/>
        <v>#DIV/0!</v>
      </c>
      <c r="U73" s="30" t="e">
        <f t="shared" si="43"/>
        <v>#DIV/0!</v>
      </c>
      <c r="V73" s="24">
        <f t="shared" si="44"/>
        <v>6.9374145310529807E-4</v>
      </c>
      <c r="W73" s="24">
        <f t="shared" si="45"/>
        <v>871.137998668519</v>
      </c>
      <c r="X73" s="24">
        <f t="shared" si="46"/>
        <v>871.13799866851866</v>
      </c>
      <c r="Y73" s="24">
        <f t="shared" si="47"/>
        <v>1542.8339172866713</v>
      </c>
      <c r="Z73" s="24">
        <f t="shared" si="48"/>
        <v>69.629084153080683</v>
      </c>
      <c r="AA73" s="24">
        <f t="shared" si="49"/>
        <v>0.59891692508245464</v>
      </c>
      <c r="AB73" s="24">
        <f t="shared" si="50"/>
        <v>3.9622930378947823E-3</v>
      </c>
      <c r="AC73" s="24">
        <f t="shared" si="51"/>
        <v>1.7882082593824564E-4</v>
      </c>
      <c r="AD73" s="24">
        <v>1</v>
      </c>
      <c r="AE73" s="24">
        <f t="shared" si="52"/>
        <v>0.46518200373201152</v>
      </c>
      <c r="AF73" s="24"/>
      <c r="AG73" s="24"/>
      <c r="AH73" s="24"/>
      <c r="AI73" s="15"/>
      <c r="AJ73" s="15"/>
      <c r="AK73" s="15"/>
    </row>
    <row r="74" spans="1:37" ht="16" x14ac:dyDescent="0.2">
      <c r="A74" s="12">
        <v>6</v>
      </c>
      <c r="B74" s="12">
        <v>12</v>
      </c>
      <c r="C74" s="13">
        <v>0.48</v>
      </c>
      <c r="D74" s="14">
        <v>60</v>
      </c>
      <c r="E74" s="13">
        <f t="shared" si="53"/>
        <v>3.6225823314166197E-2</v>
      </c>
      <c r="F74" s="18">
        <f>J74*$V74*MOUFAC</f>
        <v>1.8089167473487926</v>
      </c>
      <c r="G74" s="18">
        <f>K74*$V74*MOUFAC</f>
        <v>7.5722096400646519E-2</v>
      </c>
      <c r="I74" s="24">
        <v>36.225823314166199</v>
      </c>
      <c r="J74" s="34">
        <v>6.1079545454545254</v>
      </c>
      <c r="K74" s="36">
        <v>0.25568181818181523</v>
      </c>
      <c r="L74" s="25"/>
      <c r="M74" s="26">
        <f t="shared" si="35"/>
        <v>0.21301160480920017</v>
      </c>
      <c r="N74" s="27">
        <f t="shared" si="36"/>
        <v>-0.21301160480920017</v>
      </c>
      <c r="O74" s="28" t="e">
        <f t="shared" si="37"/>
        <v>#NUM!</v>
      </c>
      <c r="P74" s="28">
        <f t="shared" si="38"/>
        <v>1.0471975511965976</v>
      </c>
      <c r="Q74" s="28">
        <f t="shared" si="39"/>
        <v>0.24999999999999994</v>
      </c>
      <c r="R74" s="28">
        <f t="shared" si="40"/>
        <v>0.59852505579469883</v>
      </c>
      <c r="S74" s="29" t="e">
        <f t="shared" si="41"/>
        <v>#DIV/0!</v>
      </c>
      <c r="T74" s="29" t="e">
        <f t="shared" si="42"/>
        <v>#DIV/0!</v>
      </c>
      <c r="U74" s="30" t="e">
        <f t="shared" si="43"/>
        <v>#DIV/0!</v>
      </c>
      <c r="V74" s="24">
        <f t="shared" si="44"/>
        <v>6.9374145310529807E-4</v>
      </c>
      <c r="W74" s="24">
        <f t="shared" si="45"/>
        <v>873.41255304623598</v>
      </c>
      <c r="X74" s="24">
        <f t="shared" si="46"/>
        <v>873.4125530462361</v>
      </c>
      <c r="Y74" s="24">
        <f t="shared" si="47"/>
        <v>1579.9305945500021</v>
      </c>
      <c r="Z74" s="24">
        <f t="shared" si="48"/>
        <v>66.136629539301879</v>
      </c>
      <c r="AA74" s="24">
        <f t="shared" si="49"/>
        <v>0.59852505579469883</v>
      </c>
      <c r="AB74" s="24">
        <f t="shared" si="50"/>
        <v>4.0575644111791008E-3</v>
      </c>
      <c r="AC74" s="24">
        <f t="shared" si="51"/>
        <v>1.698515334912168E-4</v>
      </c>
      <c r="AD74" s="24">
        <v>1</v>
      </c>
      <c r="AE74" s="24">
        <f t="shared" si="52"/>
        <v>0.46295130962552566</v>
      </c>
      <c r="AF74" s="24"/>
      <c r="AG74" s="24"/>
      <c r="AH74" s="24"/>
      <c r="AI74" s="15"/>
      <c r="AJ74" s="15"/>
      <c r="AK74" s="15"/>
    </row>
    <row r="75" spans="1:37" ht="16" x14ac:dyDescent="0.2">
      <c r="A75" s="12">
        <v>6</v>
      </c>
      <c r="B75" s="12">
        <v>12</v>
      </c>
      <c r="C75" s="13">
        <v>0.48</v>
      </c>
      <c r="D75" s="14">
        <v>60</v>
      </c>
      <c r="E75" s="13">
        <f t="shared" si="53"/>
        <v>4.1400940930475597E-2</v>
      </c>
      <c r="F75" s="18">
        <f>J75*$V75*MOUFAC</f>
        <v>2.1749068799519202</v>
      </c>
      <c r="G75" s="18">
        <f>K75*$V75*MOUFAC</f>
        <v>9.6756012067493735E-2</v>
      </c>
      <c r="I75" s="24">
        <v>41.400940930475599</v>
      </c>
      <c r="J75" s="34">
        <v>7.3437499999999751</v>
      </c>
      <c r="K75" s="36">
        <v>0.32670454545454497</v>
      </c>
      <c r="L75" s="25"/>
      <c r="M75" s="26">
        <f t="shared" si="35"/>
        <v>0.21052754835337165</v>
      </c>
      <c r="N75" s="27">
        <f t="shared" si="36"/>
        <v>-0.21052754835337165</v>
      </c>
      <c r="O75" s="28" t="e">
        <f t="shared" si="37"/>
        <v>#NUM!</v>
      </c>
      <c r="P75" s="28">
        <f t="shared" si="38"/>
        <v>1.0471975511965976</v>
      </c>
      <c r="Q75" s="28">
        <f t="shared" si="39"/>
        <v>0.24999999999999994</v>
      </c>
      <c r="R75" s="28">
        <f t="shared" si="40"/>
        <v>0.59805235103943188</v>
      </c>
      <c r="S75" s="29" t="e">
        <f t="shared" si="41"/>
        <v>#DIV/0!</v>
      </c>
      <c r="T75" s="29" t="e">
        <f t="shared" si="42"/>
        <v>#DIV/0!</v>
      </c>
      <c r="U75" s="30" t="e">
        <f t="shared" si="43"/>
        <v>#DIV/0!</v>
      </c>
      <c r="V75" s="24">
        <f t="shared" si="44"/>
        <v>6.9374145310529807E-4</v>
      </c>
      <c r="W75" s="24">
        <f t="shared" si="45"/>
        <v>876.16248924762601</v>
      </c>
      <c r="X75" s="24">
        <f t="shared" si="46"/>
        <v>876.16248924762567</v>
      </c>
      <c r="Y75" s="24">
        <f t="shared" si="47"/>
        <v>1905.5718258204613</v>
      </c>
      <c r="Z75" s="24">
        <f t="shared" si="48"/>
        <v>84.773988382728618</v>
      </c>
      <c r="AA75" s="24">
        <f t="shared" si="49"/>
        <v>0.59805235103943188</v>
      </c>
      <c r="AB75" s="24">
        <f t="shared" si="50"/>
        <v>4.8938734714463307E-3</v>
      </c>
      <c r="AC75" s="24">
        <f t="shared" si="51"/>
        <v>2.1771584108948904E-4</v>
      </c>
      <c r="AD75" s="24">
        <v>1</v>
      </c>
      <c r="AE75" s="24">
        <f t="shared" si="52"/>
        <v>0.46069684854934745</v>
      </c>
      <c r="AF75" s="24"/>
      <c r="AG75" s="24"/>
      <c r="AH75" s="24"/>
      <c r="AI75" s="15"/>
      <c r="AJ75" s="15"/>
      <c r="AK75" s="15"/>
    </row>
    <row r="76" spans="1:37" ht="16" x14ac:dyDescent="0.2">
      <c r="A76" s="12">
        <v>6</v>
      </c>
      <c r="B76" s="12">
        <v>12</v>
      </c>
      <c r="C76" s="13">
        <v>0.48</v>
      </c>
      <c r="D76" s="14">
        <v>60</v>
      </c>
      <c r="E76" s="13">
        <f t="shared" si="53"/>
        <v>4.6105593308938798E-2</v>
      </c>
      <c r="F76" s="18">
        <f>J76*$V76*MOUFAC</f>
        <v>2.6334462414891768</v>
      </c>
      <c r="G76" s="18">
        <f>K76*$V76*MOUFAC</f>
        <v>7.5722096400647698E-2</v>
      </c>
      <c r="I76" s="24">
        <v>46.105593308938801</v>
      </c>
      <c r="J76" s="34">
        <v>8.892045454545439</v>
      </c>
      <c r="K76" s="36">
        <v>0.25568181818181923</v>
      </c>
      <c r="L76" s="25"/>
      <c r="M76" s="26">
        <f t="shared" si="35"/>
        <v>0.2082693152117093</v>
      </c>
      <c r="N76" s="27">
        <f t="shared" si="36"/>
        <v>-0.2082693152117093</v>
      </c>
      <c r="O76" s="28" t="e">
        <f t="shared" si="37"/>
        <v>#NUM!</v>
      </c>
      <c r="P76" s="28">
        <f t="shared" si="38"/>
        <v>1.0471975511965976</v>
      </c>
      <c r="Q76" s="28">
        <f t="shared" si="39"/>
        <v>0.24999999999999994</v>
      </c>
      <c r="R76" s="28">
        <f t="shared" si="40"/>
        <v>0.59756037137208884</v>
      </c>
      <c r="S76" s="29" t="e">
        <f t="shared" si="41"/>
        <v>#DIV/0!</v>
      </c>
      <c r="T76" s="29" t="e">
        <f t="shared" si="42"/>
        <v>#DIV/0!</v>
      </c>
      <c r="U76" s="30" t="e">
        <f t="shared" si="43"/>
        <v>#DIV/0!</v>
      </c>
      <c r="V76" s="24">
        <f t="shared" si="44"/>
        <v>6.9374145310529807E-4</v>
      </c>
      <c r="W76" s="24">
        <f t="shared" si="45"/>
        <v>879.0317526611135</v>
      </c>
      <c r="X76" s="24">
        <f t="shared" si="46"/>
        <v>879.0317526611135</v>
      </c>
      <c r="Y76" s="24">
        <f t="shared" si="47"/>
        <v>2314.882865195053</v>
      </c>
      <c r="Z76" s="24">
        <f t="shared" si="48"/>
        <v>66.562127114235139</v>
      </c>
      <c r="AA76" s="24">
        <f t="shared" si="49"/>
        <v>0.59756037137208884</v>
      </c>
      <c r="AB76" s="24">
        <f t="shared" si="50"/>
        <v>5.9450626263358236E-3</v>
      </c>
      <c r="AC76" s="24">
        <f t="shared" si="51"/>
        <v>1.7094429277004065E-4</v>
      </c>
      <c r="AD76" s="24">
        <v>1</v>
      </c>
      <c r="AE76" s="24">
        <f t="shared" si="52"/>
        <v>0.45868839198968026</v>
      </c>
      <c r="AF76" s="24"/>
      <c r="AG76" s="24"/>
      <c r="AH76" s="24"/>
      <c r="AI76" s="15"/>
      <c r="AJ76" s="15"/>
      <c r="AK76" s="15"/>
    </row>
    <row r="77" spans="1:37" ht="16" x14ac:dyDescent="0.2">
      <c r="A77" s="12">
        <v>6</v>
      </c>
      <c r="B77" s="12">
        <v>12</v>
      </c>
      <c r="C77" s="13">
        <v>0.48</v>
      </c>
      <c r="D77" s="14">
        <v>60</v>
      </c>
      <c r="E77" s="13">
        <f t="shared" si="53"/>
        <v>5.1594354417145799E-2</v>
      </c>
      <c r="F77" s="18">
        <f>J77*$V77*MOUFAC</f>
        <v>3.2392230126943464</v>
      </c>
      <c r="G77" s="18">
        <f>K77*$V77*MOUFAC</f>
        <v>7.5722096400656927E-2</v>
      </c>
      <c r="I77" s="24">
        <v>51.594354417145802</v>
      </c>
      <c r="J77" s="34">
        <v>10.93749999999995</v>
      </c>
      <c r="K77" s="36">
        <v>0.25568181818185032</v>
      </c>
      <c r="L77" s="25"/>
      <c r="M77" s="26">
        <f t="shared" si="35"/>
        <v>0.20563470987976995</v>
      </c>
      <c r="N77" s="27">
        <f t="shared" si="36"/>
        <v>-0.20563470987976995</v>
      </c>
      <c r="O77" s="28" t="e">
        <f t="shared" si="37"/>
        <v>#NUM!</v>
      </c>
      <c r="P77" s="28">
        <f t="shared" si="38"/>
        <v>1.0471975511965976</v>
      </c>
      <c r="Q77" s="28">
        <f t="shared" si="39"/>
        <v>0.24999999999999994</v>
      </c>
      <c r="R77" s="28">
        <f t="shared" si="40"/>
        <v>0.5969091624544417</v>
      </c>
      <c r="S77" s="29" t="e">
        <f t="shared" si="41"/>
        <v>#DIV/0!</v>
      </c>
      <c r="T77" s="29" t="e">
        <f t="shared" si="42"/>
        <v>#DIV/0!</v>
      </c>
      <c r="U77" s="30" t="e">
        <f t="shared" si="43"/>
        <v>#DIV/0!</v>
      </c>
      <c r="V77" s="24">
        <f t="shared" si="44"/>
        <v>6.9374145310529818E-4</v>
      </c>
      <c r="W77" s="24">
        <f t="shared" si="45"/>
        <v>882.84097198877384</v>
      </c>
      <c r="X77" s="24">
        <f t="shared" si="46"/>
        <v>882.84097198877362</v>
      </c>
      <c r="Y77" s="24">
        <f t="shared" si="47"/>
        <v>2859.7187930154805</v>
      </c>
      <c r="Z77" s="24">
        <f t="shared" si="48"/>
        <v>66.850569187383584</v>
      </c>
      <c r="AA77" s="24">
        <f t="shared" si="49"/>
        <v>0.5969091624544417</v>
      </c>
      <c r="AB77" s="24">
        <f t="shared" si="50"/>
        <v>7.3443056552902498E-3</v>
      </c>
      <c r="AC77" s="24">
        <f t="shared" si="51"/>
        <v>1.716850672665477E-4</v>
      </c>
      <c r="AD77" s="24">
        <v>1</v>
      </c>
      <c r="AE77" s="24">
        <f t="shared" si="52"/>
        <v>0.45639531909025099</v>
      </c>
      <c r="AF77" s="24"/>
      <c r="AG77" s="24"/>
      <c r="AH77" s="24"/>
      <c r="AI77" s="15"/>
      <c r="AJ77" s="15"/>
      <c r="AK77" s="15"/>
    </row>
    <row r="78" spans="1:37" ht="16" x14ac:dyDescent="0.2">
      <c r="A78" s="12">
        <v>6</v>
      </c>
      <c r="B78" s="12">
        <v>12</v>
      </c>
      <c r="C78" s="13">
        <v>0.48</v>
      </c>
      <c r="D78" s="14">
        <v>60</v>
      </c>
      <c r="E78" s="13">
        <f t="shared" si="53"/>
        <v>5.6455828541557701E-2</v>
      </c>
      <c r="F78" s="18">
        <f>J78*$V78*MOUFAC</f>
        <v>3.6514877597645361</v>
      </c>
      <c r="G78" s="18">
        <f>K78*$V78*MOUFAC</f>
        <v>7.5722096400642189E-2</v>
      </c>
      <c r="I78" s="24">
        <v>56.4558285415577</v>
      </c>
      <c r="J78" s="34">
        <v>12.3295454545454</v>
      </c>
      <c r="K78" s="36">
        <v>0.25568181818180058</v>
      </c>
      <c r="L78" s="25"/>
      <c r="M78" s="26">
        <f t="shared" si="35"/>
        <v>0.20330120230005222</v>
      </c>
      <c r="N78" s="27">
        <f t="shared" si="36"/>
        <v>-0.20330120230005222</v>
      </c>
      <c r="O78" s="28" t="e">
        <f t="shared" si="37"/>
        <v>#NUM!</v>
      </c>
      <c r="P78" s="28">
        <f t="shared" si="38"/>
        <v>1.0471975511965976</v>
      </c>
      <c r="Q78" s="28">
        <f t="shared" si="39"/>
        <v>0.24999999999999994</v>
      </c>
      <c r="R78" s="28">
        <f t="shared" si="40"/>
        <v>0.59626084125224599</v>
      </c>
      <c r="S78" s="29" t="e">
        <f t="shared" si="41"/>
        <v>#DIV/0!</v>
      </c>
      <c r="T78" s="29" t="e">
        <f t="shared" si="42"/>
        <v>#DIV/0!</v>
      </c>
      <c r="U78" s="30" t="e">
        <f t="shared" si="43"/>
        <v>#DIV/0!</v>
      </c>
      <c r="V78" s="24">
        <f t="shared" si="44"/>
        <v>6.9374145310529818E-4</v>
      </c>
      <c r="W78" s="24">
        <f t="shared" si="45"/>
        <v>886.64614773374637</v>
      </c>
      <c r="X78" s="24">
        <f t="shared" si="46"/>
        <v>886.64614773374637</v>
      </c>
      <c r="Y78" s="24">
        <f t="shared" si="47"/>
        <v>3237.5775556921535</v>
      </c>
      <c r="Z78" s="24">
        <f t="shared" si="48"/>
        <v>67.138705071952785</v>
      </c>
      <c r="AA78" s="24">
        <f t="shared" si="49"/>
        <v>0.59626084125224599</v>
      </c>
      <c r="AB78" s="24">
        <f t="shared" si="50"/>
        <v>8.3147193387633021E-3</v>
      </c>
      <c r="AC78" s="24">
        <f t="shared" si="51"/>
        <v>1.7242505541213113E-4</v>
      </c>
      <c r="AD78" s="24">
        <v>1</v>
      </c>
      <c r="AE78" s="24">
        <f t="shared" si="52"/>
        <v>0.45441001625884742</v>
      </c>
      <c r="AF78" s="24"/>
      <c r="AG78" s="24"/>
      <c r="AH78" s="24"/>
      <c r="AI78" s="15"/>
      <c r="AJ78" s="15"/>
      <c r="AK78" s="15"/>
    </row>
    <row r="79" spans="1:37" ht="16" x14ac:dyDescent="0.2">
      <c r="A79" s="12">
        <v>6</v>
      </c>
      <c r="B79" s="12">
        <v>12</v>
      </c>
      <c r="C79" s="13">
        <v>0.48</v>
      </c>
      <c r="D79" s="14">
        <v>60</v>
      </c>
      <c r="E79" s="13">
        <f t="shared" si="53"/>
        <v>6.14741244119184E-2</v>
      </c>
      <c r="F79" s="18">
        <f>J79*$V79*MOUFAC</f>
        <v>4.2951255791700369</v>
      </c>
      <c r="G79" s="18">
        <f>K79*$V79*MOUFAC</f>
        <v>7.9928879534012648E-2</v>
      </c>
      <c r="I79" s="24">
        <v>61.474124411918403</v>
      </c>
      <c r="J79" s="34">
        <v>14.50284090909085</v>
      </c>
      <c r="K79" s="36">
        <v>0.26988636363634999</v>
      </c>
      <c r="L79" s="25"/>
      <c r="M79" s="26">
        <f t="shared" si="35"/>
        <v>0.2008924202822791</v>
      </c>
      <c r="N79" s="27">
        <f t="shared" si="36"/>
        <v>-0.2008924202822791</v>
      </c>
      <c r="O79" s="28" t="e">
        <f t="shared" si="37"/>
        <v>#NUM!</v>
      </c>
      <c r="P79" s="28">
        <f t="shared" si="38"/>
        <v>1.0471975511965976</v>
      </c>
      <c r="Q79" s="28">
        <f t="shared" si="39"/>
        <v>0.24999999999999994</v>
      </c>
      <c r="R79" s="28">
        <f t="shared" si="40"/>
        <v>0.59551898134122006</v>
      </c>
      <c r="S79" s="29" t="e">
        <f t="shared" si="41"/>
        <v>#DIV/0!</v>
      </c>
      <c r="T79" s="29" t="e">
        <f t="shared" si="42"/>
        <v>#DIV/0!</v>
      </c>
      <c r="U79" s="30" t="e">
        <f t="shared" si="43"/>
        <v>#DIV/0!</v>
      </c>
      <c r="V79" s="24">
        <f t="shared" si="44"/>
        <v>6.9374145310529807E-4</v>
      </c>
      <c r="W79" s="24">
        <f t="shared" si="45"/>
        <v>891.016109057378</v>
      </c>
      <c r="X79" s="24">
        <f t="shared" si="46"/>
        <v>891.01610905737778</v>
      </c>
      <c r="Y79" s="24">
        <f t="shared" si="47"/>
        <v>3827.0260814649023</v>
      </c>
      <c r="Z79" s="24">
        <f t="shared" si="48"/>
        <v>71.217919243711819</v>
      </c>
      <c r="AA79" s="24">
        <f t="shared" si="49"/>
        <v>0.59551898134122006</v>
      </c>
      <c r="AB79" s="24">
        <f t="shared" si="50"/>
        <v>9.8285360650472234E-3</v>
      </c>
      <c r="AC79" s="24">
        <f t="shared" si="51"/>
        <v>1.8290125880106618E-4</v>
      </c>
      <c r="AD79" s="24">
        <v>1</v>
      </c>
      <c r="AE79" s="24">
        <f t="shared" si="52"/>
        <v>0.45240633091778359</v>
      </c>
      <c r="AF79" s="24"/>
      <c r="AG79" s="24"/>
      <c r="AH79" s="24"/>
      <c r="AI79" s="15"/>
      <c r="AJ79" s="15"/>
      <c r="AK79" s="15"/>
    </row>
    <row r="80" spans="1:37" ht="16" x14ac:dyDescent="0.2">
      <c r="A80" s="12">
        <v>6</v>
      </c>
      <c r="B80" s="12">
        <v>12</v>
      </c>
      <c r="C80" s="13">
        <v>0.48</v>
      </c>
      <c r="D80" s="14">
        <v>60</v>
      </c>
      <c r="E80" s="13">
        <f t="shared" si="53"/>
        <v>6.6492420282279099E-2</v>
      </c>
      <c r="F80" s="18">
        <f>J80*$V80*MOUFAC</f>
        <v>4.9387633985755395</v>
      </c>
      <c r="G80" s="18">
        <f>K80*$V80*MOUFAC</f>
        <v>8.4135662667383121E-2</v>
      </c>
      <c r="I80" s="24">
        <v>66.492420282279099</v>
      </c>
      <c r="J80" s="34">
        <v>16.676136363636299</v>
      </c>
      <c r="K80" s="36">
        <v>0.2840909090908994</v>
      </c>
      <c r="L80" s="25"/>
      <c r="M80" s="26">
        <f t="shared" si="35"/>
        <v>0.19848363826450596</v>
      </c>
      <c r="N80" s="27">
        <f t="shared" si="36"/>
        <v>-0.19848363826450596</v>
      </c>
      <c r="O80" s="28" t="e">
        <f t="shared" si="37"/>
        <v>#NUM!</v>
      </c>
      <c r="P80" s="28">
        <f t="shared" si="38"/>
        <v>1.0471975511965976</v>
      </c>
      <c r="Q80" s="28">
        <f t="shared" si="39"/>
        <v>0.24999999999999994</v>
      </c>
      <c r="R80" s="28">
        <f t="shared" si="40"/>
        <v>0.59470118973287134</v>
      </c>
      <c r="S80" s="29" t="e">
        <f t="shared" si="41"/>
        <v>#DIV/0!</v>
      </c>
      <c r="T80" s="29" t="e">
        <f t="shared" si="42"/>
        <v>#DIV/0!</v>
      </c>
      <c r="U80" s="30" t="e">
        <f t="shared" si="43"/>
        <v>#DIV/0!</v>
      </c>
      <c r="V80" s="24">
        <f t="shared" si="44"/>
        <v>6.9374145310529818E-4</v>
      </c>
      <c r="W80" s="24">
        <f t="shared" si="45"/>
        <v>895.85293922631752</v>
      </c>
      <c r="X80" s="24">
        <f t="shared" si="46"/>
        <v>895.85293922631752</v>
      </c>
      <c r="Y80" s="24">
        <f t="shared" si="47"/>
        <v>4424.4057067572539</v>
      </c>
      <c r="Z80" s="24">
        <f t="shared" si="48"/>
        <v>75.373180694329122</v>
      </c>
      <c r="AA80" s="24">
        <f t="shared" si="49"/>
        <v>0.59470118973287134</v>
      </c>
      <c r="AB80" s="24">
        <f t="shared" si="50"/>
        <v>1.1362721374143117E-2</v>
      </c>
      <c r="AC80" s="24">
        <f t="shared" si="51"/>
        <v>1.935727661693828E-4</v>
      </c>
      <c r="AD80" s="24">
        <v>1</v>
      </c>
      <c r="AE80" s="24">
        <f t="shared" si="52"/>
        <v>0.45044964226814654</v>
      </c>
      <c r="AF80" s="24"/>
      <c r="AG80" s="24"/>
      <c r="AH80" s="24"/>
      <c r="AI80" s="15"/>
      <c r="AJ80" s="15"/>
      <c r="AK80" s="15"/>
    </row>
    <row r="81" spans="1:37" ht="16" x14ac:dyDescent="0.2">
      <c r="A81" s="12">
        <v>6</v>
      </c>
      <c r="B81" s="12">
        <v>12</v>
      </c>
      <c r="C81" s="13">
        <v>0.48</v>
      </c>
      <c r="D81" s="14">
        <v>60</v>
      </c>
      <c r="E81" s="13">
        <f t="shared" si="53"/>
        <v>7.1040250914793504E-2</v>
      </c>
      <c r="F81" s="18">
        <f>J81*$V81*MOUFAC</f>
        <v>5.4730248565134465</v>
      </c>
      <c r="G81" s="18">
        <f>K81*$V81*MOUFAC</f>
        <v>6.3101747000544717E-2</v>
      </c>
      <c r="I81" s="24">
        <v>71.040250914793504</v>
      </c>
      <c r="J81" s="34">
        <v>18.480113636363598</v>
      </c>
      <c r="K81" s="36">
        <v>0.21306818181819942</v>
      </c>
      <c r="L81" s="25"/>
      <c r="M81" s="26">
        <f t="shared" si="35"/>
        <v>0.19630067956089906</v>
      </c>
      <c r="N81" s="27">
        <f t="shared" si="36"/>
        <v>-0.19630067956089906</v>
      </c>
      <c r="O81" s="28" t="e">
        <f t="shared" si="37"/>
        <v>#NUM!</v>
      </c>
      <c r="P81" s="28">
        <f t="shared" si="38"/>
        <v>1.0471975511965976</v>
      </c>
      <c r="Q81" s="28">
        <f t="shared" si="39"/>
        <v>0.24999999999999994</v>
      </c>
      <c r="R81" s="28">
        <f t="shared" si="40"/>
        <v>0.59389261794436232</v>
      </c>
      <c r="S81" s="29" t="e">
        <f t="shared" si="41"/>
        <v>#DIV/0!</v>
      </c>
      <c r="T81" s="29" t="e">
        <f t="shared" si="42"/>
        <v>#DIV/0!</v>
      </c>
      <c r="U81" s="30" t="e">
        <f t="shared" si="43"/>
        <v>#DIV/0!</v>
      </c>
      <c r="V81" s="24">
        <f t="shared" si="44"/>
        <v>6.9374145310529807E-4</v>
      </c>
      <c r="W81" s="24">
        <f t="shared" si="45"/>
        <v>900.65551645218989</v>
      </c>
      <c r="X81" s="24">
        <f t="shared" si="46"/>
        <v>900.65551645218966</v>
      </c>
      <c r="Y81" s="24">
        <f t="shared" si="47"/>
        <v>4929.3100286987892</v>
      </c>
      <c r="Z81" s="24">
        <f t="shared" si="48"/>
        <v>56.832936533811015</v>
      </c>
      <c r="AA81" s="24">
        <f t="shared" si="49"/>
        <v>0.59389261794436232</v>
      </c>
      <c r="AB81" s="24">
        <f t="shared" si="50"/>
        <v>1.2659412390082331E-2</v>
      </c>
      <c r="AC81" s="24">
        <f t="shared" si="51"/>
        <v>1.4595786767967035E-4</v>
      </c>
      <c r="AD81" s="24">
        <v>1</v>
      </c>
      <c r="AE81" s="24">
        <f t="shared" si="52"/>
        <v>0.44871750223379508</v>
      </c>
      <c r="AF81" s="24"/>
      <c r="AG81" s="24"/>
      <c r="AH81" s="24"/>
      <c r="AI81" s="15"/>
      <c r="AJ81" s="15"/>
      <c r="AK81" s="15"/>
    </row>
    <row r="82" spans="1:37" ht="16" x14ac:dyDescent="0.2">
      <c r="A82" s="12">
        <v>6</v>
      </c>
      <c r="B82" s="12">
        <v>12</v>
      </c>
      <c r="C82" s="13">
        <v>0.48</v>
      </c>
      <c r="D82" s="14">
        <v>60</v>
      </c>
      <c r="E82" s="13">
        <f t="shared" si="53"/>
        <v>7.6215368531102903E-2</v>
      </c>
      <c r="F82" s="18">
        <f>J82*$V82*MOUFAC</f>
        <v>5.9441845674507983</v>
      </c>
      <c r="G82" s="18">
        <f>K82*$V82*MOUFAC</f>
        <v>7.1515313267271466E-2</v>
      </c>
      <c r="I82" s="24">
        <v>76.215368531102897</v>
      </c>
      <c r="J82" s="34">
        <v>20.071022727272648</v>
      </c>
      <c r="K82" s="36">
        <v>0.24147727272725028</v>
      </c>
      <c r="L82" s="25"/>
      <c r="M82" s="26">
        <f t="shared" si="35"/>
        <v>0.19381662310507053</v>
      </c>
      <c r="N82" s="27">
        <f t="shared" si="36"/>
        <v>-0.19381662310507053</v>
      </c>
      <c r="O82" s="28" t="e">
        <f t="shared" si="37"/>
        <v>#NUM!</v>
      </c>
      <c r="P82" s="28">
        <f t="shared" si="38"/>
        <v>1.0471975511965976</v>
      </c>
      <c r="Q82" s="28">
        <f t="shared" si="39"/>
        <v>0.24999999999999994</v>
      </c>
      <c r="R82" s="28">
        <f t="shared" si="40"/>
        <v>0.59289228709611907</v>
      </c>
      <c r="S82" s="29" t="e">
        <f t="shared" si="41"/>
        <v>#DIV/0!</v>
      </c>
      <c r="T82" s="29" t="e">
        <f t="shared" si="42"/>
        <v>#DIV/0!</v>
      </c>
      <c r="U82" s="30" t="e">
        <f t="shared" si="43"/>
        <v>#DIV/0!</v>
      </c>
      <c r="V82" s="24">
        <f t="shared" si="44"/>
        <v>6.9374145310529829E-4</v>
      </c>
      <c r="W82" s="24">
        <f t="shared" si="45"/>
        <v>906.62508805421567</v>
      </c>
      <c r="X82" s="24">
        <f t="shared" si="46"/>
        <v>906.62508805421555</v>
      </c>
      <c r="Y82" s="24">
        <f t="shared" si="47"/>
        <v>5389.146856875589</v>
      </c>
      <c r="Z82" s="24">
        <f t="shared" si="48"/>
        <v>64.837577188164801</v>
      </c>
      <c r="AA82" s="24">
        <f t="shared" si="49"/>
        <v>0.59289228709611907</v>
      </c>
      <c r="AB82" s="24">
        <f t="shared" si="50"/>
        <v>1.3840361449107981E-2</v>
      </c>
      <c r="AC82" s="24">
        <f t="shared" si="51"/>
        <v>1.6651531821289083E-4</v>
      </c>
      <c r="AD82" s="24">
        <v>1</v>
      </c>
      <c r="AE82" s="24">
        <f t="shared" si="52"/>
        <v>0.44679458983452602</v>
      </c>
      <c r="AF82" s="24"/>
      <c r="AG82" s="24"/>
      <c r="AH82" s="24"/>
      <c r="AI82" s="15"/>
      <c r="AJ82" s="15"/>
      <c r="AK82" s="15"/>
    </row>
    <row r="83" spans="1:37" ht="16" x14ac:dyDescent="0.2">
      <c r="A83" s="12">
        <v>6</v>
      </c>
      <c r="B83" s="12">
        <v>12</v>
      </c>
      <c r="C83" s="13">
        <v>0.48</v>
      </c>
      <c r="D83" s="14">
        <v>60</v>
      </c>
      <c r="E83" s="13">
        <f t="shared" si="53"/>
        <v>8.0920020909566098E-2</v>
      </c>
      <c r="F83" s="18">
        <f>J83*$V83*MOUFAC</f>
        <v>6.5499613386559945</v>
      </c>
      <c r="G83" s="18">
        <f>K83*$V83*MOUFAC</f>
        <v>9.6756012067494818E-2</v>
      </c>
      <c r="I83" s="24">
        <v>80.920020909566105</v>
      </c>
      <c r="J83" s="34">
        <v>22.116477272727252</v>
      </c>
      <c r="K83" s="36">
        <v>0.32670454545454852</v>
      </c>
      <c r="L83" s="25"/>
      <c r="M83" s="26">
        <f t="shared" si="35"/>
        <v>0.19155838996340821</v>
      </c>
      <c r="N83" s="27">
        <f t="shared" si="36"/>
        <v>-0.19155838996340821</v>
      </c>
      <c r="O83" s="28" t="e">
        <f t="shared" si="37"/>
        <v>#NUM!</v>
      </c>
      <c r="P83" s="28">
        <f t="shared" si="38"/>
        <v>1.0471975511965976</v>
      </c>
      <c r="Q83" s="28">
        <f t="shared" si="39"/>
        <v>0.24999999999999994</v>
      </c>
      <c r="R83" s="28">
        <f t="shared" si="40"/>
        <v>0.5919067293641298</v>
      </c>
      <c r="S83" s="29" t="e">
        <f t="shared" si="41"/>
        <v>#DIV/0!</v>
      </c>
      <c r="T83" s="29" t="e">
        <f t="shared" si="42"/>
        <v>#DIV/0!</v>
      </c>
      <c r="U83" s="30" t="e">
        <f t="shared" si="43"/>
        <v>#DIV/0!</v>
      </c>
      <c r="V83" s="24">
        <f t="shared" si="44"/>
        <v>6.9374145310529818E-4</v>
      </c>
      <c r="W83" s="24">
        <f t="shared" si="45"/>
        <v>912.53695648669122</v>
      </c>
      <c r="X83" s="24">
        <f t="shared" si="46"/>
        <v>912.536956486691</v>
      </c>
      <c r="Y83" s="24">
        <f t="shared" si="47"/>
        <v>5977.0817850826334</v>
      </c>
      <c r="Z83" s="24">
        <f t="shared" si="48"/>
        <v>88.293436773861274</v>
      </c>
      <c r="AA83" s="24">
        <f t="shared" si="49"/>
        <v>0.5919067293641298</v>
      </c>
      <c r="AB83" s="24">
        <f t="shared" si="50"/>
        <v>1.5350290966905255E-2</v>
      </c>
      <c r="AC83" s="24">
        <f t="shared" si="51"/>
        <v>2.2675445872756873E-4</v>
      </c>
      <c r="AD83" s="24">
        <v>1</v>
      </c>
      <c r="AE83" s="24">
        <f t="shared" si="52"/>
        <v>0.44509149592798652</v>
      </c>
      <c r="AF83" s="24"/>
      <c r="AG83" s="24"/>
      <c r="AH83" s="24"/>
      <c r="AI83" s="15"/>
      <c r="AJ83" s="15"/>
      <c r="AK83" s="15"/>
    </row>
    <row r="84" spans="1:37" ht="16" x14ac:dyDescent="0.2">
      <c r="A84" s="12">
        <v>6</v>
      </c>
      <c r="B84" s="12">
        <v>12</v>
      </c>
      <c r="C84" s="13">
        <v>0.48</v>
      </c>
      <c r="D84" s="14">
        <v>60</v>
      </c>
      <c r="E84" s="13">
        <f t="shared" si="53"/>
        <v>8.6408782017773106E-2</v>
      </c>
      <c r="F84" s="18">
        <f>J84*$V84*MOUFAC</f>
        <v>6.9243650375258454</v>
      </c>
      <c r="G84" s="18">
        <f>K84*$V84*MOUFAC</f>
        <v>7.5722096400656899E-2</v>
      </c>
      <c r="I84">
        <v>86.408782017773106</v>
      </c>
      <c r="J84" s="34">
        <v>23.380681818181749</v>
      </c>
      <c r="K84" s="36">
        <v>0.25568181818185032</v>
      </c>
      <c r="M84" s="26">
        <f t="shared" si="35"/>
        <v>0.18892378463146883</v>
      </c>
      <c r="N84" s="27">
        <f t="shared" si="36"/>
        <v>-0.18892378463146883</v>
      </c>
      <c r="O84" s="28" t="e">
        <f t="shared" si="37"/>
        <v>#NUM!</v>
      </c>
      <c r="P84" s="28">
        <f t="shared" si="38"/>
        <v>1.0471975511965976</v>
      </c>
      <c r="Q84" s="28">
        <f t="shared" si="39"/>
        <v>0.24999999999999994</v>
      </c>
      <c r="R84" s="28">
        <f t="shared" si="40"/>
        <v>0.59066254432547283</v>
      </c>
      <c r="S84" s="29" t="e">
        <f t="shared" si="41"/>
        <v>#DIV/0!</v>
      </c>
      <c r="T84" s="29" t="e">
        <f t="shared" si="42"/>
        <v>#DIV/0!</v>
      </c>
      <c r="U84" s="30" t="e">
        <f t="shared" si="43"/>
        <v>#DIV/0!</v>
      </c>
      <c r="V84" s="24">
        <f t="shared" si="44"/>
        <v>6.9374145310529796E-4</v>
      </c>
      <c r="W84" s="24">
        <f t="shared" si="45"/>
        <v>920.04360755039909</v>
      </c>
      <c r="X84" s="24">
        <f t="shared" si="46"/>
        <v>920.04360755039886</v>
      </c>
      <c r="Y84" s="24">
        <f t="shared" si="47"/>
        <v>6370.7177891211322</v>
      </c>
      <c r="Z84" s="24">
        <f t="shared" si="48"/>
        <v>69.667630743739451</v>
      </c>
      <c r="AA84" s="24">
        <f t="shared" si="49"/>
        <v>0.59066254432547283</v>
      </c>
      <c r="AB84" s="24">
        <f t="shared" si="50"/>
        <v>1.6361223628412632E-2</v>
      </c>
      <c r="AC84" s="24">
        <f t="shared" si="51"/>
        <v>1.7891982096686831E-4</v>
      </c>
      <c r="AD84" s="24">
        <v>1</v>
      </c>
      <c r="AE84" s="24">
        <f t="shared" si="52"/>
        <v>0.44315940951452654</v>
      </c>
      <c r="AF84" s="24"/>
      <c r="AG84" s="24"/>
      <c r="AH84" s="24"/>
    </row>
    <row r="85" spans="1:37" ht="16" x14ac:dyDescent="0.2">
      <c r="A85" s="12">
        <v>6</v>
      </c>
      <c r="B85" s="12">
        <v>12</v>
      </c>
      <c r="C85" s="13">
        <v>0.48</v>
      </c>
      <c r="D85" s="14">
        <v>60</v>
      </c>
      <c r="E85" s="13">
        <f t="shared" si="53"/>
        <v>9.1270256142185008E-2</v>
      </c>
      <c r="F85" s="18">
        <f>J85*$V85*MOUFAC</f>
        <v>7.3029755195290855</v>
      </c>
      <c r="G85" s="18">
        <f>K85*$V85*MOUFAC</f>
        <v>8.4135662667397845E-2</v>
      </c>
      <c r="I85">
        <v>91.270256142185005</v>
      </c>
      <c r="J85" s="34">
        <v>24.65909090909085</v>
      </c>
      <c r="K85" s="36">
        <v>0.28409090909094914</v>
      </c>
      <c r="M85" s="26">
        <f t="shared" si="35"/>
        <v>0.18659027705175116</v>
      </c>
      <c r="N85" s="27">
        <f t="shared" si="36"/>
        <v>-0.18659027705175116</v>
      </c>
      <c r="O85" s="28" t="e">
        <f t="shared" si="37"/>
        <v>#NUM!</v>
      </c>
      <c r="P85" s="28">
        <f t="shared" si="38"/>
        <v>1.0471975511965976</v>
      </c>
      <c r="Q85" s="28">
        <f t="shared" si="39"/>
        <v>0.24999999999999994</v>
      </c>
      <c r="R85" s="28">
        <f t="shared" si="40"/>
        <v>0.58947326635292652</v>
      </c>
      <c r="S85" s="29" t="e">
        <f t="shared" si="41"/>
        <v>#DIV/0!</v>
      </c>
      <c r="T85" s="29" t="e">
        <f t="shared" si="42"/>
        <v>#DIV/0!</v>
      </c>
      <c r="U85" s="30" t="e">
        <f t="shared" si="43"/>
        <v>#DIV/0!</v>
      </c>
      <c r="V85" s="24">
        <f t="shared" si="44"/>
        <v>6.9374145310529807E-4</v>
      </c>
      <c r="W85" s="24">
        <f t="shared" si="45"/>
        <v>927.2645275057796</v>
      </c>
      <c r="X85" s="24">
        <f t="shared" si="46"/>
        <v>927.26452750577948</v>
      </c>
      <c r="Y85" s="24">
        <f t="shared" si="47"/>
        <v>6771.7901445024117</v>
      </c>
      <c r="Z85" s="24">
        <f t="shared" si="48"/>
        <v>78.016015489670309</v>
      </c>
      <c r="AA85" s="24">
        <f t="shared" si="49"/>
        <v>0.58947326635292652</v>
      </c>
      <c r="AB85" s="24">
        <f t="shared" si="50"/>
        <v>1.7391254264642171E-2</v>
      </c>
      <c r="AC85" s="24">
        <f t="shared" si="51"/>
        <v>2.0036007217332565E-4</v>
      </c>
      <c r="AD85" s="24">
        <v>1</v>
      </c>
      <c r="AE85" s="24">
        <f t="shared" si="52"/>
        <v>0.44149805968770828</v>
      </c>
      <c r="AF85" s="24"/>
      <c r="AG85" s="24"/>
      <c r="AH85" s="24"/>
    </row>
    <row r="86" spans="1:37" ht="16" x14ac:dyDescent="0.2">
      <c r="A86" s="12">
        <v>6</v>
      </c>
      <c r="B86" s="12">
        <v>12</v>
      </c>
      <c r="C86" s="13">
        <v>0.48</v>
      </c>
      <c r="D86" s="14">
        <v>60</v>
      </c>
      <c r="E86" s="13">
        <f t="shared" si="53"/>
        <v>9.6602195504443197E-2</v>
      </c>
      <c r="F86" s="18">
        <f>J86*$V86*MOUFAC</f>
        <v>7.7909623629999327</v>
      </c>
      <c r="G86" s="18">
        <f>K86*$V86*MOUFAC</f>
        <v>6.7308530133915426E-2</v>
      </c>
      <c r="I86">
        <v>96.602195504443202</v>
      </c>
      <c r="J86" s="34">
        <v>26.306818181818151</v>
      </c>
      <c r="K86" s="36">
        <v>0.22727272727274972</v>
      </c>
      <c r="M86" s="26">
        <f t="shared" si="35"/>
        <v>0.18403094615786722</v>
      </c>
      <c r="N86" s="27">
        <f t="shared" si="36"/>
        <v>-0.18403094615786722</v>
      </c>
      <c r="O86" s="28" t="e">
        <f t="shared" si="37"/>
        <v>#NUM!</v>
      </c>
      <c r="P86" s="28">
        <f t="shared" si="38"/>
        <v>1.0471975511965976</v>
      </c>
      <c r="Q86" s="28">
        <f t="shared" si="39"/>
        <v>0.24999999999999994</v>
      </c>
      <c r="R86" s="28">
        <f t="shared" si="40"/>
        <v>0.58807183855437706</v>
      </c>
      <c r="S86" s="29" t="e">
        <f t="shared" si="41"/>
        <v>#DIV/0!</v>
      </c>
      <c r="T86" s="29" t="e">
        <f t="shared" si="42"/>
        <v>#DIV/0!</v>
      </c>
      <c r="U86" s="30" t="e">
        <f t="shared" si="43"/>
        <v>#DIV/0!</v>
      </c>
      <c r="V86" s="24">
        <f t="shared" si="44"/>
        <v>6.9374145310529796E-4</v>
      </c>
      <c r="W86" s="24">
        <f t="shared" si="45"/>
        <v>935.83106367356186</v>
      </c>
      <c r="X86" s="24">
        <f t="shared" si="46"/>
        <v>935.83106367356152</v>
      </c>
      <c r="Y86" s="24">
        <f t="shared" si="47"/>
        <v>7291.0245952069117</v>
      </c>
      <c r="Z86" s="24">
        <f t="shared" si="48"/>
        <v>62.989413349526039</v>
      </c>
      <c r="AA86" s="24">
        <f t="shared" si="49"/>
        <v>0.58807183855437706</v>
      </c>
      <c r="AB86" s="24">
        <f t="shared" si="50"/>
        <v>1.8724747796259475E-2</v>
      </c>
      <c r="AC86" s="24">
        <f t="shared" si="51"/>
        <v>1.6176887944934206E-4</v>
      </c>
      <c r="AD86" s="24">
        <v>1</v>
      </c>
      <c r="AE86" s="24">
        <f t="shared" si="52"/>
        <v>0.43973052013039293</v>
      </c>
      <c r="AF86" s="24"/>
      <c r="AG86" s="24"/>
      <c r="AH86" s="24"/>
    </row>
    <row r="87" spans="1:37" ht="16" x14ac:dyDescent="0.2">
      <c r="A87" s="12">
        <v>6</v>
      </c>
      <c r="B87" s="12">
        <v>12</v>
      </c>
      <c r="C87" s="13">
        <v>0.48</v>
      </c>
      <c r="D87" s="14">
        <v>60</v>
      </c>
      <c r="E87" s="13">
        <f t="shared" si="53"/>
        <v>0.101777313120752</v>
      </c>
      <c r="F87" s="18">
        <f>J87*$V87*MOUFAC</f>
        <v>8.0223354353352452</v>
      </c>
      <c r="G87" s="18">
        <f>K87*$V87*MOUFAC</f>
        <v>7.9928879534012912E-2</v>
      </c>
      <c r="I87">
        <v>101.777313120752</v>
      </c>
      <c r="J87" s="34">
        <v>27.088068181818151</v>
      </c>
      <c r="K87" s="36">
        <v>0.26988636363635088</v>
      </c>
      <c r="M87" s="26">
        <f t="shared" si="35"/>
        <v>0.181546889702039</v>
      </c>
      <c r="N87" s="27">
        <f t="shared" si="36"/>
        <v>-0.181546889702039</v>
      </c>
      <c r="O87" s="28" t="e">
        <f t="shared" si="37"/>
        <v>#NUM!</v>
      </c>
      <c r="P87" s="28">
        <f t="shared" si="38"/>
        <v>1.0471975511965976</v>
      </c>
      <c r="Q87" s="28">
        <f t="shared" si="39"/>
        <v>0.24999999999999994</v>
      </c>
      <c r="R87" s="28">
        <f t="shared" si="40"/>
        <v>0.58661174741360556</v>
      </c>
      <c r="S87" s="29" t="e">
        <f t="shared" si="41"/>
        <v>#DIV/0!</v>
      </c>
      <c r="T87" s="29" t="e">
        <f t="shared" si="42"/>
        <v>#DIV/0!</v>
      </c>
      <c r="U87" s="30" t="e">
        <f t="shared" si="43"/>
        <v>#DIV/0!</v>
      </c>
      <c r="V87" s="24">
        <f t="shared" si="44"/>
        <v>6.9374145310529807E-4</v>
      </c>
      <c r="W87" s="24">
        <f t="shared" si="45"/>
        <v>944.82282956356232</v>
      </c>
      <c r="X87" s="24">
        <f t="shared" si="46"/>
        <v>944.82282956356232</v>
      </c>
      <c r="Y87" s="24">
        <f t="shared" si="47"/>
        <v>7579.6856657214785</v>
      </c>
      <c r="Z87" s="24">
        <f t="shared" si="48"/>
        <v>75.518630125171185</v>
      </c>
      <c r="AA87" s="24">
        <f t="shared" si="49"/>
        <v>0.58661174741360556</v>
      </c>
      <c r="AB87" s="24">
        <f t="shared" si="50"/>
        <v>1.9466084719952866E-2</v>
      </c>
      <c r="AC87" s="24">
        <f t="shared" si="51"/>
        <v>1.939463081694218E-4</v>
      </c>
      <c r="AD87" s="24">
        <v>1</v>
      </c>
      <c r="AE87" s="24">
        <f t="shared" si="52"/>
        <v>0.43807021260080969</v>
      </c>
      <c r="AF87" s="24"/>
      <c r="AG87" s="24"/>
      <c r="AH87" s="24"/>
    </row>
    <row r="88" spans="1:37" ht="16" x14ac:dyDescent="0.2">
      <c r="A88" s="12">
        <v>6</v>
      </c>
      <c r="B88" s="12">
        <v>12</v>
      </c>
      <c r="C88" s="13">
        <v>0.48</v>
      </c>
      <c r="D88" s="14">
        <v>60</v>
      </c>
      <c r="E88" s="13">
        <f t="shared" si="53"/>
        <v>0.106325143753267</v>
      </c>
      <c r="F88" s="18">
        <f>J88*$V88*MOUFAC</f>
        <v>8.2200542426036041</v>
      </c>
      <c r="G88" s="18">
        <f>K88*$V88*MOUFAC</f>
        <v>9.2549228934124567E-2</v>
      </c>
      <c r="I88">
        <v>106.325143753267</v>
      </c>
      <c r="J88" s="34">
        <v>27.755681818181799</v>
      </c>
      <c r="K88" s="36">
        <v>0.3125</v>
      </c>
      <c r="M88" s="26">
        <f t="shared" si="35"/>
        <v>0.17936393099843179</v>
      </c>
      <c r="N88" s="27">
        <f t="shared" si="36"/>
        <v>-0.17936393099843179</v>
      </c>
      <c r="O88" s="28" t="e">
        <f t="shared" si="37"/>
        <v>#NUM!</v>
      </c>
      <c r="P88" s="28">
        <f t="shared" si="38"/>
        <v>1.0471975511965976</v>
      </c>
      <c r="Q88" s="28">
        <f t="shared" si="39"/>
        <v>0.24999999999999994</v>
      </c>
      <c r="R88" s="28">
        <f t="shared" si="40"/>
        <v>0.58524515465512061</v>
      </c>
      <c r="S88" s="29" t="e">
        <f t="shared" si="41"/>
        <v>#DIV/0!</v>
      </c>
      <c r="T88" s="29" t="e">
        <f t="shared" si="42"/>
        <v>#DIV/0!</v>
      </c>
      <c r="U88" s="30" t="e">
        <f t="shared" si="43"/>
        <v>#DIV/0!</v>
      </c>
      <c r="V88" s="24">
        <f t="shared" si="44"/>
        <v>6.9374145310529796E-4</v>
      </c>
      <c r="W88" s="24">
        <f t="shared" si="45"/>
        <v>953.3008546033858</v>
      </c>
      <c r="X88" s="24">
        <f t="shared" si="46"/>
        <v>953.30085460338569</v>
      </c>
      <c r="Y88" s="24">
        <f t="shared" si="47"/>
        <v>7836.1847343602021</v>
      </c>
      <c r="Z88" s="24">
        <f t="shared" si="48"/>
        <v>88.227259035785337</v>
      </c>
      <c r="AA88" s="24">
        <f t="shared" si="49"/>
        <v>0.58524515465512061</v>
      </c>
      <c r="AB88" s="24">
        <f t="shared" si="50"/>
        <v>2.0124823462021154E-2</v>
      </c>
      <c r="AC88" s="24">
        <f t="shared" si="51"/>
        <v>2.2658450161948087E-4</v>
      </c>
      <c r="AD88" s="24">
        <v>1</v>
      </c>
      <c r="AE88" s="24">
        <f t="shared" si="52"/>
        <v>0.43665657809379754</v>
      </c>
      <c r="AF88" s="24"/>
      <c r="AG88" s="24"/>
      <c r="AH88" s="24"/>
    </row>
    <row r="89" spans="1:37" ht="16" x14ac:dyDescent="0.2">
      <c r="A89" s="12">
        <v>6</v>
      </c>
      <c r="B89" s="12">
        <v>12</v>
      </c>
      <c r="C89" s="13">
        <v>0.48</v>
      </c>
      <c r="D89" s="14">
        <v>60</v>
      </c>
      <c r="E89" s="13">
        <f t="shared" si="53"/>
        <v>0.111343439623627</v>
      </c>
      <c r="F89" s="18">
        <f>J89*$V89*MOUFAC</f>
        <v>8.5061154956727023</v>
      </c>
      <c r="G89" s="18">
        <f>K89*$V89*MOUFAC</f>
        <v>7.5722096400656885E-2</v>
      </c>
      <c r="I89">
        <v>111.34343962362701</v>
      </c>
      <c r="J89" s="34">
        <v>28.72159090909085</v>
      </c>
      <c r="K89" s="36">
        <v>0.25568181818185032</v>
      </c>
      <c r="M89" s="26">
        <f t="shared" si="35"/>
        <v>0.17695514898065898</v>
      </c>
      <c r="N89" s="27">
        <f t="shared" si="36"/>
        <v>-0.17695514898065898</v>
      </c>
      <c r="O89" s="28" t="e">
        <f t="shared" si="37"/>
        <v>#NUM!</v>
      </c>
      <c r="P89" s="28">
        <f t="shared" si="38"/>
        <v>1.0471975511965976</v>
      </c>
      <c r="Q89" s="28">
        <f t="shared" si="39"/>
        <v>0.24999999999999994</v>
      </c>
      <c r="R89" s="28">
        <f t="shared" si="40"/>
        <v>0.58364411073128497</v>
      </c>
      <c r="S89" s="29" t="e">
        <f t="shared" si="41"/>
        <v>#DIV/0!</v>
      </c>
      <c r="T89" s="29" t="e">
        <f t="shared" si="42"/>
        <v>#DIV/0!</v>
      </c>
      <c r="U89" s="30" t="e">
        <f t="shared" si="43"/>
        <v>#DIV/0!</v>
      </c>
      <c r="V89" s="24">
        <f t="shared" si="44"/>
        <v>6.9374145310529785E-4</v>
      </c>
      <c r="W89" s="24">
        <f t="shared" si="45"/>
        <v>963.31026672883013</v>
      </c>
      <c r="X89" s="24">
        <f t="shared" si="46"/>
        <v>963.31026672883002</v>
      </c>
      <c r="Y89" s="24">
        <f t="shared" si="47"/>
        <v>8194.0283869627056</v>
      </c>
      <c r="Z89" s="24">
        <f t="shared" si="48"/>
        <v>72.943872880982966</v>
      </c>
      <c r="AA89" s="24">
        <f t="shared" si="49"/>
        <v>0.58364411073128497</v>
      </c>
      <c r="AB89" s="24">
        <f t="shared" si="50"/>
        <v>2.1043834508819578E-2</v>
      </c>
      <c r="AC89" s="24">
        <f t="shared" si="51"/>
        <v>1.8733383835746828E-4</v>
      </c>
      <c r="AD89" s="24">
        <v>1</v>
      </c>
      <c r="AE89" s="24">
        <f t="shared" si="52"/>
        <v>0.4351465391427114</v>
      </c>
      <c r="AF89" s="24"/>
      <c r="AG89" s="24"/>
      <c r="AH89" s="24"/>
    </row>
    <row r="90" spans="1:37" ht="16" x14ac:dyDescent="0.2">
      <c r="A90" s="12">
        <v>6</v>
      </c>
      <c r="B90" s="12">
        <v>12</v>
      </c>
      <c r="C90" s="13">
        <v>0.48</v>
      </c>
      <c r="D90" s="14">
        <v>60</v>
      </c>
      <c r="E90" s="13">
        <f t="shared" si="53"/>
        <v>0.116361735493988</v>
      </c>
      <c r="F90" s="18">
        <f>J90*$V90*MOUFAC</f>
        <v>8.371498435404888</v>
      </c>
      <c r="G90" s="18">
        <f>K90*$V90*MOUFAC</f>
        <v>0.12620349400108941</v>
      </c>
      <c r="I90">
        <v>116.36173549398799</v>
      </c>
      <c r="J90" s="34">
        <v>28.2670454545454</v>
      </c>
      <c r="K90" s="36">
        <v>0.42613636363639884</v>
      </c>
      <c r="M90" s="26">
        <f t="shared" si="35"/>
        <v>0.17454636696288572</v>
      </c>
      <c r="N90" s="27">
        <f t="shared" si="36"/>
        <v>-0.17454636696288572</v>
      </c>
      <c r="O90" s="28" t="e">
        <f t="shared" si="37"/>
        <v>#NUM!</v>
      </c>
      <c r="P90" s="28">
        <f t="shared" si="38"/>
        <v>1.0471975511965976</v>
      </c>
      <c r="Q90" s="28">
        <f t="shared" si="39"/>
        <v>0.24999999999999994</v>
      </c>
      <c r="R90" s="28">
        <f t="shared" si="40"/>
        <v>0.58194282223871463</v>
      </c>
      <c r="S90" s="29" t="e">
        <f t="shared" si="41"/>
        <v>#DIV/0!</v>
      </c>
      <c r="T90" s="29" t="e">
        <f t="shared" si="42"/>
        <v>#DIV/0!</v>
      </c>
      <c r="U90" s="30" t="e">
        <f t="shared" si="43"/>
        <v>#DIV/0!</v>
      </c>
      <c r="V90" s="24">
        <f t="shared" si="44"/>
        <v>6.9374145310529796E-4</v>
      </c>
      <c r="W90" s="24">
        <f t="shared" si="45"/>
        <v>974.03805612679787</v>
      </c>
      <c r="X90" s="24">
        <f t="shared" si="46"/>
        <v>974.03805612679764</v>
      </c>
      <c r="Y90" s="24">
        <f t="shared" si="47"/>
        <v>8154.1580628903048</v>
      </c>
      <c r="Z90" s="24">
        <f t="shared" si="48"/>
        <v>122.92700597323109</v>
      </c>
      <c r="AA90" s="24">
        <f t="shared" si="49"/>
        <v>0.58194282223871463</v>
      </c>
      <c r="AB90" s="24">
        <f t="shared" si="50"/>
        <v>2.0941439879222302E-2</v>
      </c>
      <c r="AC90" s="24">
        <f t="shared" si="51"/>
        <v>3.1570009868176998E-4</v>
      </c>
      <c r="AD90" s="24">
        <v>1</v>
      </c>
      <c r="AE90" s="24">
        <f t="shared" si="52"/>
        <v>0.43368931327628829</v>
      </c>
      <c r="AF90" s="24"/>
      <c r="AG90" s="24"/>
      <c r="AH90" s="24"/>
    </row>
    <row r="91" spans="1:37" ht="16" x14ac:dyDescent="0.2">
      <c r="A91" s="12">
        <v>6</v>
      </c>
      <c r="B91" s="12">
        <v>12</v>
      </c>
      <c r="C91" s="13">
        <v>0.48</v>
      </c>
      <c r="D91" s="14">
        <v>60</v>
      </c>
      <c r="E91" s="13">
        <f t="shared" si="53"/>
        <v>0.12153685311029701</v>
      </c>
      <c r="F91" s="18">
        <f>J91*$V91*MOUFAC</f>
        <v>8.455634098072272</v>
      </c>
      <c r="G91" s="18">
        <f>K91*$V91*MOUFAC</f>
        <v>0.10096279520086605</v>
      </c>
      <c r="I91">
        <v>121.536853110297</v>
      </c>
      <c r="J91" s="34">
        <v>28.551136363636299</v>
      </c>
      <c r="K91" s="36">
        <v>0.3409090909091006</v>
      </c>
      <c r="M91" s="26">
        <f t="shared" si="35"/>
        <v>0.17206231050705739</v>
      </c>
      <c r="N91" s="27">
        <f t="shared" si="36"/>
        <v>-0.17206231050705739</v>
      </c>
      <c r="O91" s="28" t="e">
        <f t="shared" si="37"/>
        <v>#NUM!</v>
      </c>
      <c r="P91" s="28">
        <f t="shared" si="38"/>
        <v>1.0471975511965976</v>
      </c>
      <c r="Q91" s="28">
        <f t="shared" si="39"/>
        <v>0.24999999999999994</v>
      </c>
      <c r="R91" s="28">
        <f t="shared" si="40"/>
        <v>0.58008049783814797</v>
      </c>
      <c r="S91" s="29" t="e">
        <f t="shared" si="41"/>
        <v>#DIV/0!</v>
      </c>
      <c r="T91" s="29" t="e">
        <f t="shared" si="42"/>
        <v>#DIV/0!</v>
      </c>
      <c r="U91" s="30" t="e">
        <f t="shared" si="43"/>
        <v>#DIV/0!</v>
      </c>
      <c r="V91" s="24">
        <f t="shared" si="44"/>
        <v>6.9374145310529807E-4</v>
      </c>
      <c r="W91" s="24">
        <f t="shared" si="45"/>
        <v>985.890535377731</v>
      </c>
      <c r="X91" s="24">
        <f t="shared" si="46"/>
        <v>985.89053537773077</v>
      </c>
      <c r="Y91" s="24">
        <f t="shared" si="47"/>
        <v>8336.3296279066672</v>
      </c>
      <c r="Z91" s="24">
        <f t="shared" si="48"/>
        <v>99.538264213814017</v>
      </c>
      <c r="AA91" s="24">
        <f t="shared" si="49"/>
        <v>0.58008049783814797</v>
      </c>
      <c r="AB91" s="24">
        <f t="shared" si="50"/>
        <v>2.1409291354147202E-2</v>
      </c>
      <c r="AC91" s="24">
        <f t="shared" si="51"/>
        <v>2.5563332960176549E-4</v>
      </c>
      <c r="AD91" s="24">
        <v>1</v>
      </c>
      <c r="AE91" s="24">
        <f t="shared" si="52"/>
        <v>0.43224242870293433</v>
      </c>
      <c r="AF91" s="24"/>
      <c r="AG91" s="24"/>
      <c r="AH91" s="24"/>
    </row>
    <row r="92" spans="1:37" ht="16" x14ac:dyDescent="0.2">
      <c r="A92" s="12">
        <v>6</v>
      </c>
      <c r="B92" s="12">
        <v>12</v>
      </c>
      <c r="C92" s="13">
        <v>0.48</v>
      </c>
      <c r="D92" s="14">
        <v>60</v>
      </c>
      <c r="E92" s="13">
        <f t="shared" si="53"/>
        <v>0.12655514898065801</v>
      </c>
      <c r="F92" s="18">
        <f>J92*$V92*MOUFAC</f>
        <v>8.5145290619394469</v>
      </c>
      <c r="G92" s="18">
        <f>K92*$V92*MOUFAC</f>
        <v>0.10096279520085133</v>
      </c>
      <c r="I92">
        <v>126.555148980658</v>
      </c>
      <c r="J92" s="34">
        <v>28.74999999999995</v>
      </c>
      <c r="K92" s="36">
        <v>0.34090909090905086</v>
      </c>
      <c r="M92" s="26">
        <f t="shared" si="35"/>
        <v>0.16965352848928411</v>
      </c>
      <c r="N92" s="27">
        <f t="shared" si="36"/>
        <v>-0.16965352848928411</v>
      </c>
      <c r="O92" s="28" t="e">
        <f t="shared" si="37"/>
        <v>#NUM!</v>
      </c>
      <c r="P92" s="28">
        <f t="shared" si="38"/>
        <v>1.0471975511965976</v>
      </c>
      <c r="Q92" s="28">
        <f t="shared" si="39"/>
        <v>0.24999999999999994</v>
      </c>
      <c r="R92" s="28">
        <f t="shared" si="40"/>
        <v>0.57816716380423017</v>
      </c>
      <c r="S92" s="29" t="e">
        <f t="shared" si="41"/>
        <v>#DIV/0!</v>
      </c>
      <c r="T92" s="29" t="e">
        <f t="shared" si="42"/>
        <v>#DIV/0!</v>
      </c>
      <c r="U92" s="30" t="e">
        <f t="shared" si="43"/>
        <v>#DIV/0!</v>
      </c>
      <c r="V92" s="24">
        <f t="shared" si="44"/>
        <v>6.9374145310529807E-4</v>
      </c>
      <c r="W92" s="24">
        <f t="shared" si="45"/>
        <v>998.18770328298194</v>
      </c>
      <c r="X92" s="24">
        <f t="shared" si="46"/>
        <v>998.18770328298172</v>
      </c>
      <c r="Y92" s="24">
        <f t="shared" si="47"/>
        <v>8499.0982088735382</v>
      </c>
      <c r="Z92" s="24">
        <f t="shared" si="48"/>
        <v>100.77982065856784</v>
      </c>
      <c r="AA92" s="24">
        <f t="shared" si="49"/>
        <v>0.57816716380423017</v>
      </c>
      <c r="AB92" s="24">
        <f t="shared" si="50"/>
        <v>2.1827312249284945E-2</v>
      </c>
      <c r="AC92" s="24">
        <f t="shared" si="51"/>
        <v>2.5882188437884295E-4</v>
      </c>
      <c r="AD92" s="24">
        <v>1</v>
      </c>
      <c r="AE92" s="24">
        <f t="shared" si="52"/>
        <v>0.43089411022059776</v>
      </c>
      <c r="AF92" s="24"/>
      <c r="AG92" s="24"/>
      <c r="AH92" s="24"/>
    </row>
    <row r="93" spans="1:37" ht="16" x14ac:dyDescent="0.2">
      <c r="A93" s="12">
        <v>6</v>
      </c>
      <c r="B93" s="12">
        <v>12</v>
      </c>
      <c r="C93" s="13">
        <v>0.48</v>
      </c>
      <c r="D93" s="14">
        <v>60</v>
      </c>
      <c r="E93" s="13">
        <f t="shared" si="53"/>
        <v>0.13141662310506999</v>
      </c>
      <c r="F93" s="18">
        <f>J93*$V93*MOUFAC</f>
        <v>8.2873627727375059</v>
      </c>
      <c r="G93" s="18">
        <f>K93*$V93*MOUFAC</f>
        <v>9.2549228934124567E-2</v>
      </c>
      <c r="I93">
        <v>131.41662310506999</v>
      </c>
      <c r="J93" s="34">
        <v>27.982954545454501</v>
      </c>
      <c r="K93" s="36">
        <v>0.3125</v>
      </c>
      <c r="M93" s="26">
        <f t="shared" si="35"/>
        <v>0.16732002090956638</v>
      </c>
      <c r="N93" s="27">
        <f t="shared" si="36"/>
        <v>-0.16732002090956638</v>
      </c>
      <c r="O93" s="28" t="e">
        <f t="shared" si="37"/>
        <v>#NUM!</v>
      </c>
      <c r="P93" s="28">
        <f t="shared" si="38"/>
        <v>1.0471975511965976</v>
      </c>
      <c r="Q93" s="28">
        <f t="shared" si="39"/>
        <v>0.24999999999999994</v>
      </c>
      <c r="R93" s="28">
        <f t="shared" si="40"/>
        <v>0.57621005066785913</v>
      </c>
      <c r="S93" s="29" t="e">
        <f t="shared" si="41"/>
        <v>#DIV/0!</v>
      </c>
      <c r="T93" s="29" t="e">
        <f t="shared" si="42"/>
        <v>#DIV/0!</v>
      </c>
      <c r="U93" s="30" t="e">
        <f t="shared" si="43"/>
        <v>#DIV/0!</v>
      </c>
      <c r="V93" s="24">
        <f t="shared" si="44"/>
        <v>6.9374145310529796E-4</v>
      </c>
      <c r="W93" s="24">
        <f t="shared" si="45"/>
        <v>1010.8933708490555</v>
      </c>
      <c r="X93" s="24">
        <f t="shared" si="46"/>
        <v>1010.8933708490553</v>
      </c>
      <c r="Y93" s="24">
        <f t="shared" si="47"/>
        <v>8377.6400887815907</v>
      </c>
      <c r="Z93" s="24">
        <f t="shared" si="48"/>
        <v>93.557402006698098</v>
      </c>
      <c r="AA93" s="24">
        <f t="shared" si="49"/>
        <v>0.57621005066785913</v>
      </c>
      <c r="AB93" s="24">
        <f t="shared" si="50"/>
        <v>2.1515384530919463E-2</v>
      </c>
      <c r="AC93" s="24">
        <f t="shared" si="51"/>
        <v>2.402733297869182E-4</v>
      </c>
      <c r="AD93" s="24">
        <v>1</v>
      </c>
      <c r="AE93" s="24">
        <f t="shared" si="52"/>
        <v>0.42963979068273739</v>
      </c>
      <c r="AF93" s="24"/>
      <c r="AG93" s="24"/>
      <c r="AH93" s="24"/>
    </row>
    <row r="94" spans="1:37" ht="16" x14ac:dyDescent="0.2">
      <c r="A94" s="12">
        <v>6</v>
      </c>
      <c r="B94" s="12">
        <v>12</v>
      </c>
      <c r="C94" s="13">
        <v>0.48</v>
      </c>
      <c r="D94" s="14">
        <v>60</v>
      </c>
      <c r="E94" s="13">
        <f t="shared" si="53"/>
        <v>0.13659174072138</v>
      </c>
      <c r="F94" s="18">
        <f>J94*$V94*MOUFAC</f>
        <v>7.9844743871349078</v>
      </c>
      <c r="G94" s="18">
        <f>K94*$V94*MOUFAC</f>
        <v>8.4135662667383634E-2</v>
      </c>
      <c r="I94">
        <v>136.59174072138001</v>
      </c>
      <c r="J94" s="34">
        <v>26.960227272727202</v>
      </c>
      <c r="K94" s="36">
        <v>0.28409090909090118</v>
      </c>
      <c r="M94" s="26">
        <f t="shared" si="35"/>
        <v>0.16483596445373755</v>
      </c>
      <c r="N94" s="27">
        <f t="shared" si="36"/>
        <v>-0.16483596445373755</v>
      </c>
      <c r="O94" s="28" t="e">
        <f t="shared" si="37"/>
        <v>#NUM!</v>
      </c>
      <c r="P94" s="28">
        <f t="shared" si="38"/>
        <v>1.0471975511965976</v>
      </c>
      <c r="Q94" s="28">
        <f t="shared" si="39"/>
        <v>0.24999999999999994</v>
      </c>
      <c r="R94" s="28">
        <f t="shared" si="40"/>
        <v>0.57401171314359722</v>
      </c>
      <c r="S94" s="29" t="e">
        <f t="shared" si="41"/>
        <v>#DIV/0!</v>
      </c>
      <c r="T94" s="29" t="e">
        <f t="shared" si="42"/>
        <v>#DIV/0!</v>
      </c>
      <c r="U94" s="30" t="e">
        <f t="shared" si="43"/>
        <v>#DIV/0!</v>
      </c>
      <c r="V94" s="24">
        <f t="shared" si="44"/>
        <v>6.9374145310529796E-4</v>
      </c>
      <c r="W94" s="24">
        <f t="shared" si="45"/>
        <v>1025.3200105644598</v>
      </c>
      <c r="X94" s="24">
        <f t="shared" si="46"/>
        <v>1025.3200105644601</v>
      </c>
      <c r="Y94" s="24">
        <f t="shared" si="47"/>
        <v>8186.6413629688241</v>
      </c>
      <c r="Z94" s="24">
        <f t="shared" si="48"/>
        <v>86.265978534969634</v>
      </c>
      <c r="AA94" s="24">
        <f t="shared" si="49"/>
        <v>0.57401171314359722</v>
      </c>
      <c r="AB94" s="24">
        <f t="shared" si="50"/>
        <v>2.1024863216178313E-2</v>
      </c>
      <c r="AC94" s="24">
        <f t="shared" si="51"/>
        <v>2.2154755759934438E-4</v>
      </c>
      <c r="AD94" s="24">
        <v>1</v>
      </c>
      <c r="AE94" s="24">
        <f t="shared" si="52"/>
        <v>0.42836114213013565</v>
      </c>
      <c r="AF94" s="24"/>
      <c r="AG94" s="24"/>
      <c r="AH94" s="24"/>
    </row>
    <row r="95" spans="1:37" ht="16" x14ac:dyDescent="0.2">
      <c r="A95" s="12">
        <v>6</v>
      </c>
      <c r="B95" s="12">
        <v>12</v>
      </c>
      <c r="C95" s="13">
        <v>0.48</v>
      </c>
      <c r="D95" s="14">
        <v>60</v>
      </c>
      <c r="E95" s="13">
        <f t="shared" si="53"/>
        <v>0.14145321484579099</v>
      </c>
      <c r="F95" s="18">
        <f>J95*$V95*MOUFAC</f>
        <v>7.4375925797969042</v>
      </c>
      <c r="G95" s="18">
        <f>K95*$V95*MOUFAC</f>
        <v>7.5722096400642175E-2</v>
      </c>
      <c r="I95">
        <v>141.453214845791</v>
      </c>
      <c r="J95" s="34">
        <v>25.113636363636303</v>
      </c>
      <c r="K95" s="36">
        <v>0.25568181818180058</v>
      </c>
      <c r="M95" s="26">
        <f t="shared" si="35"/>
        <v>0.16250245687402029</v>
      </c>
      <c r="N95" s="27">
        <f t="shared" si="36"/>
        <v>-0.16250245687402029</v>
      </c>
      <c r="O95" s="28" t="e">
        <f t="shared" si="37"/>
        <v>#NUM!</v>
      </c>
      <c r="P95" s="28">
        <f t="shared" si="38"/>
        <v>1.0471975511965976</v>
      </c>
      <c r="Q95" s="28">
        <f t="shared" si="39"/>
        <v>0.24999999999999994</v>
      </c>
      <c r="R95" s="28">
        <f t="shared" si="40"/>
        <v>0.5718358231337165</v>
      </c>
      <c r="S95" s="29" t="e">
        <f t="shared" si="41"/>
        <v>#DIV/0!</v>
      </c>
      <c r="T95" s="29" t="e">
        <f t="shared" si="42"/>
        <v>#DIV/0!</v>
      </c>
      <c r="U95" s="30" t="e">
        <f t="shared" si="43"/>
        <v>#DIV/0!</v>
      </c>
      <c r="V95" s="24">
        <f t="shared" si="44"/>
        <v>6.9374145310529807E-4</v>
      </c>
      <c r="W95" s="24">
        <f t="shared" si="45"/>
        <v>1039.7625492644345</v>
      </c>
      <c r="X95" s="24">
        <f t="shared" si="46"/>
        <v>1039.7625492644343</v>
      </c>
      <c r="Y95" s="24">
        <f t="shared" si="47"/>
        <v>7733.3302211598693</v>
      </c>
      <c r="Z95" s="24">
        <f t="shared" si="48"/>
        <v>78.73299998917895</v>
      </c>
      <c r="AA95" s="24">
        <f t="shared" si="49"/>
        <v>0.5718358231337165</v>
      </c>
      <c r="AB95" s="24">
        <f t="shared" si="50"/>
        <v>1.9860673369776316E-2</v>
      </c>
      <c r="AC95" s="24">
        <f t="shared" si="51"/>
        <v>2.0220142571037892E-4</v>
      </c>
      <c r="AD95" s="24">
        <v>1</v>
      </c>
      <c r="AE95" s="24">
        <f t="shared" si="52"/>
        <v>0.42721361034525784</v>
      </c>
      <c r="AF95" s="24"/>
      <c r="AG95" s="24"/>
      <c r="AH95" s="24"/>
    </row>
    <row r="96" spans="1:37" ht="16" x14ac:dyDescent="0.2">
      <c r="A96" s="12">
        <v>6</v>
      </c>
      <c r="B96" s="12">
        <v>12</v>
      </c>
      <c r="C96" s="13">
        <v>0.48</v>
      </c>
      <c r="D96" s="14">
        <v>60</v>
      </c>
      <c r="E96" s="13">
        <f t="shared" si="53"/>
        <v>0.14662833246210102</v>
      </c>
      <c r="F96" s="18">
        <f>J96*$V96*MOUFAC</f>
        <v>6.894917555592265</v>
      </c>
      <c r="G96" s="18">
        <f>K96*$V96*MOUFAC</f>
        <v>9.6756012067495289E-2</v>
      </c>
      <c r="I96">
        <v>146.62833246210101</v>
      </c>
      <c r="J96" s="34">
        <v>23.28124999999995</v>
      </c>
      <c r="K96" s="36">
        <v>0.3267045454545503</v>
      </c>
      <c r="M96" s="26">
        <f t="shared" si="35"/>
        <v>0.16001840041819146</v>
      </c>
      <c r="N96" s="27">
        <f t="shared" si="36"/>
        <v>-0.16001840041819146</v>
      </c>
      <c r="O96" s="28" t="e">
        <f t="shared" si="37"/>
        <v>#NUM!</v>
      </c>
      <c r="P96" s="28">
        <f t="shared" si="38"/>
        <v>1.0471975511965976</v>
      </c>
      <c r="Q96" s="28">
        <f t="shared" si="39"/>
        <v>0.24999999999999994</v>
      </c>
      <c r="R96" s="28">
        <f t="shared" si="40"/>
        <v>0.56939853600930102</v>
      </c>
      <c r="S96" s="29" t="e">
        <f t="shared" si="41"/>
        <v>#DIV/0!</v>
      </c>
      <c r="T96" s="29" t="e">
        <f t="shared" si="42"/>
        <v>#DIV/0!</v>
      </c>
      <c r="U96" s="30" t="e">
        <f t="shared" si="43"/>
        <v>#DIV/0!</v>
      </c>
      <c r="V96" s="24">
        <f t="shared" si="44"/>
        <v>6.9374145310529785E-4</v>
      </c>
      <c r="W96" s="24">
        <f t="shared" si="45"/>
        <v>1056.1352312387783</v>
      </c>
      <c r="X96" s="24">
        <f t="shared" si="46"/>
        <v>1056.135231238778</v>
      </c>
      <c r="Y96" s="24">
        <f t="shared" si="47"/>
        <v>7281.9653469477471</v>
      </c>
      <c r="Z96" s="24">
        <f t="shared" si="48"/>
        <v>102.18743317864613</v>
      </c>
      <c r="AA96" s="24">
        <f t="shared" si="49"/>
        <v>0.56939853600930102</v>
      </c>
      <c r="AB96" s="24">
        <f t="shared" si="50"/>
        <v>1.8701481911381226E-2</v>
      </c>
      <c r="AC96" s="24">
        <f t="shared" si="51"/>
        <v>2.6243690296630595E-4</v>
      </c>
      <c r="AD96" s="24">
        <v>1</v>
      </c>
      <c r="AE96" s="24">
        <f t="shared" si="52"/>
        <v>0.42604960779093304</v>
      </c>
      <c r="AF96" s="24"/>
      <c r="AG96" s="24"/>
      <c r="AH96" s="24"/>
    </row>
    <row r="97" spans="1:34" ht="16" x14ac:dyDescent="0.2">
      <c r="A97" s="12">
        <v>6</v>
      </c>
      <c r="B97" s="12">
        <v>12</v>
      </c>
      <c r="C97" s="13">
        <v>0.48</v>
      </c>
      <c r="D97" s="14">
        <v>60</v>
      </c>
      <c r="E97" s="13">
        <f t="shared" si="53"/>
        <v>0.15164662833246201</v>
      </c>
      <c r="F97" s="18">
        <f>J97*$V97*MOUFAC</f>
        <v>6.6130630856565213</v>
      </c>
      <c r="G97" s="18">
        <f>K97*$V97*MOUFAC</f>
        <v>0.10096279520086604</v>
      </c>
      <c r="I97">
        <v>151.646628332462</v>
      </c>
      <c r="J97" s="34">
        <v>22.3295454545454</v>
      </c>
      <c r="K97" s="36">
        <v>0.3409090909091006</v>
      </c>
      <c r="M97" s="26">
        <f t="shared" si="35"/>
        <v>0.15760961840041821</v>
      </c>
      <c r="N97" s="27">
        <f t="shared" si="36"/>
        <v>-0.15760961840041821</v>
      </c>
      <c r="O97" s="28" t="e">
        <f t="shared" si="37"/>
        <v>#NUM!</v>
      </c>
      <c r="P97" s="28">
        <f t="shared" si="38"/>
        <v>1.0471975511965976</v>
      </c>
      <c r="Q97" s="28">
        <f t="shared" si="39"/>
        <v>0.24999999999999994</v>
      </c>
      <c r="R97" s="28">
        <f t="shared" si="40"/>
        <v>0.56691286928313678</v>
      </c>
      <c r="S97" s="29" t="e">
        <f t="shared" si="41"/>
        <v>#DIV/0!</v>
      </c>
      <c r="T97" s="29" t="e">
        <f t="shared" si="42"/>
        <v>#DIV/0!</v>
      </c>
      <c r="U97" s="30" t="e">
        <f t="shared" si="43"/>
        <v>#DIV/0!</v>
      </c>
      <c r="V97" s="24">
        <f t="shared" si="44"/>
        <v>6.9374145310529796E-4</v>
      </c>
      <c r="W97" s="24">
        <f t="shared" si="45"/>
        <v>1073.0479127443009</v>
      </c>
      <c r="X97" s="24">
        <f t="shared" si="46"/>
        <v>1073.0479127443011</v>
      </c>
      <c r="Y97" s="24">
        <f t="shared" si="47"/>
        <v>7096.1335409101175</v>
      </c>
      <c r="Z97" s="24">
        <f t="shared" si="48"/>
        <v>108.33791665511964</v>
      </c>
      <c r="AA97" s="24">
        <f t="shared" si="49"/>
        <v>0.56691286928313678</v>
      </c>
      <c r="AB97" s="24">
        <f t="shared" si="50"/>
        <v>1.8224230236374463E-2</v>
      </c>
      <c r="AC97" s="24">
        <f t="shared" si="51"/>
        <v>2.7823252269274846E-4</v>
      </c>
      <c r="AD97" s="24">
        <v>1</v>
      </c>
      <c r="AE97" s="24">
        <f t="shared" si="52"/>
        <v>0.42497802094346254</v>
      </c>
      <c r="AF97" s="24"/>
      <c r="AG97" s="24"/>
      <c r="AH97" s="24"/>
    </row>
    <row r="98" spans="1:34" ht="16" x14ac:dyDescent="0.2">
      <c r="A98" s="12">
        <v>6</v>
      </c>
      <c r="B98" s="12">
        <v>12</v>
      </c>
      <c r="C98" s="13">
        <v>0.48</v>
      </c>
      <c r="D98" s="14">
        <v>60</v>
      </c>
      <c r="E98" s="13">
        <f t="shared" si="53"/>
        <v>0.15635128071092502</v>
      </c>
      <c r="F98" s="18">
        <f>J98*$V98*MOUFAC</f>
        <v>6.0830084108519991</v>
      </c>
      <c r="G98" s="18">
        <f>K98*$V98*MOUFAC</f>
        <v>9.2549228934124581E-2</v>
      </c>
      <c r="I98">
        <v>156.35128071092501</v>
      </c>
      <c r="J98" s="34">
        <v>20.539772727272702</v>
      </c>
      <c r="K98" s="36">
        <v>0.3125</v>
      </c>
      <c r="M98" s="26">
        <f t="shared" si="35"/>
        <v>0.15535138525875594</v>
      </c>
      <c r="N98" s="27">
        <f t="shared" si="36"/>
        <v>-0.15535138525875594</v>
      </c>
      <c r="O98" s="28" t="e">
        <f t="shared" si="37"/>
        <v>#NUM!</v>
      </c>
      <c r="P98" s="28">
        <f t="shared" si="38"/>
        <v>1.0471975511965976</v>
      </c>
      <c r="Q98" s="28">
        <f t="shared" si="39"/>
        <v>0.24999999999999994</v>
      </c>
      <c r="R98" s="28">
        <f t="shared" si="40"/>
        <v>0.56447050758924922</v>
      </c>
      <c r="S98" s="29" t="e">
        <f t="shared" si="41"/>
        <v>#DIV/0!</v>
      </c>
      <c r="T98" s="29" t="e">
        <f t="shared" si="42"/>
        <v>#DIV/0!</v>
      </c>
      <c r="U98" s="30" t="e">
        <f t="shared" si="43"/>
        <v>#DIV/0!</v>
      </c>
      <c r="V98" s="24">
        <f t="shared" si="44"/>
        <v>6.9374145310529807E-4</v>
      </c>
      <c r="W98" s="24">
        <f t="shared" si="45"/>
        <v>1089.8801800692127</v>
      </c>
      <c r="X98" s="24">
        <f t="shared" si="46"/>
        <v>1089.8801800692122</v>
      </c>
      <c r="Y98" s="24">
        <f t="shared" si="47"/>
        <v>6629.7503021819093</v>
      </c>
      <c r="Z98" s="24">
        <f t="shared" si="48"/>
        <v>100.86757029599045</v>
      </c>
      <c r="AA98" s="24">
        <f t="shared" si="49"/>
        <v>0.56447050758924922</v>
      </c>
      <c r="AB98" s="24">
        <f t="shared" si="50"/>
        <v>1.7026468741051931E-2</v>
      </c>
      <c r="AC98" s="24">
        <f t="shared" si="51"/>
        <v>2.5904724225666871E-4</v>
      </c>
      <c r="AD98" s="24">
        <v>1</v>
      </c>
      <c r="AE98" s="24">
        <f t="shared" si="52"/>
        <v>0.42402489106030372</v>
      </c>
      <c r="AF98" s="24"/>
      <c r="AG98" s="24"/>
      <c r="AH98" s="24"/>
    </row>
    <row r="99" spans="1:34" ht="16" x14ac:dyDescent="0.2">
      <c r="A99" s="12">
        <v>6</v>
      </c>
      <c r="B99" s="12">
        <v>12</v>
      </c>
      <c r="C99" s="13">
        <v>0.48</v>
      </c>
      <c r="D99" s="14">
        <v>60</v>
      </c>
      <c r="E99" s="13">
        <f t="shared" si="53"/>
        <v>0.161683220073183</v>
      </c>
      <c r="F99" s="18">
        <f>J99*$V99*MOUFAC</f>
        <v>5.7759132421160295</v>
      </c>
      <c r="G99" s="18">
        <f>K99*$V99*MOUFAC</f>
        <v>7.992887953401237E-2</v>
      </c>
      <c r="I99">
        <v>161.68322007318301</v>
      </c>
      <c r="J99" s="34">
        <v>19.50284090909085</v>
      </c>
      <c r="K99" s="36">
        <v>0.2698863636363491</v>
      </c>
      <c r="M99" s="26">
        <f t="shared" si="35"/>
        <v>0.15279205436487212</v>
      </c>
      <c r="N99" s="27">
        <f t="shared" si="36"/>
        <v>-0.15279205436487212</v>
      </c>
      <c r="O99" s="28" t="e">
        <f t="shared" si="37"/>
        <v>#NUM!</v>
      </c>
      <c r="P99" s="28">
        <f t="shared" si="38"/>
        <v>1.0471975511965976</v>
      </c>
      <c r="Q99" s="28">
        <f t="shared" si="39"/>
        <v>0.24999999999999994</v>
      </c>
      <c r="R99" s="28">
        <f t="shared" si="40"/>
        <v>0.56156812526305422</v>
      </c>
      <c r="S99" s="29" t="e">
        <f t="shared" si="41"/>
        <v>#DIV/0!</v>
      </c>
      <c r="T99" s="29" t="e">
        <f t="shared" si="42"/>
        <v>#DIV/0!</v>
      </c>
      <c r="U99" s="30" t="e">
        <f t="shared" si="43"/>
        <v>#DIV/0!</v>
      </c>
      <c r="V99" s="24">
        <f t="shared" si="44"/>
        <v>6.9374145310529796E-4</v>
      </c>
      <c r="W99" s="24">
        <f t="shared" si="45"/>
        <v>1110.1627841027396</v>
      </c>
      <c r="X99" s="24">
        <f t="shared" si="46"/>
        <v>1110.1627841027394</v>
      </c>
      <c r="Y99" s="24">
        <f t="shared" si="47"/>
        <v>6412.2039256034113</v>
      </c>
      <c r="Z99" s="24">
        <f t="shared" si="48"/>
        <v>88.734067433691635</v>
      </c>
      <c r="AA99" s="24">
        <f t="shared" si="49"/>
        <v>0.56156812526305422</v>
      </c>
      <c r="AB99" s="24">
        <f t="shared" si="50"/>
        <v>1.6467767973796208E-2</v>
      </c>
      <c r="AC99" s="24">
        <f t="shared" si="51"/>
        <v>2.278860826672338E-4</v>
      </c>
      <c r="AD99" s="24">
        <v>1</v>
      </c>
      <c r="AE99" s="24">
        <f t="shared" si="52"/>
        <v>0.42300534041322158</v>
      </c>
      <c r="AF99" s="24"/>
      <c r="AG99" s="24"/>
      <c r="AH99" s="24"/>
    </row>
    <row r="100" spans="1:34" ht="16" x14ac:dyDescent="0.2">
      <c r="A100" s="12">
        <v>6</v>
      </c>
      <c r="B100" s="12">
        <v>12</v>
      </c>
      <c r="C100" s="13">
        <v>0.48</v>
      </c>
      <c r="D100" s="14">
        <v>60</v>
      </c>
      <c r="E100" s="13">
        <f t="shared" si="53"/>
        <v>0.16654469419759499</v>
      </c>
      <c r="F100" s="18">
        <f>J100*$V100*MOUFAC</f>
        <v>5.3846824107126947</v>
      </c>
      <c r="G100" s="18">
        <f>K100*$V100*MOUFAC</f>
        <v>6.7308530133915453E-2</v>
      </c>
      <c r="I100">
        <v>166.54469419759499</v>
      </c>
      <c r="J100" s="34">
        <v>18.181818181818151</v>
      </c>
      <c r="K100" s="36">
        <v>0.22727272727274972</v>
      </c>
      <c r="M100" s="26">
        <f t="shared" si="35"/>
        <v>0.15045854678515436</v>
      </c>
      <c r="N100" s="27">
        <f t="shared" si="36"/>
        <v>-0.15045854678515436</v>
      </c>
      <c r="O100" s="28" t="e">
        <f t="shared" si="37"/>
        <v>#NUM!</v>
      </c>
      <c r="P100" s="28">
        <f t="shared" si="38"/>
        <v>1.0471975511965976</v>
      </c>
      <c r="Q100" s="28">
        <f t="shared" si="39"/>
        <v>0.24999999999999994</v>
      </c>
      <c r="R100" s="28">
        <f t="shared" si="40"/>
        <v>0.55879435279845291</v>
      </c>
      <c r="S100" s="29" t="e">
        <f t="shared" si="41"/>
        <v>#DIV/0!</v>
      </c>
      <c r="T100" s="29" t="e">
        <f t="shared" si="42"/>
        <v>#DIV/0!</v>
      </c>
      <c r="U100" s="30" t="e">
        <f t="shared" si="43"/>
        <v>#DIV/0!</v>
      </c>
      <c r="V100" s="24">
        <f t="shared" si="44"/>
        <v>6.9374145310529818E-4</v>
      </c>
      <c r="W100" s="24">
        <f t="shared" si="45"/>
        <v>1129.8349087152062</v>
      </c>
      <c r="X100" s="24">
        <f t="shared" si="46"/>
        <v>1129.8349087152064</v>
      </c>
      <c r="Y100" s="24">
        <f t="shared" si="47"/>
        <v>6083.802159967955</v>
      </c>
      <c r="Z100" s="24">
        <f t="shared" si="48"/>
        <v>76.047526999607086</v>
      </c>
      <c r="AA100" s="24">
        <f t="shared" si="49"/>
        <v>0.55879435279845291</v>
      </c>
      <c r="AB100" s="24">
        <f t="shared" si="50"/>
        <v>1.5624369332484159E-2</v>
      </c>
      <c r="AC100" s="24">
        <f t="shared" si="51"/>
        <v>1.9530461665607162E-4</v>
      </c>
      <c r="AD100" s="24">
        <v>1</v>
      </c>
      <c r="AE100" s="24">
        <f t="shared" si="52"/>
        <v>0.42213230384622874</v>
      </c>
      <c r="AF100" s="24"/>
      <c r="AG100" s="24"/>
      <c r="AH100" s="24"/>
    </row>
    <row r="101" spans="1:34" ht="16" x14ac:dyDescent="0.2">
      <c r="A101" s="12">
        <v>6</v>
      </c>
      <c r="B101" s="12">
        <v>12</v>
      </c>
      <c r="C101" s="13">
        <v>0.48</v>
      </c>
      <c r="D101" s="14">
        <v>60</v>
      </c>
      <c r="E101" s="13">
        <f t="shared" si="53"/>
        <v>0.171562990067956</v>
      </c>
      <c r="F101" s="18">
        <f>J101*$V101*MOUFAC</f>
        <v>4.8840752178417359</v>
      </c>
      <c r="G101" s="18">
        <f>K101*$V101*MOUFAC</f>
        <v>7.9928879534027636E-2</v>
      </c>
      <c r="I101">
        <v>171.56299006795601</v>
      </c>
      <c r="J101" s="34">
        <v>16.491477272727202</v>
      </c>
      <c r="K101" s="36">
        <v>0.26988636363640062</v>
      </c>
      <c r="M101" s="26">
        <f t="shared" si="35"/>
        <v>0.14804976476738108</v>
      </c>
      <c r="N101" s="27">
        <f t="shared" si="36"/>
        <v>-0.14804976476738108</v>
      </c>
      <c r="O101" s="28" t="e">
        <f t="shared" si="37"/>
        <v>#NUM!</v>
      </c>
      <c r="P101" s="28">
        <f t="shared" si="38"/>
        <v>1.0471975511965976</v>
      </c>
      <c r="Q101" s="28">
        <f t="shared" si="39"/>
        <v>0.24999999999999994</v>
      </c>
      <c r="R101" s="28">
        <f t="shared" si="40"/>
        <v>0.55580040009873732</v>
      </c>
      <c r="S101" s="29" t="e">
        <f t="shared" si="41"/>
        <v>#DIV/0!</v>
      </c>
      <c r="T101" s="29" t="e">
        <f t="shared" si="42"/>
        <v>#DIV/0!</v>
      </c>
      <c r="U101" s="30" t="e">
        <f t="shared" si="43"/>
        <v>#DIV/0!</v>
      </c>
      <c r="V101" s="24">
        <f t="shared" si="44"/>
        <v>6.9374145310529807E-4</v>
      </c>
      <c r="W101" s="24">
        <f t="shared" si="45"/>
        <v>1151.3897089891802</v>
      </c>
      <c r="X101" s="24">
        <f t="shared" si="46"/>
        <v>1151.38970898918</v>
      </c>
      <c r="Y101" s="24">
        <f t="shared" si="47"/>
        <v>5623.473943752062</v>
      </c>
      <c r="Z101" s="24">
        <f t="shared" si="48"/>
        <v>92.029289346515299</v>
      </c>
      <c r="AA101" s="24">
        <f t="shared" si="49"/>
        <v>0.55580040009873732</v>
      </c>
      <c r="AB101" s="24">
        <f t="shared" si="50"/>
        <v>1.4442158294846042E-2</v>
      </c>
      <c r="AC101" s="24">
        <f t="shared" si="51"/>
        <v>2.3634884375720372E-4</v>
      </c>
      <c r="AD101" s="24">
        <v>1</v>
      </c>
      <c r="AE101" s="24">
        <f t="shared" si="52"/>
        <v>0.4212880538639075</v>
      </c>
      <c r="AF101" s="24"/>
      <c r="AG101" s="24"/>
      <c r="AH101" s="24"/>
    </row>
    <row r="102" spans="1:34" ht="16" x14ac:dyDescent="0.2">
      <c r="A102" s="12">
        <v>6</v>
      </c>
      <c r="B102" s="12">
        <v>12</v>
      </c>
      <c r="C102" s="13">
        <v>0.48</v>
      </c>
      <c r="D102" s="14">
        <v>60</v>
      </c>
      <c r="E102" s="13">
        <f t="shared" si="53"/>
        <v>0.17689492943021401</v>
      </c>
      <c r="F102" s="18">
        <f>J102*$V102*MOUFAC</f>
        <v>4.4760172539049154</v>
      </c>
      <c r="G102" s="18">
        <f>K102*$V102*MOUFAC</f>
        <v>8.4135662667383385E-2</v>
      </c>
      <c r="I102">
        <v>176.89492943021401</v>
      </c>
      <c r="J102" s="34">
        <v>15.113636363636299</v>
      </c>
      <c r="K102" s="36">
        <v>0.28409090909090029</v>
      </c>
      <c r="M102" s="26">
        <f t="shared" si="35"/>
        <v>0.14549043387349722</v>
      </c>
      <c r="N102" s="27">
        <f t="shared" si="36"/>
        <v>-0.14549043387349722</v>
      </c>
      <c r="O102" s="28" t="e">
        <f t="shared" si="37"/>
        <v>#NUM!</v>
      </c>
      <c r="P102" s="28">
        <f t="shared" si="38"/>
        <v>1.0471975511965976</v>
      </c>
      <c r="Q102" s="28">
        <f t="shared" si="39"/>
        <v>0.24999999999999994</v>
      </c>
      <c r="R102" s="28">
        <f t="shared" si="40"/>
        <v>0.55247028147430377</v>
      </c>
      <c r="S102" s="29" t="e">
        <f t="shared" si="41"/>
        <v>#DIV/0!</v>
      </c>
      <c r="T102" s="29" t="e">
        <f t="shared" si="42"/>
        <v>#DIV/0!</v>
      </c>
      <c r="U102" s="30" t="e">
        <f t="shared" si="43"/>
        <v>#DIV/0!</v>
      </c>
      <c r="V102" s="24">
        <f t="shared" si="44"/>
        <v>6.9374145310529807E-4</v>
      </c>
      <c r="W102" s="24">
        <f t="shared" si="45"/>
        <v>1175.7627895542878</v>
      </c>
      <c r="X102" s="24">
        <f t="shared" si="46"/>
        <v>1175.7627895542876</v>
      </c>
      <c r="Y102" s="24">
        <f t="shared" si="47"/>
        <v>5262.7345325443648</v>
      </c>
      <c r="Z102" s="24">
        <f t="shared" si="48"/>
        <v>98.923581438801222</v>
      </c>
      <c r="AA102" s="24">
        <f t="shared" si="49"/>
        <v>0.55247028147430377</v>
      </c>
      <c r="AB102" s="24">
        <f t="shared" si="50"/>
        <v>1.3515710385251029E-2</v>
      </c>
      <c r="AC102" s="24">
        <f t="shared" si="51"/>
        <v>2.5405470648967425E-4</v>
      </c>
      <c r="AD102" s="24">
        <v>1</v>
      </c>
      <c r="AE102" s="24">
        <f t="shared" si="52"/>
        <v>0.42045481318640843</v>
      </c>
      <c r="AF102" s="24"/>
      <c r="AG102" s="24"/>
      <c r="AH102" s="24"/>
    </row>
    <row r="103" spans="1:34" ht="16" x14ac:dyDescent="0.2">
      <c r="A103" s="12">
        <v>6</v>
      </c>
      <c r="B103" s="12">
        <v>12</v>
      </c>
      <c r="C103" s="13">
        <v>0.48</v>
      </c>
      <c r="D103" s="14">
        <v>60</v>
      </c>
      <c r="E103" s="13">
        <f t="shared" si="53"/>
        <v>0.18191322530057499</v>
      </c>
      <c r="F103" s="18">
        <f>J103*$V103*MOUFAC</f>
        <v>4.0974067719016753</v>
      </c>
      <c r="G103" s="18">
        <f>K103*$V103*MOUFAC</f>
        <v>7.5722096400641911E-2</v>
      </c>
      <c r="I103">
        <v>181.91322530057499</v>
      </c>
      <c r="J103" s="34">
        <v>13.835227272727199</v>
      </c>
      <c r="K103" s="36">
        <v>0.25568181818179969</v>
      </c>
      <c r="M103" s="26">
        <f t="shared" si="35"/>
        <v>0.14308165185572397</v>
      </c>
      <c r="N103" s="27">
        <f t="shared" si="36"/>
        <v>-0.14308165185572397</v>
      </c>
      <c r="O103" s="28" t="e">
        <f t="shared" si="37"/>
        <v>#NUM!</v>
      </c>
      <c r="P103" s="28">
        <f t="shared" si="38"/>
        <v>1.0471975511965976</v>
      </c>
      <c r="Q103" s="28">
        <f t="shared" si="39"/>
        <v>0.24999999999999994</v>
      </c>
      <c r="R103" s="28">
        <f t="shared" si="40"/>
        <v>0.54919235376137687</v>
      </c>
      <c r="S103" s="29" t="e">
        <f t="shared" si="41"/>
        <v>#DIV/0!</v>
      </c>
      <c r="T103" s="29" t="e">
        <f t="shared" si="42"/>
        <v>#DIV/0!</v>
      </c>
      <c r="U103" s="30" t="e">
        <f t="shared" si="43"/>
        <v>#DIV/0!</v>
      </c>
      <c r="V103" s="24">
        <f t="shared" si="44"/>
        <v>6.9374145310529807E-4</v>
      </c>
      <c r="W103" s="24">
        <f t="shared" si="45"/>
        <v>1200.1704721203475</v>
      </c>
      <c r="X103" s="24">
        <f t="shared" si="46"/>
        <v>1200.1704721203471</v>
      </c>
      <c r="Y103" s="24">
        <f t="shared" si="47"/>
        <v>4917.5866199023412</v>
      </c>
      <c r="Z103" s="24">
        <f t="shared" si="48"/>
        <v>90.879424187100838</v>
      </c>
      <c r="AA103" s="24">
        <f t="shared" si="49"/>
        <v>0.54919235376137687</v>
      </c>
      <c r="AB103" s="24">
        <f t="shared" si="50"/>
        <v>1.2629304430609769E-2</v>
      </c>
      <c r="AC103" s="24">
        <f t="shared" si="51"/>
        <v>2.3339576976484663E-4</v>
      </c>
      <c r="AD103" s="24">
        <v>1</v>
      </c>
      <c r="AE103" s="24">
        <f t="shared" si="52"/>
        <v>0.4197309535821509</v>
      </c>
      <c r="AF103" s="24"/>
      <c r="AG103" s="24"/>
      <c r="AH103" s="24"/>
    </row>
    <row r="104" spans="1:34" ht="16" x14ac:dyDescent="0.2">
      <c r="A104" s="12">
        <v>6</v>
      </c>
      <c r="B104" s="12">
        <v>12</v>
      </c>
      <c r="C104" s="13">
        <v>0.48</v>
      </c>
      <c r="D104" s="14">
        <v>60</v>
      </c>
      <c r="E104" s="13">
        <f t="shared" si="53"/>
        <v>0.18693152117093501</v>
      </c>
      <c r="F104" s="18">
        <f>J104*$V104*MOUFAC</f>
        <v>3.7608641212321436</v>
      </c>
      <c r="G104" s="18">
        <f>K104*$V104*MOUFAC</f>
        <v>7.5722096400641925E-2</v>
      </c>
      <c r="I104">
        <v>186.93152117093501</v>
      </c>
      <c r="J104" s="34">
        <v>12.698863636363601</v>
      </c>
      <c r="K104" s="36">
        <v>0.25568181818179969</v>
      </c>
      <c r="M104" s="26">
        <f t="shared" si="35"/>
        <v>0.14067286983795113</v>
      </c>
      <c r="N104" s="27">
        <f t="shared" si="36"/>
        <v>-0.14067286983795113</v>
      </c>
      <c r="O104" s="28" t="e">
        <f t="shared" si="37"/>
        <v>#NUM!</v>
      </c>
      <c r="P104" s="28">
        <f t="shared" si="38"/>
        <v>1.0471975511965976</v>
      </c>
      <c r="Q104" s="28">
        <f t="shared" si="39"/>
        <v>0.24999999999999994</v>
      </c>
      <c r="R104" s="28">
        <f t="shared" si="40"/>
        <v>0.54577172880246472</v>
      </c>
      <c r="S104" s="29" t="e">
        <f t="shared" si="41"/>
        <v>#DIV/0!</v>
      </c>
      <c r="T104" s="29" t="e">
        <f t="shared" si="42"/>
        <v>#DIV/0!</v>
      </c>
      <c r="U104" s="30" t="e">
        <f t="shared" si="43"/>
        <v>#DIV/0!</v>
      </c>
      <c r="V104" s="24">
        <f t="shared" si="44"/>
        <v>6.9374145310529818E-4</v>
      </c>
      <c r="W104" s="24">
        <f t="shared" si="45"/>
        <v>1226.0894616706721</v>
      </c>
      <c r="X104" s="24">
        <f t="shared" si="46"/>
        <v>1226.0894616706721</v>
      </c>
      <c r="Y104" s="24">
        <f t="shared" si="47"/>
        <v>4611.1558658180647</v>
      </c>
      <c r="Z104" s="24">
        <f t="shared" si="48"/>
        <v>92.842064412437793</v>
      </c>
      <c r="AA104" s="24">
        <f t="shared" si="49"/>
        <v>0.54577172880246472</v>
      </c>
      <c r="AB104" s="24">
        <f t="shared" si="50"/>
        <v>1.1842331555628973E-2</v>
      </c>
      <c r="AC104" s="24">
        <f t="shared" si="51"/>
        <v>2.384362058180164E-4</v>
      </c>
      <c r="AD104" s="24">
        <v>1</v>
      </c>
      <c r="AE104" s="24">
        <f t="shared" si="52"/>
        <v>0.41906594164311523</v>
      </c>
      <c r="AF104" s="24"/>
      <c r="AG104" s="24"/>
      <c r="AH104" s="24"/>
    </row>
    <row r="105" spans="1:34" ht="16" x14ac:dyDescent="0.2">
      <c r="A105" s="12">
        <v>6</v>
      </c>
      <c r="B105" s="12">
        <v>12</v>
      </c>
      <c r="C105" s="13">
        <v>0.48</v>
      </c>
      <c r="D105" s="14">
        <v>60</v>
      </c>
      <c r="E105" s="13">
        <f t="shared" si="53"/>
        <v>0.19242028227914199</v>
      </c>
      <c r="F105" s="18">
        <f>J105*$V105*MOUFAC</f>
        <v>3.5084571332299781</v>
      </c>
      <c r="G105" s="18">
        <f>K105*$V105*MOUFAC</f>
        <v>7.5722096400656913E-2</v>
      </c>
      <c r="I105">
        <v>192.42028227914199</v>
      </c>
      <c r="J105" s="34">
        <v>11.84659090909085</v>
      </c>
      <c r="K105" s="36">
        <v>0.25568181818185032</v>
      </c>
      <c r="M105" s="26">
        <f t="shared" si="35"/>
        <v>0.13803826450601181</v>
      </c>
      <c r="N105" s="27">
        <f t="shared" si="36"/>
        <v>-0.13803826450601181</v>
      </c>
      <c r="O105" s="28" t="e">
        <f t="shared" si="37"/>
        <v>#NUM!</v>
      </c>
      <c r="P105" s="28">
        <f t="shared" si="38"/>
        <v>1.0471975511965976</v>
      </c>
      <c r="Q105" s="28">
        <f t="shared" si="39"/>
        <v>0.24999999999999994</v>
      </c>
      <c r="R105" s="28">
        <f t="shared" si="40"/>
        <v>0.54186311178081481</v>
      </c>
      <c r="S105" s="29" t="e">
        <f t="shared" si="41"/>
        <v>#DIV/0!</v>
      </c>
      <c r="T105" s="29" t="e">
        <f t="shared" si="42"/>
        <v>#DIV/0!</v>
      </c>
      <c r="U105" s="30" t="e">
        <f t="shared" si="43"/>
        <v>#DIV/0!</v>
      </c>
      <c r="V105" s="24">
        <f t="shared" si="44"/>
        <v>6.9374145310529807E-4</v>
      </c>
      <c r="W105" s="24">
        <f t="shared" si="45"/>
        <v>1256.2781579891644</v>
      </c>
      <c r="X105" s="24">
        <f t="shared" si="46"/>
        <v>1256.2781579891641</v>
      </c>
      <c r="Y105" s="24">
        <f t="shared" si="47"/>
        <v>4407.5980647181004</v>
      </c>
      <c r="Z105" s="24">
        <f t="shared" si="48"/>
        <v>95.128015785295176</v>
      </c>
      <c r="AA105" s="24">
        <f t="shared" si="49"/>
        <v>0.54186311178081481</v>
      </c>
      <c r="AB105" s="24">
        <f t="shared" si="50"/>
        <v>1.1319556129790511E-2</v>
      </c>
      <c r="AC105" s="24">
        <f t="shared" si="51"/>
        <v>2.4430696683004296E-4</v>
      </c>
      <c r="AD105" s="24">
        <v>1</v>
      </c>
      <c r="AE105" s="24">
        <f t="shared" si="52"/>
        <v>0.41840629720212924</v>
      </c>
      <c r="AF105" s="24"/>
      <c r="AG105" s="24"/>
      <c r="AH105" s="24"/>
    </row>
    <row r="106" spans="1:34" ht="16" x14ac:dyDescent="0.2">
      <c r="A106" s="12">
        <v>6</v>
      </c>
      <c r="B106" s="12">
        <v>12</v>
      </c>
      <c r="C106" s="13">
        <v>0.48</v>
      </c>
      <c r="D106" s="14">
        <v>60</v>
      </c>
      <c r="E106" s="13">
        <f t="shared" si="53"/>
        <v>0.197124934657605</v>
      </c>
      <c r="F106" s="18">
        <f>J106*$V106*MOUFAC</f>
        <v>3.2560501452278143</v>
      </c>
      <c r="G106" s="18">
        <f>K106*$V106*MOUFAC</f>
        <v>7.5722096400642189E-2</v>
      </c>
      <c r="I106">
        <v>197.124934657605</v>
      </c>
      <c r="J106" s="34">
        <v>10.9943181818181</v>
      </c>
      <c r="K106" s="36">
        <v>0.25568181818180058</v>
      </c>
      <c r="M106" s="26">
        <f t="shared" si="35"/>
        <v>0.13578003136434955</v>
      </c>
      <c r="N106" s="27">
        <f t="shared" si="36"/>
        <v>-0.13578003136434955</v>
      </c>
      <c r="O106" s="28" t="e">
        <f t="shared" si="37"/>
        <v>#NUM!</v>
      </c>
      <c r="P106" s="28">
        <f t="shared" si="38"/>
        <v>1.0471975511965976</v>
      </c>
      <c r="Q106" s="28">
        <f t="shared" si="39"/>
        <v>0.24999999999999994</v>
      </c>
      <c r="R106" s="28">
        <f t="shared" si="40"/>
        <v>0.53837052268744168</v>
      </c>
      <c r="S106" s="29" t="e">
        <f t="shared" si="41"/>
        <v>#DIV/0!</v>
      </c>
      <c r="T106" s="29" t="e">
        <f t="shared" si="42"/>
        <v>#DIV/0!</v>
      </c>
      <c r="U106" s="30" t="e">
        <f t="shared" si="43"/>
        <v>#DIV/0!</v>
      </c>
      <c r="V106" s="24">
        <f t="shared" si="44"/>
        <v>6.9374145310529818E-4</v>
      </c>
      <c r="W106" s="24">
        <f t="shared" si="45"/>
        <v>1283.7801763452831</v>
      </c>
      <c r="X106" s="24">
        <f t="shared" si="46"/>
        <v>1283.7801763452828</v>
      </c>
      <c r="Y106" s="24">
        <f t="shared" si="47"/>
        <v>4180.0526296296475</v>
      </c>
      <c r="Z106" s="24">
        <f t="shared" si="48"/>
        <v>97.210526270450941</v>
      </c>
      <c r="AA106" s="24">
        <f t="shared" si="49"/>
        <v>0.53837052268744168</v>
      </c>
      <c r="AB106" s="24">
        <f t="shared" si="50"/>
        <v>1.0735175864906698E-2</v>
      </c>
      <c r="AC106" s="24">
        <f t="shared" si="51"/>
        <v>2.4965525267223344E-4</v>
      </c>
      <c r="AD106" s="24">
        <v>1</v>
      </c>
      <c r="AE106" s="24">
        <f t="shared" si="52"/>
        <v>0.4178974410404</v>
      </c>
      <c r="AF106" s="24"/>
      <c r="AG106" s="24"/>
      <c r="AH106" s="24"/>
    </row>
    <row r="107" spans="1:34" ht="16" x14ac:dyDescent="0.2">
      <c r="A107" s="12">
        <v>6</v>
      </c>
      <c r="B107" s="12">
        <v>12</v>
      </c>
      <c r="C107" s="13">
        <v>0.48</v>
      </c>
      <c r="D107" s="14">
        <v>60</v>
      </c>
      <c r="E107" s="13">
        <f t="shared" si="53"/>
        <v>0.20214323052796601</v>
      </c>
      <c r="F107" s="18">
        <f>J107*$V107*MOUFAC</f>
        <v>3.1466737837602072</v>
      </c>
      <c r="G107" s="18">
        <f>K107*$V107*MOUFAC</f>
        <v>0.10096279520086582</v>
      </c>
      <c r="I107">
        <v>202.14323052796601</v>
      </c>
      <c r="J107" s="34">
        <v>10.624999999999901</v>
      </c>
      <c r="K107" s="36">
        <v>0.34090909090909971</v>
      </c>
      <c r="M107" s="26">
        <f t="shared" si="35"/>
        <v>0.13337124934657626</v>
      </c>
      <c r="N107" s="27">
        <f t="shared" si="36"/>
        <v>-0.13337124934657626</v>
      </c>
      <c r="O107" s="28" t="e">
        <f t="shared" si="37"/>
        <v>#NUM!</v>
      </c>
      <c r="P107" s="28">
        <f t="shared" si="38"/>
        <v>1.0471975511965976</v>
      </c>
      <c r="Q107" s="28">
        <f t="shared" si="39"/>
        <v>0.24999999999999994</v>
      </c>
      <c r="R107" s="28">
        <f t="shared" si="40"/>
        <v>0.53449696545866132</v>
      </c>
      <c r="S107" s="29" t="e">
        <f t="shared" si="41"/>
        <v>#DIV/0!</v>
      </c>
      <c r="T107" s="29" t="e">
        <f t="shared" si="42"/>
        <v>#DIV/0!</v>
      </c>
      <c r="U107" s="30" t="e">
        <f t="shared" si="43"/>
        <v>#DIV/0!</v>
      </c>
      <c r="V107" s="24">
        <f t="shared" si="44"/>
        <v>6.9374145310529818E-4</v>
      </c>
      <c r="W107" s="24">
        <f t="shared" si="45"/>
        <v>1314.8755852019067</v>
      </c>
      <c r="X107" s="24">
        <f t="shared" si="46"/>
        <v>1314.8755852019065</v>
      </c>
      <c r="Y107" s="24">
        <f t="shared" si="47"/>
        <v>4137.4845328612</v>
      </c>
      <c r="Z107" s="24">
        <f t="shared" si="48"/>
        <v>132.75351442335867</v>
      </c>
      <c r="AA107" s="24">
        <f t="shared" si="49"/>
        <v>0.53449696545866132</v>
      </c>
      <c r="AB107" s="24">
        <f t="shared" si="50"/>
        <v>1.0625852838252813E-2</v>
      </c>
      <c r="AC107" s="24">
        <f t="shared" si="51"/>
        <v>3.4093645470331072E-4</v>
      </c>
      <c r="AD107" s="24">
        <v>1</v>
      </c>
      <c r="AE107" s="24">
        <f t="shared" si="52"/>
        <v>0.41741242793531996</v>
      </c>
      <c r="AF107" s="24"/>
      <c r="AG107" s="24"/>
      <c r="AH107" s="24"/>
    </row>
    <row r="108" spans="1:34" ht="16" x14ac:dyDescent="0.2">
      <c r="A108" s="12">
        <v>6</v>
      </c>
      <c r="B108" s="12">
        <v>12</v>
      </c>
      <c r="C108" s="13">
        <v>0.48</v>
      </c>
      <c r="D108" s="14">
        <v>60</v>
      </c>
      <c r="E108" s="13">
        <f t="shared" si="53"/>
        <v>0.207161526398327</v>
      </c>
      <c r="F108" s="18">
        <f>J108*$V108*MOUFAC</f>
        <v>2.9868160246921871</v>
      </c>
      <c r="G108" s="18">
        <f>K108*$V108*MOUFAC</f>
        <v>8.4135662667377334E-2</v>
      </c>
      <c r="I108">
        <v>207.161526398327</v>
      </c>
      <c r="J108" s="34">
        <v>10.08522727272722</v>
      </c>
      <c r="K108" s="36">
        <v>0.28409090909087986</v>
      </c>
      <c r="M108" s="26">
        <f t="shared" si="35"/>
        <v>0.13096246732880301</v>
      </c>
      <c r="N108" s="27">
        <f t="shared" si="36"/>
        <v>-0.13096246732880301</v>
      </c>
      <c r="O108" s="28" t="e">
        <f t="shared" si="37"/>
        <v>#NUM!</v>
      </c>
      <c r="P108" s="28">
        <f t="shared" si="38"/>
        <v>1.0471975511965976</v>
      </c>
      <c r="Q108" s="28">
        <f t="shared" si="39"/>
        <v>0.24999999999999994</v>
      </c>
      <c r="R108" s="28">
        <f t="shared" si="40"/>
        <v>0.53046717667628274</v>
      </c>
      <c r="S108" s="29" t="e">
        <f t="shared" si="41"/>
        <v>#DIV/0!</v>
      </c>
      <c r="T108" s="29" t="e">
        <f t="shared" si="42"/>
        <v>#DIV/0!</v>
      </c>
      <c r="U108" s="30" t="e">
        <f t="shared" si="43"/>
        <v>#DIV/0!</v>
      </c>
      <c r="V108" s="24">
        <f t="shared" si="44"/>
        <v>6.9374145310529807E-4</v>
      </c>
      <c r="W108" s="24">
        <f t="shared" si="45"/>
        <v>1347.9018553608655</v>
      </c>
      <c r="X108" s="24">
        <f t="shared" si="46"/>
        <v>1347.9018553608651</v>
      </c>
      <c r="Y108" s="24">
        <f t="shared" si="47"/>
        <v>4025.9348613041625</v>
      </c>
      <c r="Z108" s="24">
        <f t="shared" si="48"/>
        <v>113.40661581137378</v>
      </c>
      <c r="AA108" s="24">
        <f t="shared" si="49"/>
        <v>0.53046717667628274</v>
      </c>
      <c r="AB108" s="24">
        <f t="shared" si="50"/>
        <v>1.0339371913742663E-2</v>
      </c>
      <c r="AC108" s="24">
        <f t="shared" si="51"/>
        <v>2.9124991306314515E-4</v>
      </c>
      <c r="AD108" s="24">
        <v>1</v>
      </c>
      <c r="AE108" s="24">
        <f t="shared" si="52"/>
        <v>0.41698724842432261</v>
      </c>
      <c r="AF108" s="24"/>
      <c r="AG108" s="24"/>
      <c r="AH108" s="24"/>
    </row>
    <row r="109" spans="1:34" ht="16" x14ac:dyDescent="0.2">
      <c r="A109" s="12">
        <v>6</v>
      </c>
      <c r="B109" s="12">
        <v>12</v>
      </c>
      <c r="C109" s="13">
        <v>0.48</v>
      </c>
      <c r="D109" s="14">
        <v>60</v>
      </c>
      <c r="E109" s="13">
        <f t="shared" si="53"/>
        <v>0.21217982226868698</v>
      </c>
      <c r="F109" s="18">
        <f>J109*$V109*MOUFAC</f>
        <v>2.8437853981576415</v>
      </c>
      <c r="G109" s="18">
        <f>K109*$V109*MOUFAC</f>
        <v>7.5722096400647962E-2</v>
      </c>
      <c r="I109">
        <v>212.17982226868699</v>
      </c>
      <c r="J109" s="34">
        <v>9.6022727272727106</v>
      </c>
      <c r="K109" s="36">
        <v>0.25568181818182012</v>
      </c>
      <c r="M109" s="26">
        <f t="shared" si="35"/>
        <v>0.1285536853110302</v>
      </c>
      <c r="N109" s="27">
        <f t="shared" si="36"/>
        <v>-0.1285536853110302</v>
      </c>
      <c r="O109" s="28" t="e">
        <f t="shared" si="37"/>
        <v>#NUM!</v>
      </c>
      <c r="P109" s="28">
        <f t="shared" si="38"/>
        <v>1.0471975511965976</v>
      </c>
      <c r="Q109" s="28">
        <f t="shared" si="39"/>
        <v>0.24999999999999994</v>
      </c>
      <c r="R109" s="28">
        <f t="shared" si="40"/>
        <v>0.52627774248087578</v>
      </c>
      <c r="S109" s="29" t="e">
        <f t="shared" si="41"/>
        <v>#DIV/0!</v>
      </c>
      <c r="T109" s="29" t="e">
        <f t="shared" si="42"/>
        <v>#DIV/0!</v>
      </c>
      <c r="U109" s="30" t="e">
        <f t="shared" si="43"/>
        <v>#DIV/0!</v>
      </c>
      <c r="V109" s="24">
        <f t="shared" si="44"/>
        <v>6.9374145310529807E-4</v>
      </c>
      <c r="W109" s="24">
        <f t="shared" si="45"/>
        <v>1382.9849367197758</v>
      </c>
      <c r="X109" s="24">
        <f t="shared" si="46"/>
        <v>1382.9849367197751</v>
      </c>
      <c r="Y109" s="24">
        <f t="shared" si="47"/>
        <v>3932.9123689156663</v>
      </c>
      <c r="Z109" s="24">
        <f t="shared" si="48"/>
        <v>104.72251869893883</v>
      </c>
      <c r="AA109" s="24">
        <f t="shared" si="49"/>
        <v>0.52627774248087578</v>
      </c>
      <c r="AB109" s="24">
        <f t="shared" si="50"/>
        <v>1.0100472334320159E-2</v>
      </c>
      <c r="AC109" s="24">
        <f t="shared" si="51"/>
        <v>2.6894748819195942E-4</v>
      </c>
      <c r="AD109" s="24">
        <v>1</v>
      </c>
      <c r="AE109" s="24">
        <f t="shared" si="52"/>
        <v>0.41662208569517989</v>
      </c>
      <c r="AF109" s="24"/>
      <c r="AG109" s="24"/>
      <c r="AH109" s="24"/>
    </row>
    <row r="110" spans="1:34" ht="16" x14ac:dyDescent="0.2">
      <c r="A110" s="12">
        <v>6</v>
      </c>
      <c r="B110" s="12">
        <v>12</v>
      </c>
      <c r="C110" s="13">
        <v>0.48</v>
      </c>
      <c r="D110" s="14">
        <v>60</v>
      </c>
      <c r="E110" s="13">
        <f t="shared" si="53"/>
        <v>0.21735493988499702</v>
      </c>
      <c r="F110" s="18">
        <f>J110*$V110*MOUFAC</f>
        <v>2.7386158198234076</v>
      </c>
      <c r="G110" s="18">
        <f>K110*$V110*MOUFAC</f>
        <v>7.9928879534015548E-2</v>
      </c>
      <c r="I110">
        <v>217.35493988499701</v>
      </c>
      <c r="J110" s="34">
        <v>9.2471590909090704</v>
      </c>
      <c r="K110" s="36">
        <v>0.26988636363635976</v>
      </c>
      <c r="M110" s="26">
        <f t="shared" si="35"/>
        <v>0.1260696288552014</v>
      </c>
      <c r="N110" s="27">
        <f t="shared" si="36"/>
        <v>-0.1260696288552014</v>
      </c>
      <c r="O110" s="28" t="e">
        <f t="shared" si="37"/>
        <v>#NUM!</v>
      </c>
      <c r="P110" s="28">
        <f t="shared" si="38"/>
        <v>1.0471975511965976</v>
      </c>
      <c r="Q110" s="28">
        <f t="shared" si="39"/>
        <v>0.24999999999999994</v>
      </c>
      <c r="R110" s="28">
        <f t="shared" si="40"/>
        <v>0.52178655249225825</v>
      </c>
      <c r="S110" s="29" t="e">
        <f t="shared" si="41"/>
        <v>#DIV/0!</v>
      </c>
      <c r="T110" s="29" t="e">
        <f t="shared" si="42"/>
        <v>#DIV/0!</v>
      </c>
      <c r="U110" s="30" t="e">
        <f t="shared" si="43"/>
        <v>#DIV/0!</v>
      </c>
      <c r="V110" s="24">
        <f t="shared" si="44"/>
        <v>6.9374145310529807E-4</v>
      </c>
      <c r="W110" s="24">
        <f t="shared" si="45"/>
        <v>1421.4629980286884</v>
      </c>
      <c r="X110" s="24">
        <f t="shared" si="46"/>
        <v>1421.4629980286882</v>
      </c>
      <c r="Y110" s="24">
        <f t="shared" si="47"/>
        <v>3892.8410536949746</v>
      </c>
      <c r="Z110" s="24">
        <f t="shared" si="48"/>
        <v>113.6159447314956</v>
      </c>
      <c r="AA110" s="24">
        <f t="shared" si="49"/>
        <v>0.52178655249225825</v>
      </c>
      <c r="AB110" s="24">
        <f t="shared" si="50"/>
        <v>9.997561520953116E-3</v>
      </c>
      <c r="AC110" s="24">
        <f t="shared" si="51"/>
        <v>2.9178750982812129E-4</v>
      </c>
      <c r="AD110" s="24">
        <v>1</v>
      </c>
      <c r="AE110" s="24">
        <f t="shared" si="52"/>
        <v>0.41630853792303141</v>
      </c>
      <c r="AF110" s="24"/>
      <c r="AG110" s="24"/>
      <c r="AH110" s="24"/>
    </row>
    <row r="111" spans="1:34" ht="16" x14ac:dyDescent="0.2">
      <c r="A111" s="12">
        <v>6</v>
      </c>
      <c r="B111" s="12">
        <v>12</v>
      </c>
      <c r="C111" s="13">
        <v>0.48</v>
      </c>
      <c r="D111" s="14">
        <v>60</v>
      </c>
      <c r="E111" s="13">
        <f t="shared" si="53"/>
        <v>0.222373235755358</v>
      </c>
      <c r="F111" s="18">
        <f>J111*$V111*MOUFAC</f>
        <v>2.658686940289392</v>
      </c>
      <c r="G111" s="18">
        <f>K111*$V111*MOUFAC</f>
        <v>9.2549228934124581E-2</v>
      </c>
      <c r="I111">
        <v>222.373235755358</v>
      </c>
      <c r="J111" s="34">
        <v>8.9772727272727106</v>
      </c>
      <c r="K111" s="36">
        <v>0.3125</v>
      </c>
      <c r="M111" s="26">
        <f t="shared" si="35"/>
        <v>0.12366084683742812</v>
      </c>
      <c r="N111" s="27">
        <f t="shared" si="36"/>
        <v>-0.12366084683742812</v>
      </c>
      <c r="O111" s="28" t="e">
        <f t="shared" si="37"/>
        <v>#NUM!</v>
      </c>
      <c r="P111" s="28">
        <f t="shared" si="38"/>
        <v>1.0471975511965976</v>
      </c>
      <c r="Q111" s="28">
        <f t="shared" si="39"/>
        <v>0.24999999999999994</v>
      </c>
      <c r="R111" s="28">
        <f t="shared" si="40"/>
        <v>0.51726226898904359</v>
      </c>
      <c r="S111" s="29" t="e">
        <f t="shared" si="41"/>
        <v>#DIV/0!</v>
      </c>
      <c r="T111" s="29" t="e">
        <f t="shared" si="42"/>
        <v>#DIV/0!</v>
      </c>
      <c r="U111" s="30" t="e">
        <f t="shared" si="43"/>
        <v>#DIV/0!</v>
      </c>
      <c r="V111" s="24">
        <f t="shared" si="44"/>
        <v>6.9374145310529807E-4</v>
      </c>
      <c r="W111" s="24">
        <f t="shared" si="45"/>
        <v>1461.1559185127364</v>
      </c>
      <c r="X111" s="24">
        <f t="shared" si="46"/>
        <v>1461.1559185127362</v>
      </c>
      <c r="Y111" s="24">
        <f t="shared" si="47"/>
        <v>3884.7561582763628</v>
      </c>
      <c r="Z111" s="24">
        <f t="shared" si="48"/>
        <v>135.22885361088629</v>
      </c>
      <c r="AA111" s="24">
        <f t="shared" si="49"/>
        <v>0.51726226898904359</v>
      </c>
      <c r="AB111" s="24">
        <f t="shared" si="50"/>
        <v>9.9767979608120401E-3</v>
      </c>
      <c r="AC111" s="24">
        <f t="shared" si="51"/>
        <v>3.472935999016856E-4</v>
      </c>
      <c r="AD111" s="24">
        <v>1</v>
      </c>
      <c r="AE111" s="24">
        <f t="shared" si="52"/>
        <v>0.41606574338406682</v>
      </c>
      <c r="AF111" s="24"/>
      <c r="AG111" s="24"/>
      <c r="AH111" s="24"/>
    </row>
    <row r="112" spans="1:34" ht="16" x14ac:dyDescent="0.2">
      <c r="A112" s="12">
        <v>6</v>
      </c>
      <c r="B112" s="12">
        <v>12</v>
      </c>
      <c r="C112" s="13">
        <v>0.48</v>
      </c>
      <c r="D112" s="14">
        <v>60</v>
      </c>
      <c r="E112" s="13">
        <f t="shared" si="53"/>
        <v>0.22739153162571799</v>
      </c>
      <c r="F112" s="18">
        <f>J112*$V112*MOUFAC</f>
        <v>2.658686940289392</v>
      </c>
      <c r="G112" s="18">
        <f>K112*$V112*MOUFAC</f>
        <v>0.10096279520086289</v>
      </c>
      <c r="I112">
        <v>227.39153162571799</v>
      </c>
      <c r="J112" s="34">
        <v>8.9772727272727106</v>
      </c>
      <c r="K112" s="36">
        <v>0.34090909090908994</v>
      </c>
      <c r="M112" s="26">
        <f t="shared" si="35"/>
        <v>0.12125206481965531</v>
      </c>
      <c r="N112" s="27">
        <f t="shared" si="36"/>
        <v>-0.12125206481965531</v>
      </c>
      <c r="O112" s="28" t="e">
        <f t="shared" si="37"/>
        <v>#NUM!</v>
      </c>
      <c r="P112" s="28">
        <f t="shared" si="38"/>
        <v>1.0471975511965976</v>
      </c>
      <c r="Q112" s="28">
        <f t="shared" si="39"/>
        <v>0.24999999999999994</v>
      </c>
      <c r="R112" s="28">
        <f t="shared" si="40"/>
        <v>0.51256791425010428</v>
      </c>
      <c r="S112" s="29" t="e">
        <f t="shared" si="41"/>
        <v>#DIV/0!</v>
      </c>
      <c r="T112" s="29" t="e">
        <f t="shared" si="42"/>
        <v>#DIV/0!</v>
      </c>
      <c r="U112" s="30" t="e">
        <f t="shared" si="43"/>
        <v>#DIV/0!</v>
      </c>
      <c r="V112" s="24">
        <f t="shared" si="44"/>
        <v>6.9374145310529807E-4</v>
      </c>
      <c r="W112" s="24">
        <f t="shared" si="45"/>
        <v>1503.3554735254136</v>
      </c>
      <c r="X112" s="24">
        <f t="shared" si="46"/>
        <v>1503.3554735254129</v>
      </c>
      <c r="Y112" s="24">
        <f t="shared" si="47"/>
        <v>3996.9515640745899</v>
      </c>
      <c r="Z112" s="24">
        <f t="shared" si="48"/>
        <v>151.78297078764251</v>
      </c>
      <c r="AA112" s="24">
        <f t="shared" si="49"/>
        <v>0.51256791425010428</v>
      </c>
      <c r="AB112" s="24">
        <f t="shared" si="50"/>
        <v>1.0264937254547501E-2</v>
      </c>
      <c r="AC112" s="24">
        <f t="shared" si="51"/>
        <v>3.8980774384357565E-4</v>
      </c>
      <c r="AD112" s="24">
        <v>1</v>
      </c>
      <c r="AE112" s="24">
        <f t="shared" si="52"/>
        <v>0.41588336522965813</v>
      </c>
      <c r="AF112" s="24"/>
      <c r="AG112" s="24"/>
      <c r="AH112" s="24"/>
    </row>
    <row r="113" spans="1:34" ht="16" x14ac:dyDescent="0.2">
      <c r="A113" s="12">
        <v>6</v>
      </c>
      <c r="B113" s="12">
        <v>12</v>
      </c>
      <c r="C113" s="13">
        <v>0.48</v>
      </c>
      <c r="D113" s="14">
        <v>60</v>
      </c>
      <c r="E113" s="13">
        <f t="shared" si="53"/>
        <v>0.23178254051228397</v>
      </c>
      <c r="F113" s="18">
        <f>J113*$V113*MOUFAC</f>
        <v>2.6755140728228692</v>
      </c>
      <c r="G113" s="18">
        <f>K113*$V113*MOUFAC</f>
        <v>8.4135662667386285E-2</v>
      </c>
      <c r="I113">
        <v>231.78254051228399</v>
      </c>
      <c r="J113" s="34">
        <v>9.0340909090908905</v>
      </c>
      <c r="K113" s="36">
        <v>0.28409090909091006</v>
      </c>
      <c r="M113" s="26">
        <f t="shared" si="35"/>
        <v>0.11914438055410365</v>
      </c>
      <c r="N113" s="27">
        <f t="shared" si="36"/>
        <v>-0.11914438055410365</v>
      </c>
      <c r="O113" s="28" t="e">
        <f t="shared" si="37"/>
        <v>#NUM!</v>
      </c>
      <c r="P113" s="28">
        <f t="shared" si="38"/>
        <v>1.0471975511965976</v>
      </c>
      <c r="Q113" s="28">
        <f t="shared" si="39"/>
        <v>0.24999999999999994</v>
      </c>
      <c r="R113" s="28">
        <f t="shared" si="40"/>
        <v>0.50831812962074607</v>
      </c>
      <c r="S113" s="29" t="e">
        <f t="shared" si="41"/>
        <v>#DIV/0!</v>
      </c>
      <c r="T113" s="29" t="e">
        <f t="shared" si="42"/>
        <v>#DIV/0!</v>
      </c>
      <c r="U113" s="30" t="e">
        <f t="shared" si="43"/>
        <v>#DIV/0!</v>
      </c>
      <c r="V113" s="24">
        <f t="shared" si="44"/>
        <v>6.9374145310529818E-4</v>
      </c>
      <c r="W113" s="24">
        <f t="shared" si="45"/>
        <v>1542.4733275751325</v>
      </c>
      <c r="X113" s="24">
        <f t="shared" si="46"/>
        <v>1542.4733275751321</v>
      </c>
      <c r="Y113" s="24">
        <f t="shared" si="47"/>
        <v>4126.9090948811854</v>
      </c>
      <c r="Z113" s="24">
        <f t="shared" si="48"/>
        <v>129.77701556230213</v>
      </c>
      <c r="AA113" s="24">
        <f t="shared" si="49"/>
        <v>0.50831812962074607</v>
      </c>
      <c r="AB113" s="24">
        <f t="shared" si="50"/>
        <v>1.0598693087736959E-2</v>
      </c>
      <c r="AC113" s="24">
        <f t="shared" si="51"/>
        <v>3.3329223546342822E-4</v>
      </c>
      <c r="AD113" s="24">
        <v>1</v>
      </c>
      <c r="AE113" s="24">
        <f t="shared" si="52"/>
        <v>0.41577340780818606</v>
      </c>
      <c r="AF113" s="24"/>
      <c r="AG113" s="24"/>
      <c r="AH113" s="24"/>
    </row>
    <row r="114" spans="1:34" ht="16" x14ac:dyDescent="0.2">
      <c r="A114" s="12">
        <v>6</v>
      </c>
      <c r="B114" s="12">
        <v>12</v>
      </c>
      <c r="C114" s="13">
        <v>0.48</v>
      </c>
      <c r="D114" s="14">
        <v>60</v>
      </c>
      <c r="E114" s="13">
        <f t="shared" si="53"/>
        <v>0.23742812336643998</v>
      </c>
      <c r="F114" s="18">
        <f>J114*$V114*MOUFAC</f>
        <v>2.7428226029567786</v>
      </c>
      <c r="G114" s="18">
        <f>K114*$V114*MOUFAC</f>
        <v>8.4135662667386271E-2</v>
      </c>
      <c r="I114">
        <v>237.42812336643999</v>
      </c>
      <c r="J114" s="34">
        <v>9.2613636363636207</v>
      </c>
      <c r="K114" s="36">
        <v>0.28409090909091006</v>
      </c>
      <c r="M114" s="26">
        <f t="shared" si="35"/>
        <v>0.11643450078410877</v>
      </c>
      <c r="N114" s="27">
        <f t="shared" si="36"/>
        <v>-0.11643450078410877</v>
      </c>
      <c r="O114" s="28" t="e">
        <f t="shared" si="37"/>
        <v>#NUM!</v>
      </c>
      <c r="P114" s="28">
        <f t="shared" si="38"/>
        <v>1.0471975511965976</v>
      </c>
      <c r="Q114" s="28">
        <f t="shared" si="39"/>
        <v>0.24999999999999994</v>
      </c>
      <c r="R114" s="28">
        <f t="shared" si="40"/>
        <v>0.50265519096495481</v>
      </c>
      <c r="S114" s="29" t="e">
        <f t="shared" si="41"/>
        <v>#DIV/0!</v>
      </c>
      <c r="T114" s="29" t="e">
        <f t="shared" si="42"/>
        <v>#DIV/0!</v>
      </c>
      <c r="U114" s="30" t="e">
        <f t="shared" si="43"/>
        <v>#DIV/0!</v>
      </c>
      <c r="V114" s="24">
        <f t="shared" si="44"/>
        <v>6.9374145310529807E-4</v>
      </c>
      <c r="W114" s="24">
        <f t="shared" si="45"/>
        <v>1595.9889471821778</v>
      </c>
      <c r="X114" s="24">
        <f t="shared" si="46"/>
        <v>1595.9889471821775</v>
      </c>
      <c r="Y114" s="24">
        <f t="shared" si="47"/>
        <v>4377.5145584004686</v>
      </c>
      <c r="Z114" s="24">
        <f t="shared" si="48"/>
        <v>134.27958768099666</v>
      </c>
      <c r="AA114" s="24">
        <f t="shared" si="49"/>
        <v>0.50265519096495481</v>
      </c>
      <c r="AB114" s="24">
        <f t="shared" si="50"/>
        <v>1.1242295922906126E-2</v>
      </c>
      <c r="AC114" s="24">
        <f t="shared" si="51"/>
        <v>3.4485570315663137E-4</v>
      </c>
      <c r="AD114" s="24">
        <v>1</v>
      </c>
      <c r="AE114" s="24">
        <f t="shared" si="52"/>
        <v>0.41570014980682674</v>
      </c>
      <c r="AF114" s="24"/>
      <c r="AG114" s="24"/>
      <c r="AH114" s="24"/>
    </row>
    <row r="115" spans="1:34" ht="16" x14ac:dyDescent="0.2">
      <c r="A115" s="12">
        <v>6</v>
      </c>
      <c r="B115" s="12">
        <v>12</v>
      </c>
      <c r="C115" s="13">
        <v>0.48</v>
      </c>
      <c r="D115" s="14">
        <v>60</v>
      </c>
      <c r="E115" s="13">
        <f t="shared" si="53"/>
        <v>0.24213277574490299</v>
      </c>
      <c r="F115" s="18">
        <f>J115*$V115*MOUFAC</f>
        <v>2.7217886872899317</v>
      </c>
      <c r="G115" s="18">
        <f>K115*$V115*MOUFAC</f>
        <v>8.8342445800753872E-2</v>
      </c>
      <c r="I115">
        <v>242.132775744903</v>
      </c>
      <c r="J115" s="34">
        <v>9.1903409090908905</v>
      </c>
      <c r="K115" s="36">
        <v>0.2982954545454497</v>
      </c>
      <c r="M115" s="26">
        <f t="shared" si="35"/>
        <v>0.11417626764244652</v>
      </c>
      <c r="N115" s="27">
        <f t="shared" si="36"/>
        <v>-0.11417626764244652</v>
      </c>
      <c r="O115" s="28" t="e">
        <f t="shared" si="37"/>
        <v>#NUM!</v>
      </c>
      <c r="P115" s="28">
        <f t="shared" si="38"/>
        <v>1.0471975511965976</v>
      </c>
      <c r="Q115" s="28">
        <f t="shared" si="39"/>
        <v>0.24999999999999994</v>
      </c>
      <c r="R115" s="28">
        <f t="shared" si="40"/>
        <v>0.49776186245833781</v>
      </c>
      <c r="S115" s="29" t="e">
        <f t="shared" si="41"/>
        <v>#DIV/0!</v>
      </c>
      <c r="T115" s="29" t="e">
        <f t="shared" si="42"/>
        <v>#DIV/0!</v>
      </c>
      <c r="U115" s="30" t="e">
        <f t="shared" si="43"/>
        <v>#DIV/0!</v>
      </c>
      <c r="V115" s="24">
        <f t="shared" si="44"/>
        <v>6.9374145310529818E-4</v>
      </c>
      <c r="W115" s="24">
        <f t="shared" si="45"/>
        <v>1643.5488976504723</v>
      </c>
      <c r="X115" s="24">
        <f t="shared" si="46"/>
        <v>1643.5488976504723</v>
      </c>
      <c r="Y115" s="24">
        <f t="shared" si="47"/>
        <v>4473.3927966328938</v>
      </c>
      <c r="Z115" s="24">
        <f t="shared" si="48"/>
        <v>145.19512941157564</v>
      </c>
      <c r="AA115" s="24">
        <f t="shared" si="49"/>
        <v>0.49776186245833781</v>
      </c>
      <c r="AB115" s="24">
        <f t="shared" si="50"/>
        <v>1.1488529604689624E-2</v>
      </c>
      <c r="AC115" s="24">
        <f t="shared" si="51"/>
        <v>3.7288890525267185E-4</v>
      </c>
      <c r="AD115" s="24">
        <v>1</v>
      </c>
      <c r="AE115" s="24">
        <f t="shared" si="52"/>
        <v>0.41569766505523936</v>
      </c>
      <c r="AF115" s="24"/>
      <c r="AG115" s="24"/>
      <c r="AH115" s="24"/>
    </row>
    <row r="116" spans="1:34" ht="16" x14ac:dyDescent="0.2">
      <c r="A116" s="12">
        <v>6</v>
      </c>
      <c r="B116" s="12">
        <v>12</v>
      </c>
      <c r="C116" s="13">
        <v>0.48</v>
      </c>
      <c r="D116" s="14">
        <v>60</v>
      </c>
      <c r="E116" s="13">
        <f t="shared" si="53"/>
        <v>0.247464715107161</v>
      </c>
      <c r="F116" s="18">
        <f>J116*$V116*MOUFAC</f>
        <v>2.8774396632245964</v>
      </c>
      <c r="G116" s="18">
        <f>K116*$V116*MOUFAC</f>
        <v>8.4135662667384953E-2</v>
      </c>
      <c r="I116">
        <v>247.464715107161</v>
      </c>
      <c r="J116" s="34">
        <v>9.7159090909090757</v>
      </c>
      <c r="K116" s="36">
        <v>0.28409090909090562</v>
      </c>
      <c r="M116" s="26">
        <f t="shared" si="35"/>
        <v>0.11161693674856268</v>
      </c>
      <c r="N116" s="27">
        <f t="shared" si="36"/>
        <v>-0.11161693674856268</v>
      </c>
      <c r="O116" s="28" t="e">
        <f t="shared" si="37"/>
        <v>#NUM!</v>
      </c>
      <c r="P116" s="28">
        <f t="shared" si="38"/>
        <v>1.0471975511965976</v>
      </c>
      <c r="Q116" s="28">
        <f t="shared" si="39"/>
        <v>0.24999999999999994</v>
      </c>
      <c r="R116" s="28">
        <f t="shared" si="40"/>
        <v>0.49202083745408659</v>
      </c>
      <c r="S116" s="29" t="e">
        <f t="shared" si="41"/>
        <v>#DIV/0!</v>
      </c>
      <c r="T116" s="29" t="e">
        <f t="shared" si="42"/>
        <v>#DIV/0!</v>
      </c>
      <c r="U116" s="30" t="e">
        <f t="shared" si="43"/>
        <v>#DIV/0!</v>
      </c>
      <c r="V116" s="24">
        <f t="shared" si="44"/>
        <v>6.9374145310529807E-4</v>
      </c>
      <c r="W116" s="24">
        <f t="shared" si="45"/>
        <v>1700.9563627234052</v>
      </c>
      <c r="X116" s="24">
        <f t="shared" si="46"/>
        <v>1700.9563627234043</v>
      </c>
      <c r="Y116" s="24">
        <f t="shared" si="47"/>
        <v>4894.3993035145668</v>
      </c>
      <c r="Z116" s="24">
        <f t="shared" si="48"/>
        <v>143.11109074603843</v>
      </c>
      <c r="AA116" s="24">
        <f t="shared" si="49"/>
        <v>0.49202083745408659</v>
      </c>
      <c r="AB116" s="24">
        <f t="shared" si="50"/>
        <v>1.2569754960468279E-2</v>
      </c>
      <c r="AC116" s="24">
        <f t="shared" si="51"/>
        <v>3.675366947505305E-4</v>
      </c>
      <c r="AD116" s="24">
        <v>1</v>
      </c>
      <c r="AE116" s="24">
        <f t="shared" si="52"/>
        <v>0.41575921152949941</v>
      </c>
      <c r="AF116" s="24"/>
      <c r="AG116" s="24"/>
      <c r="AH116" s="24"/>
    </row>
    <row r="117" spans="1:34" ht="16" x14ac:dyDescent="0.2">
      <c r="A117" s="12">
        <v>6</v>
      </c>
      <c r="B117" s="12">
        <v>12</v>
      </c>
      <c r="C117" s="13">
        <v>0.48</v>
      </c>
      <c r="D117" s="14">
        <v>60</v>
      </c>
      <c r="E117" s="13">
        <f t="shared" si="53"/>
        <v>0.25216936748562402</v>
      </c>
      <c r="F117" s="18">
        <f>J117*$V117*MOUFAC</f>
        <v>2.9026803620248023</v>
      </c>
      <c r="G117" s="18">
        <f>K117*$V117*MOUFAC</f>
        <v>7.5722096400637443E-2</v>
      </c>
      <c r="I117">
        <v>252.16936748562401</v>
      </c>
      <c r="J117" s="34">
        <v>9.8011363636363154</v>
      </c>
      <c r="K117" s="36">
        <v>0.25568181818178459</v>
      </c>
      <c r="M117" s="26">
        <f t="shared" si="35"/>
        <v>0.10935870360690043</v>
      </c>
      <c r="N117" s="27">
        <f t="shared" si="36"/>
        <v>-0.10935870360690043</v>
      </c>
      <c r="O117" s="28" t="e">
        <f t="shared" si="37"/>
        <v>#NUM!</v>
      </c>
      <c r="P117" s="28">
        <f t="shared" si="38"/>
        <v>1.0471975511965976</v>
      </c>
      <c r="Q117" s="28">
        <f t="shared" si="39"/>
        <v>0.24999999999999994</v>
      </c>
      <c r="R117" s="28">
        <f t="shared" si="40"/>
        <v>0.48677981554534522</v>
      </c>
      <c r="S117" s="29" t="e">
        <f t="shared" si="41"/>
        <v>#DIV/0!</v>
      </c>
      <c r="T117" s="29" t="e">
        <f t="shared" si="42"/>
        <v>#DIV/0!</v>
      </c>
      <c r="U117" s="30" t="e">
        <f t="shared" si="43"/>
        <v>#DIV/0!</v>
      </c>
      <c r="V117" s="24">
        <f t="shared" si="44"/>
        <v>6.9374145310529807E-4</v>
      </c>
      <c r="W117" s="24">
        <f t="shared" si="45"/>
        <v>1754.9298760853358</v>
      </c>
      <c r="X117" s="24">
        <f t="shared" si="46"/>
        <v>1754.9298760853355</v>
      </c>
      <c r="Y117" s="24">
        <f t="shared" si="47"/>
        <v>5094.0004880435235</v>
      </c>
      <c r="Z117" s="24">
        <f t="shared" si="48"/>
        <v>132.88696925329251</v>
      </c>
      <c r="AA117" s="24">
        <f t="shared" si="49"/>
        <v>0.48677981554534522</v>
      </c>
      <c r="AB117" s="24">
        <f t="shared" si="50"/>
        <v>1.3082369037040777E-2</v>
      </c>
      <c r="AC117" s="24">
        <f t="shared" si="51"/>
        <v>3.4127919227058579E-4</v>
      </c>
      <c r="AD117" s="24">
        <v>1</v>
      </c>
      <c r="AE117" s="24">
        <f t="shared" si="52"/>
        <v>0.41587028446980934</v>
      </c>
      <c r="AF117" s="24"/>
      <c r="AG117" s="24"/>
      <c r="AH117" s="24"/>
    </row>
    <row r="118" spans="1:34" ht="16" x14ac:dyDescent="0.2">
      <c r="A118" s="12">
        <v>6</v>
      </c>
      <c r="B118" s="12">
        <v>12</v>
      </c>
      <c r="C118" s="13">
        <v>0.48</v>
      </c>
      <c r="D118" s="14">
        <v>60</v>
      </c>
      <c r="E118" s="13">
        <f t="shared" si="53"/>
        <v>0.25718766335598503</v>
      </c>
      <c r="F118" s="18">
        <f>J118*$V118*MOUFAC</f>
        <v>2.9447481933585027</v>
      </c>
      <c r="G118" s="18">
        <f>K118*$V118*MOUFAC</f>
        <v>8.4135662667384703E-2</v>
      </c>
      <c r="I118">
        <v>257.18766335598502</v>
      </c>
      <c r="J118" s="34">
        <v>9.9431818181817953</v>
      </c>
      <c r="K118" s="36">
        <v>0.28409090909090473</v>
      </c>
      <c r="M118" s="26">
        <f t="shared" si="35"/>
        <v>0.10694992158912714</v>
      </c>
      <c r="N118" s="27">
        <f t="shared" si="36"/>
        <v>-0.10694992158912714</v>
      </c>
      <c r="O118" s="28" t="e">
        <f t="shared" si="37"/>
        <v>#NUM!</v>
      </c>
      <c r="P118" s="28">
        <f t="shared" si="38"/>
        <v>1.0471975511965976</v>
      </c>
      <c r="Q118" s="28">
        <f t="shared" si="39"/>
        <v>0.24999999999999994</v>
      </c>
      <c r="R118" s="28">
        <f t="shared" si="40"/>
        <v>0.48100485419024352</v>
      </c>
      <c r="S118" s="29" t="e">
        <f t="shared" si="41"/>
        <v>#DIV/0!</v>
      </c>
      <c r="T118" s="29" t="e">
        <f t="shared" si="42"/>
        <v>#DIV/0!</v>
      </c>
      <c r="U118" s="30" t="e">
        <f t="shared" si="43"/>
        <v>#DIV/0!</v>
      </c>
      <c r="V118" s="24">
        <f t="shared" si="44"/>
        <v>6.9374145310529807E-4</v>
      </c>
      <c r="W118" s="24">
        <f t="shared" si="45"/>
        <v>1816.1930315965524</v>
      </c>
      <c r="X118" s="24">
        <f t="shared" si="46"/>
        <v>1816.1930315965524</v>
      </c>
      <c r="Y118" s="24">
        <f t="shared" si="47"/>
        <v>5348.2311485842492</v>
      </c>
      <c r="Z118" s="24">
        <f t="shared" si="48"/>
        <v>152.80660424526229</v>
      </c>
      <c r="AA118" s="24">
        <f t="shared" si="49"/>
        <v>0.48100485419024352</v>
      </c>
      <c r="AB118" s="24">
        <f t="shared" si="50"/>
        <v>1.3735282072587387E-2</v>
      </c>
      <c r="AC118" s="24">
        <f t="shared" si="51"/>
        <v>3.9243663064534884E-4</v>
      </c>
      <c r="AD118" s="24">
        <v>1</v>
      </c>
      <c r="AE118" s="24">
        <f t="shared" si="52"/>
        <v>0.41604737202828074</v>
      </c>
      <c r="AF118" s="24"/>
      <c r="AG118" s="24"/>
      <c r="AH118" s="24"/>
    </row>
    <row r="119" spans="1:34" ht="16" x14ac:dyDescent="0.2">
      <c r="A119" s="12">
        <v>6</v>
      </c>
      <c r="B119" s="12">
        <v>12</v>
      </c>
      <c r="C119" s="13">
        <v>0.48</v>
      </c>
      <c r="D119" s="14">
        <v>60</v>
      </c>
      <c r="E119" s="13">
        <f t="shared" si="53"/>
        <v>0.26220595922634599</v>
      </c>
      <c r="F119" s="18">
        <f>J119*$V119*MOUFAC</f>
        <v>2.9447481933585031</v>
      </c>
      <c r="G119" s="18">
        <f>K119*$V119*MOUFAC</f>
        <v>8.4135662667384717E-2</v>
      </c>
      <c r="I119">
        <v>262.20595922634601</v>
      </c>
      <c r="J119" s="34">
        <v>9.9431818181817953</v>
      </c>
      <c r="K119" s="36">
        <v>0.28409090909090473</v>
      </c>
      <c r="M119" s="26">
        <f t="shared" si="35"/>
        <v>0.10454113957135389</v>
      </c>
      <c r="N119" s="27">
        <f t="shared" si="36"/>
        <v>-0.10454113957135389</v>
      </c>
      <c r="O119" s="28" t="e">
        <f t="shared" si="37"/>
        <v>#NUM!</v>
      </c>
      <c r="P119" s="28">
        <f t="shared" si="38"/>
        <v>1.0471975511965976</v>
      </c>
      <c r="Q119" s="28">
        <f t="shared" si="39"/>
        <v>0.24999999999999994</v>
      </c>
      <c r="R119" s="28">
        <f t="shared" si="40"/>
        <v>0.47503611796915479</v>
      </c>
      <c r="S119" s="29" t="e">
        <f t="shared" si="41"/>
        <v>#DIV/0!</v>
      </c>
      <c r="T119" s="29" t="e">
        <f t="shared" si="42"/>
        <v>#DIV/0!</v>
      </c>
      <c r="U119" s="30" t="e">
        <f t="shared" si="43"/>
        <v>#DIV/0!</v>
      </c>
      <c r="V119" s="24">
        <f t="shared" si="44"/>
        <v>6.9374145310529818E-4</v>
      </c>
      <c r="W119" s="24">
        <f t="shared" si="45"/>
        <v>1881.5557482435877</v>
      </c>
      <c r="X119" s="24">
        <f t="shared" si="46"/>
        <v>1881.5557482435872</v>
      </c>
      <c r="Y119" s="24">
        <f t="shared" si="47"/>
        <v>5540.7078903436104</v>
      </c>
      <c r="Z119" s="24">
        <f t="shared" si="48"/>
        <v>158.30593972410111</v>
      </c>
      <c r="AA119" s="24">
        <f t="shared" si="49"/>
        <v>0.47503611796915479</v>
      </c>
      <c r="AB119" s="24">
        <f t="shared" si="50"/>
        <v>1.4229599215401458E-2</v>
      </c>
      <c r="AC119" s="24">
        <f t="shared" si="51"/>
        <v>4.0655997758289356E-4</v>
      </c>
      <c r="AD119" s="24">
        <v>1</v>
      </c>
      <c r="AE119" s="24">
        <f t="shared" si="52"/>
        <v>0.41628488397389846</v>
      </c>
      <c r="AF119" s="24"/>
      <c r="AG119" s="24"/>
      <c r="AH119" s="24"/>
    </row>
    <row r="120" spans="1:34" ht="16" x14ac:dyDescent="0.2">
      <c r="A120" s="12">
        <v>6</v>
      </c>
      <c r="B120" s="12">
        <v>12</v>
      </c>
      <c r="C120" s="13">
        <v>0.48</v>
      </c>
      <c r="D120" s="14">
        <v>60</v>
      </c>
      <c r="E120" s="13">
        <f t="shared" si="53"/>
        <v>0.266910611604809</v>
      </c>
      <c r="F120" s="18">
        <f>J120*$V120*MOUFAC</f>
        <v>2.9489549764918723</v>
      </c>
      <c r="G120" s="18">
        <f>K120*$V120*MOUFAC</f>
        <v>7.9928879534015562E-2</v>
      </c>
      <c r="I120">
        <v>266.91061160480899</v>
      </c>
      <c r="J120" s="34">
        <v>9.9573863636363402</v>
      </c>
      <c r="K120" s="36">
        <v>0.26988636363635976</v>
      </c>
      <c r="M120" s="26">
        <f t="shared" si="35"/>
        <v>0.10228290642969164</v>
      </c>
      <c r="N120" s="27">
        <f t="shared" si="36"/>
        <v>-0.10228290642969164</v>
      </c>
      <c r="O120" s="28" t="e">
        <f t="shared" si="37"/>
        <v>#NUM!</v>
      </c>
      <c r="P120" s="28">
        <f t="shared" si="38"/>
        <v>1.0471975511965976</v>
      </c>
      <c r="Q120" s="28">
        <f t="shared" si="39"/>
        <v>0.24999999999999994</v>
      </c>
      <c r="R120" s="28">
        <f t="shared" si="40"/>
        <v>0.46926149091881353</v>
      </c>
      <c r="S120" s="29" t="e">
        <f t="shared" si="41"/>
        <v>#DIV/0!</v>
      </c>
      <c r="T120" s="29" t="e">
        <f t="shared" si="42"/>
        <v>#DIV/0!</v>
      </c>
      <c r="U120" s="30" t="e">
        <f t="shared" si="43"/>
        <v>#DIV/0!</v>
      </c>
      <c r="V120" s="24">
        <f t="shared" si="44"/>
        <v>6.9374145310529818E-4</v>
      </c>
      <c r="W120" s="24">
        <f t="shared" si="45"/>
        <v>1946.8440159145134</v>
      </c>
      <c r="X120" s="24">
        <f t="shared" si="46"/>
        <v>1946.844015914513</v>
      </c>
      <c r="Y120" s="24">
        <f t="shared" si="47"/>
        <v>5741.1553491845252</v>
      </c>
      <c r="Z120" s="24">
        <f t="shared" si="48"/>
        <v>155.60906081955019</v>
      </c>
      <c r="AA120" s="24">
        <f t="shared" si="49"/>
        <v>0.46926149091881353</v>
      </c>
      <c r="AB120" s="24">
        <f t="shared" si="50"/>
        <v>1.4744386686515553E-2</v>
      </c>
      <c r="AC120" s="24">
        <f t="shared" si="51"/>
        <v>3.9963387595405445E-4</v>
      </c>
      <c r="AD120" s="24">
        <v>1</v>
      </c>
      <c r="AE120" s="24">
        <f t="shared" si="52"/>
        <v>0.41656233749217514</v>
      </c>
      <c r="AF120" s="24"/>
      <c r="AG120" s="24"/>
      <c r="AH120" s="24"/>
    </row>
    <row r="121" spans="1:34" ht="16" x14ac:dyDescent="0.2">
      <c r="A121" s="12">
        <v>6</v>
      </c>
      <c r="B121" s="12">
        <v>12</v>
      </c>
      <c r="C121" s="13">
        <v>0.48</v>
      </c>
      <c r="D121" s="14">
        <v>60</v>
      </c>
      <c r="E121" s="13">
        <f t="shared" si="53"/>
        <v>0.27224255096706701</v>
      </c>
      <c r="F121" s="18">
        <f>J121*$V121*MOUFAC</f>
        <v>3.0541245548260973</v>
      </c>
      <c r="G121" s="18">
        <f>K121*$V121*MOUFAC</f>
        <v>7.5722096400656927E-2</v>
      </c>
      <c r="I121">
        <v>272.24255096706702</v>
      </c>
      <c r="J121" s="34">
        <v>10.31249999999995</v>
      </c>
      <c r="K121" s="36">
        <v>0.25568181818185032</v>
      </c>
      <c r="M121" s="26">
        <f t="shared" si="35"/>
        <v>9.9723575535807796E-2</v>
      </c>
      <c r="N121" s="27">
        <f t="shared" si="36"/>
        <v>-9.9723575535807796E-2</v>
      </c>
      <c r="O121" s="28" t="e">
        <f t="shared" si="37"/>
        <v>#NUM!</v>
      </c>
      <c r="P121" s="28">
        <f t="shared" si="38"/>
        <v>1.0471975511965976</v>
      </c>
      <c r="Q121" s="28">
        <f t="shared" si="39"/>
        <v>0.24999999999999994</v>
      </c>
      <c r="R121" s="28">
        <f t="shared" si="40"/>
        <v>0.46250410004798453</v>
      </c>
      <c r="S121" s="29" t="e">
        <f t="shared" si="41"/>
        <v>#DIV/0!</v>
      </c>
      <c r="T121" s="29" t="e">
        <f t="shared" si="42"/>
        <v>#DIV/0!</v>
      </c>
      <c r="U121" s="30" t="e">
        <f t="shared" si="43"/>
        <v>#DIV/0!</v>
      </c>
      <c r="V121" s="24">
        <f t="shared" si="44"/>
        <v>6.9374145310529818E-4</v>
      </c>
      <c r="W121" s="24">
        <f t="shared" si="45"/>
        <v>2025.9074287542646</v>
      </c>
      <c r="X121" s="24">
        <f t="shared" si="46"/>
        <v>2025.9074287542646</v>
      </c>
      <c r="Y121" s="24">
        <f t="shared" si="47"/>
        <v>6187.3736239630016</v>
      </c>
      <c r="Z121" s="24">
        <f t="shared" si="48"/>
        <v>153.40595761893744</v>
      </c>
      <c r="AA121" s="24">
        <f t="shared" si="49"/>
        <v>0.46250410004798453</v>
      </c>
      <c r="AB121" s="24">
        <f t="shared" si="50"/>
        <v>1.5890360691705678E-2</v>
      </c>
      <c r="AC121" s="24">
        <f t="shared" si="51"/>
        <v>3.9397588491837406E-4</v>
      </c>
      <c r="AD121" s="24">
        <v>1</v>
      </c>
      <c r="AE121" s="24">
        <f t="shared" si="52"/>
        <v>0.41694074170421852</v>
      </c>
      <c r="AF121" s="24"/>
      <c r="AG121" s="24"/>
      <c r="AH121" s="24"/>
    </row>
    <row r="122" spans="1:34" ht="16" x14ac:dyDescent="0.2">
      <c r="A122" s="12">
        <v>6</v>
      </c>
      <c r="B122" s="12">
        <v>12</v>
      </c>
      <c r="C122" s="13">
        <v>0.48</v>
      </c>
      <c r="D122" s="14">
        <v>60</v>
      </c>
      <c r="E122" s="13">
        <f t="shared" si="53"/>
        <v>0.27741766858337596</v>
      </c>
      <c r="F122" s="18">
        <f>J122*$V122*MOUFAC</f>
        <v>3.1466737837602223</v>
      </c>
      <c r="G122" s="18">
        <f>K122*$V122*MOUFAC</f>
        <v>0.10937636146759229</v>
      </c>
      <c r="I122">
        <v>277.41766858337598</v>
      </c>
      <c r="J122" s="34">
        <v>10.62499999999995</v>
      </c>
      <c r="K122" s="36">
        <v>0.36931818181814968</v>
      </c>
      <c r="M122" s="26">
        <f t="shared" si="35"/>
        <v>9.7239519079979492E-2</v>
      </c>
      <c r="N122" s="27">
        <f t="shared" si="36"/>
        <v>-9.7239519079979492E-2</v>
      </c>
      <c r="O122" s="28" t="e">
        <f t="shared" si="37"/>
        <v>#NUM!</v>
      </c>
      <c r="P122" s="28">
        <f t="shared" si="38"/>
        <v>1.0471975511965976</v>
      </c>
      <c r="Q122" s="28">
        <f t="shared" si="39"/>
        <v>0.24999999999999994</v>
      </c>
      <c r="R122" s="28">
        <f t="shared" si="40"/>
        <v>0.45572570779645954</v>
      </c>
      <c r="S122" s="29" t="e">
        <f t="shared" si="41"/>
        <v>#DIV/0!</v>
      </c>
      <c r="T122" s="29" t="e">
        <f t="shared" si="42"/>
        <v>#DIV/0!</v>
      </c>
      <c r="U122" s="30" t="e">
        <f t="shared" si="43"/>
        <v>#DIV/0!</v>
      </c>
      <c r="V122" s="24">
        <f t="shared" si="44"/>
        <v>6.9374145310529829E-4</v>
      </c>
      <c r="W122" s="24">
        <f t="shared" si="45"/>
        <v>2108.2251393513761</v>
      </c>
      <c r="X122" s="24">
        <f t="shared" si="46"/>
        <v>2108.2251393513757</v>
      </c>
      <c r="Y122" s="24">
        <f t="shared" si="47"/>
        <v>6633.8967762612156</v>
      </c>
      <c r="Z122" s="24">
        <f t="shared" si="48"/>
        <v>230.5899948967612</v>
      </c>
      <c r="AA122" s="24">
        <f t="shared" si="49"/>
        <v>0.45572570779645954</v>
      </c>
      <c r="AB122" s="24">
        <f t="shared" si="50"/>
        <v>1.7037117680767454E-2</v>
      </c>
      <c r="AC122" s="24">
        <f t="shared" si="51"/>
        <v>5.9219927767368609E-4</v>
      </c>
      <c r="AD122" s="24">
        <v>1</v>
      </c>
      <c r="AE122" s="24">
        <f t="shared" si="52"/>
        <v>0.41737283323452584</v>
      </c>
      <c r="AF122" s="24"/>
      <c r="AG122" s="24"/>
      <c r="AH122" s="24"/>
    </row>
    <row r="123" spans="1:34" ht="16" x14ac:dyDescent="0.2">
      <c r="A123" s="12">
        <v>6</v>
      </c>
      <c r="B123" s="12">
        <v>12</v>
      </c>
      <c r="C123" s="13">
        <v>0.48</v>
      </c>
      <c r="D123" s="14">
        <v>60</v>
      </c>
      <c r="E123" s="13">
        <f t="shared" si="53"/>
        <v>0.28259278619968597</v>
      </c>
      <c r="F123" s="18">
        <f>J123*$V123*MOUFAC</f>
        <v>3.2939111934281353</v>
      </c>
      <c r="G123" s="18">
        <f>K123*$V123*MOUFAC</f>
        <v>0.12199671086770422</v>
      </c>
      <c r="I123">
        <v>282.59278619968597</v>
      </c>
      <c r="J123" s="34">
        <v>11.122159090909001</v>
      </c>
      <c r="K123" s="36">
        <v>0.41193181818179969</v>
      </c>
      <c r="M123" s="26">
        <f t="shared" si="35"/>
        <v>9.4755462624150688E-2</v>
      </c>
      <c r="N123" s="27">
        <f t="shared" si="36"/>
        <v>-9.4755462624150688E-2</v>
      </c>
      <c r="O123" s="28" t="e">
        <f t="shared" si="37"/>
        <v>#NUM!</v>
      </c>
      <c r="P123" s="28">
        <f t="shared" si="38"/>
        <v>1.0471975511965976</v>
      </c>
      <c r="Q123" s="28">
        <f t="shared" si="39"/>
        <v>0.24999999999999994</v>
      </c>
      <c r="R123" s="28">
        <f t="shared" si="40"/>
        <v>0.44872734911621448</v>
      </c>
      <c r="S123" s="29" t="e">
        <f t="shared" si="41"/>
        <v>#DIV/0!</v>
      </c>
      <c r="T123" s="29" t="e">
        <f t="shared" si="42"/>
        <v>#DIV/0!</v>
      </c>
      <c r="U123" s="30" t="e">
        <f t="shared" si="43"/>
        <v>#DIV/0!</v>
      </c>
      <c r="V123" s="24">
        <f t="shared" si="44"/>
        <v>6.9374145310529818E-4</v>
      </c>
      <c r="W123" s="24">
        <f t="shared" si="45"/>
        <v>2196.5203298779729</v>
      </c>
      <c r="X123" s="24">
        <f t="shared" si="46"/>
        <v>2196.5203298779729</v>
      </c>
      <c r="Y123" s="24">
        <f t="shared" si="47"/>
        <v>7235.1429011775153</v>
      </c>
      <c r="Z123" s="24">
        <f t="shared" si="48"/>
        <v>267.96825559915737</v>
      </c>
      <c r="AA123" s="24">
        <f t="shared" si="49"/>
        <v>0.44872734911621448</v>
      </c>
      <c r="AB123" s="24">
        <f t="shared" si="50"/>
        <v>1.8581232901546865E-2</v>
      </c>
      <c r="AC123" s="24">
        <f t="shared" si="51"/>
        <v>6.8819381116837707E-4</v>
      </c>
      <c r="AD123" s="24">
        <v>1</v>
      </c>
      <c r="AE123" s="24">
        <f t="shared" si="52"/>
        <v>0.41786857435831676</v>
      </c>
      <c r="AF123" s="24"/>
      <c r="AG123" s="24"/>
      <c r="AH123" s="24"/>
    </row>
    <row r="124" spans="1:34" ht="16" x14ac:dyDescent="0.2">
      <c r="A124" s="12">
        <v>6</v>
      </c>
      <c r="B124" s="12">
        <v>12</v>
      </c>
      <c r="C124" s="13">
        <v>0.48</v>
      </c>
      <c r="D124" s="14">
        <v>60</v>
      </c>
      <c r="E124" s="13">
        <f t="shared" si="53"/>
        <v>0.28729743857814899</v>
      </c>
      <c r="F124" s="18">
        <f>J124*$V124*MOUFAC</f>
        <v>3.251843362094442</v>
      </c>
      <c r="G124" s="18">
        <f>K124*$V124*MOUFAC</f>
        <v>8.8342445800753816E-2</v>
      </c>
      <c r="I124">
        <v>287.29743857814901</v>
      </c>
      <c r="J124" s="34">
        <v>10.98011363636355</v>
      </c>
      <c r="K124" s="36">
        <v>0.2982954545454497</v>
      </c>
      <c r="M124" s="26">
        <f t="shared" si="35"/>
        <v>9.2497229482488466E-2</v>
      </c>
      <c r="N124" s="27">
        <f t="shared" si="36"/>
        <v>-9.2497229482488466E-2</v>
      </c>
      <c r="O124" s="28" t="e">
        <f t="shared" si="37"/>
        <v>#NUM!</v>
      </c>
      <c r="P124" s="28">
        <f t="shared" si="38"/>
        <v>1.0471975511965976</v>
      </c>
      <c r="Q124" s="28">
        <f t="shared" si="39"/>
        <v>0.24999999999999994</v>
      </c>
      <c r="R124" s="28">
        <f t="shared" si="40"/>
        <v>0.44217147523517919</v>
      </c>
      <c r="S124" s="29" t="e">
        <f t="shared" si="41"/>
        <v>#DIV/0!</v>
      </c>
      <c r="T124" s="29" t="e">
        <f t="shared" si="42"/>
        <v>#DIV/0!</v>
      </c>
      <c r="U124" s="30" t="e">
        <f t="shared" si="43"/>
        <v>#DIV/0!</v>
      </c>
      <c r="V124" s="24">
        <f t="shared" si="44"/>
        <v>6.9374145310529785E-4</v>
      </c>
      <c r="W124" s="24">
        <f t="shared" si="45"/>
        <v>2282.4201172278722</v>
      </c>
      <c r="X124" s="24">
        <f t="shared" si="46"/>
        <v>2282.4201172278708</v>
      </c>
      <c r="Y124" s="24">
        <f t="shared" si="47"/>
        <v>7422.0727077182701</v>
      </c>
      <c r="Z124" s="24">
        <f t="shared" si="48"/>
        <v>201.63457550075336</v>
      </c>
      <c r="AA124" s="24">
        <f t="shared" si="49"/>
        <v>0.44217147523517919</v>
      </c>
      <c r="AB124" s="24">
        <f t="shared" si="50"/>
        <v>1.9061304452173675E-2</v>
      </c>
      <c r="AC124" s="24">
        <f t="shared" si="51"/>
        <v>5.1783621409527008E-4</v>
      </c>
      <c r="AD124" s="24">
        <v>1</v>
      </c>
      <c r="AE124" s="24">
        <f t="shared" si="52"/>
        <v>0.41837429138996313</v>
      </c>
      <c r="AF124" s="24"/>
      <c r="AG124" s="24"/>
      <c r="AH124" s="24"/>
    </row>
    <row r="125" spans="1:34" ht="16" x14ac:dyDescent="0.2">
      <c r="A125" s="12">
        <v>6</v>
      </c>
      <c r="B125" s="12">
        <v>12</v>
      </c>
      <c r="C125" s="13">
        <v>0.48</v>
      </c>
      <c r="D125" s="14">
        <v>60</v>
      </c>
      <c r="E125" s="13">
        <f t="shared" si="53"/>
        <v>0.292629377940407</v>
      </c>
      <c r="F125" s="18">
        <f>J125*$V125*MOUFAC</f>
        <v>3.4579757356295455</v>
      </c>
      <c r="G125" s="18">
        <f>K125*$V125*MOUFAC</f>
        <v>0.10096279520086579</v>
      </c>
      <c r="I125">
        <v>292.62937794040698</v>
      </c>
      <c r="J125" s="34">
        <v>11.676136363636299</v>
      </c>
      <c r="K125" s="36">
        <v>0.34090909090909971</v>
      </c>
      <c r="M125" s="26">
        <f t="shared" si="35"/>
        <v>8.9937898588604612E-2</v>
      </c>
      <c r="N125" s="27">
        <f t="shared" si="36"/>
        <v>-8.9937898588604612E-2</v>
      </c>
      <c r="O125" s="28" t="e">
        <f t="shared" si="37"/>
        <v>#NUM!</v>
      </c>
      <c r="P125" s="28">
        <f t="shared" si="38"/>
        <v>1.0471975511965976</v>
      </c>
      <c r="Q125" s="28">
        <f t="shared" si="39"/>
        <v>0.24999999999999994</v>
      </c>
      <c r="R125" s="28">
        <f t="shared" si="40"/>
        <v>0.43451520898271656</v>
      </c>
      <c r="S125" s="29" t="e">
        <f t="shared" si="41"/>
        <v>#DIV/0!</v>
      </c>
      <c r="T125" s="29" t="e">
        <f t="shared" si="42"/>
        <v>#DIV/0!</v>
      </c>
      <c r="U125" s="30" t="e">
        <f t="shared" si="43"/>
        <v>#DIV/0!</v>
      </c>
      <c r="V125" s="24">
        <f t="shared" si="44"/>
        <v>6.9374145310529807E-4</v>
      </c>
      <c r="W125" s="24">
        <f t="shared" si="45"/>
        <v>2386.8314290930562</v>
      </c>
      <c r="X125" s="24">
        <f t="shared" si="46"/>
        <v>2386.8314290930557</v>
      </c>
      <c r="Y125" s="24">
        <f t="shared" si="47"/>
        <v>8253.6051668417786</v>
      </c>
      <c r="Z125" s="24">
        <f t="shared" si="48"/>
        <v>240.98117275451199</v>
      </c>
      <c r="AA125" s="24">
        <f t="shared" si="49"/>
        <v>0.43451520898271656</v>
      </c>
      <c r="AB125" s="24">
        <f t="shared" si="50"/>
        <v>2.1196839091808129E-2</v>
      </c>
      <c r="AC125" s="24">
        <f t="shared" si="51"/>
        <v>6.1888581289952667E-4</v>
      </c>
      <c r="AD125" s="24">
        <v>1</v>
      </c>
      <c r="AE125" s="24">
        <f t="shared" si="52"/>
        <v>0.4190105624234241</v>
      </c>
      <c r="AF125" s="24"/>
      <c r="AG125" s="24"/>
      <c r="AH125" s="24"/>
    </row>
    <row r="126" spans="1:34" ht="16" x14ac:dyDescent="0.2">
      <c r="A126" s="12">
        <v>6</v>
      </c>
      <c r="B126" s="12">
        <v>12</v>
      </c>
      <c r="C126" s="13">
        <v>0.48</v>
      </c>
      <c r="D126" s="14">
        <v>60</v>
      </c>
      <c r="E126" s="13">
        <f t="shared" si="53"/>
        <v>0.29733403031887001</v>
      </c>
      <c r="F126" s="18">
        <f>J126*$V126*MOUFAC</f>
        <v>3.8365862176327847</v>
      </c>
      <c r="G126" s="18">
        <f>K126*$V126*MOUFAC</f>
        <v>0.10096279520086605</v>
      </c>
      <c r="I126">
        <v>297.33403031887002</v>
      </c>
      <c r="J126" s="34">
        <v>12.9545454545454</v>
      </c>
      <c r="K126" s="36">
        <v>0.3409090909091006</v>
      </c>
      <c r="M126" s="26">
        <f t="shared" si="35"/>
        <v>8.7679665446942362E-2</v>
      </c>
      <c r="N126" s="27">
        <f t="shared" si="36"/>
        <v>-8.7679665446942362E-2</v>
      </c>
      <c r="O126" s="28" t="e">
        <f t="shared" si="37"/>
        <v>#NUM!</v>
      </c>
      <c r="P126" s="28">
        <f t="shared" si="38"/>
        <v>1.0471975511965976</v>
      </c>
      <c r="Q126" s="28">
        <f t="shared" si="39"/>
        <v>0.24999999999999994</v>
      </c>
      <c r="R126" s="28">
        <f t="shared" si="40"/>
        <v>0.42755734119816718</v>
      </c>
      <c r="S126" s="29" t="e">
        <f t="shared" si="41"/>
        <v>#DIV/0!</v>
      </c>
      <c r="T126" s="29" t="e">
        <f t="shared" si="42"/>
        <v>#DIV/0!</v>
      </c>
      <c r="U126" s="30" t="e">
        <f t="shared" si="43"/>
        <v>#DIV/0!</v>
      </c>
      <c r="V126" s="24">
        <f t="shared" si="44"/>
        <v>6.9374145310529807E-4</v>
      </c>
      <c r="W126" s="24">
        <f t="shared" si="45"/>
        <v>2485.7330412523661</v>
      </c>
      <c r="X126" s="24">
        <f t="shared" si="46"/>
        <v>2485.7330412523652</v>
      </c>
      <c r="Y126" s="24">
        <f t="shared" si="47"/>
        <v>9536.7291267832497</v>
      </c>
      <c r="Z126" s="24">
        <f t="shared" si="48"/>
        <v>250.96655596798848</v>
      </c>
      <c r="AA126" s="24">
        <f t="shared" si="49"/>
        <v>0.42755734119816718</v>
      </c>
      <c r="AB126" s="24">
        <f t="shared" si="50"/>
        <v>2.4492147210373044E-2</v>
      </c>
      <c r="AC126" s="24">
        <f t="shared" si="51"/>
        <v>6.4453018974668021E-4</v>
      </c>
      <c r="AD126" s="24">
        <v>1</v>
      </c>
      <c r="AE126" s="24">
        <f t="shared" si="52"/>
        <v>0.41962744313569988</v>
      </c>
      <c r="AF126" s="24"/>
      <c r="AG126" s="24"/>
      <c r="AH126" s="24"/>
    </row>
    <row r="127" spans="1:34" ht="16" x14ac:dyDescent="0.2">
      <c r="A127" s="12">
        <v>6</v>
      </c>
      <c r="B127" s="12">
        <v>12</v>
      </c>
      <c r="C127" s="13">
        <v>0.48</v>
      </c>
      <c r="D127" s="14">
        <v>60</v>
      </c>
      <c r="E127" s="13">
        <f t="shared" si="53"/>
        <v>0.30266596968112902</v>
      </c>
      <c r="F127" s="18">
        <f>J127*$V127*MOUFAC</f>
        <v>3.7734844706322548</v>
      </c>
      <c r="G127" s="18">
        <f>K127*$V127*MOUFAC</f>
        <v>9.6756012067495303E-2</v>
      </c>
      <c r="I127">
        <v>302.66596968112901</v>
      </c>
      <c r="J127" s="34">
        <v>12.74147727272725</v>
      </c>
      <c r="K127" s="36">
        <v>0.3267045454545503</v>
      </c>
      <c r="M127" s="26">
        <f t="shared" si="35"/>
        <v>8.512033455305805E-2</v>
      </c>
      <c r="N127" s="27">
        <f t="shared" si="36"/>
        <v>-8.512033455305805E-2</v>
      </c>
      <c r="O127" s="28" t="e">
        <f t="shared" si="37"/>
        <v>#NUM!</v>
      </c>
      <c r="P127" s="28">
        <f t="shared" si="38"/>
        <v>1.0471975511965976</v>
      </c>
      <c r="Q127" s="28">
        <f t="shared" si="39"/>
        <v>0.24999999999999994</v>
      </c>
      <c r="R127" s="28">
        <f t="shared" si="40"/>
        <v>0.41943937353039118</v>
      </c>
      <c r="S127" s="29" t="e">
        <f t="shared" si="41"/>
        <v>#DIV/0!</v>
      </c>
      <c r="T127" s="29" t="e">
        <f t="shared" si="42"/>
        <v>#DIV/0!</v>
      </c>
      <c r="U127" s="30" t="e">
        <f t="shared" si="43"/>
        <v>#DIV/0!</v>
      </c>
      <c r="V127" s="24">
        <f t="shared" si="44"/>
        <v>6.9374145310529796E-4</v>
      </c>
      <c r="W127" s="24">
        <f t="shared" si="45"/>
        <v>2606.2185634256639</v>
      </c>
      <c r="X127" s="24">
        <f t="shared" si="46"/>
        <v>2606.218563425663</v>
      </c>
      <c r="Y127" s="24">
        <f t="shared" si="47"/>
        <v>9834.5252761602442</v>
      </c>
      <c r="Z127" s="24">
        <f t="shared" si="48"/>
        <v>252.16731477334372</v>
      </c>
      <c r="AA127" s="24">
        <f t="shared" si="49"/>
        <v>0.41943937353039118</v>
      </c>
      <c r="AB127" s="24">
        <f t="shared" si="50"/>
        <v>2.5256944766459628E-2</v>
      </c>
      <c r="AC127" s="24">
        <f t="shared" si="51"/>
        <v>6.476139683707703E-4</v>
      </c>
      <c r="AD127" s="24">
        <v>1</v>
      </c>
      <c r="AE127" s="24">
        <f t="shared" si="52"/>
        <v>0.42038913372740283</v>
      </c>
      <c r="AF127" s="24"/>
      <c r="AG127" s="24"/>
      <c r="AH127" s="24"/>
    </row>
    <row r="128" spans="1:34" ht="16" x14ac:dyDescent="0.2">
      <c r="A128" s="12">
        <v>6</v>
      </c>
      <c r="B128" s="12">
        <v>12</v>
      </c>
      <c r="C128" s="13">
        <v>0.48</v>
      </c>
      <c r="D128" s="14">
        <v>60</v>
      </c>
      <c r="E128" s="13">
        <f t="shared" si="53"/>
        <v>0.30768426555148898</v>
      </c>
      <c r="F128" s="18">
        <f>J128*$V128*MOUFAC</f>
        <v>4.0385118080345164</v>
      </c>
      <c r="G128" s="18">
        <f>K128*$V128*MOUFAC</f>
        <v>8.4135662667383371E-2</v>
      </c>
      <c r="I128">
        <v>307.68426555148898</v>
      </c>
      <c r="J128" s="34">
        <v>13.636363636363601</v>
      </c>
      <c r="K128" s="36">
        <v>0.28409090909090029</v>
      </c>
      <c r="M128" s="26">
        <f t="shared" si="35"/>
        <v>8.2711552535285268E-2</v>
      </c>
      <c r="N128" s="27">
        <f t="shared" si="36"/>
        <v>-8.2711552535285268E-2</v>
      </c>
      <c r="O128" s="28" t="e">
        <f t="shared" si="37"/>
        <v>#NUM!</v>
      </c>
      <c r="P128" s="28">
        <f t="shared" si="38"/>
        <v>1.0471975511965976</v>
      </c>
      <c r="Q128" s="28">
        <f t="shared" si="39"/>
        <v>0.24999999999999994</v>
      </c>
      <c r="R128" s="28">
        <f t="shared" si="40"/>
        <v>0.41157057836510114</v>
      </c>
      <c r="S128" s="29" t="e">
        <f t="shared" si="41"/>
        <v>#DIV/0!</v>
      </c>
      <c r="T128" s="29" t="e">
        <f t="shared" si="42"/>
        <v>#DIV/0!</v>
      </c>
      <c r="U128" s="30" t="e">
        <f t="shared" si="43"/>
        <v>#DIV/0!</v>
      </c>
      <c r="V128" s="24">
        <f t="shared" si="44"/>
        <v>6.9374145310529796E-4</v>
      </c>
      <c r="W128" s="24">
        <f t="shared" si="45"/>
        <v>2728.5336253584437</v>
      </c>
      <c r="X128" s="24">
        <f t="shared" si="46"/>
        <v>2728.5336253584428</v>
      </c>
      <c r="Y128" s="24">
        <f t="shared" si="47"/>
        <v>11019.215264629298</v>
      </c>
      <c r="Z128" s="24">
        <f t="shared" si="48"/>
        <v>229.56698467977054</v>
      </c>
      <c r="AA128" s="24">
        <f t="shared" si="49"/>
        <v>0.41157057836510114</v>
      </c>
      <c r="AB128" s="24">
        <f t="shared" si="50"/>
        <v>2.8299455590716015E-2</v>
      </c>
      <c r="AC128" s="24">
        <f t="shared" si="51"/>
        <v>5.895719914732337E-4</v>
      </c>
      <c r="AD128" s="24">
        <v>1</v>
      </c>
      <c r="AE128" s="24">
        <f t="shared" si="52"/>
        <v>0.4211664276782332</v>
      </c>
      <c r="AF128" s="24"/>
      <c r="AG128" s="24"/>
      <c r="AH128" s="24"/>
    </row>
    <row r="129" spans="1:37" ht="16" x14ac:dyDescent="0.2">
      <c r="A129" s="12">
        <v>6</v>
      </c>
      <c r="B129" s="12">
        <v>12</v>
      </c>
      <c r="C129" s="13">
        <v>0.48</v>
      </c>
      <c r="D129" s="14">
        <v>60</v>
      </c>
      <c r="E129" s="13">
        <f t="shared" si="53"/>
        <v>0.31270256142185004</v>
      </c>
      <c r="F129" s="18">
        <f>J129*$V129*MOUFAC</f>
        <v>4.1436813863687378</v>
      </c>
      <c r="G129" s="18">
        <f>K129*$V129*MOUFAC</f>
        <v>0.11358314460096298</v>
      </c>
      <c r="I129">
        <v>312.70256142185002</v>
      </c>
      <c r="J129" s="34">
        <v>13.991477272727201</v>
      </c>
      <c r="K129" s="36">
        <v>0.38352272727269998</v>
      </c>
      <c r="M129" s="26">
        <f t="shared" si="35"/>
        <v>8.0302770517511959E-2</v>
      </c>
      <c r="N129" s="27">
        <f t="shared" si="36"/>
        <v>-8.0302770517511959E-2</v>
      </c>
      <c r="O129" s="28" t="e">
        <f t="shared" si="37"/>
        <v>#NUM!</v>
      </c>
      <c r="P129" s="28">
        <f t="shared" si="38"/>
        <v>1.0471975511965976</v>
      </c>
      <c r="Q129" s="28">
        <f t="shared" si="39"/>
        <v>0.24999999999999994</v>
      </c>
      <c r="R129" s="28">
        <f t="shared" si="40"/>
        <v>0.40347768849413229</v>
      </c>
      <c r="S129" s="29" t="e">
        <f t="shared" si="41"/>
        <v>#DIV/0!</v>
      </c>
      <c r="T129" s="29" t="e">
        <f t="shared" si="42"/>
        <v>#DIV/0!</v>
      </c>
      <c r="U129" s="30" t="e">
        <f t="shared" si="43"/>
        <v>#DIV/0!</v>
      </c>
      <c r="V129" s="24">
        <f t="shared" si="44"/>
        <v>6.9374145310529785E-4</v>
      </c>
      <c r="W129" s="24">
        <f t="shared" si="45"/>
        <v>2860.3470670258725</v>
      </c>
      <c r="X129" s="24">
        <f t="shared" si="46"/>
        <v>2860.3470670258716</v>
      </c>
      <c r="Y129" s="24">
        <f t="shared" si="47"/>
        <v>11852.366900189518</v>
      </c>
      <c r="Z129" s="24">
        <f t="shared" si="48"/>
        <v>324.88721452293993</v>
      </c>
      <c r="AA129" s="24">
        <f t="shared" si="49"/>
        <v>0.40347768849413229</v>
      </c>
      <c r="AB129" s="24">
        <f t="shared" si="50"/>
        <v>3.0439148585602076E-2</v>
      </c>
      <c r="AC129" s="24">
        <f t="shared" si="51"/>
        <v>8.3437260082355508E-4</v>
      </c>
      <c r="AD129" s="24">
        <v>1</v>
      </c>
      <c r="AE129" s="24">
        <f t="shared" si="52"/>
        <v>0.42200196970784132</v>
      </c>
      <c r="AF129" s="24"/>
      <c r="AG129" s="24"/>
      <c r="AH129" s="24"/>
    </row>
    <row r="130" spans="1:37" ht="16" x14ac:dyDescent="0.2">
      <c r="A130" s="12">
        <v>6</v>
      </c>
      <c r="B130" s="12">
        <v>12</v>
      </c>
      <c r="C130" s="13">
        <v>0.48</v>
      </c>
      <c r="D130" s="14">
        <v>60</v>
      </c>
      <c r="E130" s="13">
        <f t="shared" si="53"/>
        <v>0.317407213800313</v>
      </c>
      <c r="F130" s="18">
        <f>J130*$V130*MOUFAC</f>
        <v>4.2572645309697155</v>
      </c>
      <c r="G130" s="18">
        <f>K130*$V130*MOUFAC</f>
        <v>0.10096279520085105</v>
      </c>
      <c r="I130">
        <v>317.407213800313</v>
      </c>
      <c r="J130" s="34">
        <v>14.37499999999995</v>
      </c>
      <c r="K130" s="36">
        <v>0.34090909090904997</v>
      </c>
      <c r="M130" s="26">
        <f t="shared" si="35"/>
        <v>7.8044537375849737E-2</v>
      </c>
      <c r="N130" s="27">
        <f t="shared" si="36"/>
        <v>-7.8044537375849737E-2</v>
      </c>
      <c r="O130" s="28" t="e">
        <f t="shared" si="37"/>
        <v>#NUM!</v>
      </c>
      <c r="P130" s="28">
        <f t="shared" si="38"/>
        <v>1.0471975511965976</v>
      </c>
      <c r="Q130" s="28">
        <f t="shared" si="39"/>
        <v>0.24999999999999994</v>
      </c>
      <c r="R130" s="28">
        <f t="shared" si="40"/>
        <v>0.39568487546509851</v>
      </c>
      <c r="S130" s="29" t="e">
        <f t="shared" si="41"/>
        <v>#DIV/0!</v>
      </c>
      <c r="T130" s="29" t="e">
        <f t="shared" si="42"/>
        <v>#DIV/0!</v>
      </c>
      <c r="U130" s="30" t="e">
        <f t="shared" si="43"/>
        <v>#DIV/0!</v>
      </c>
      <c r="V130" s="24">
        <f t="shared" si="44"/>
        <v>6.9374145310529796E-4</v>
      </c>
      <c r="W130" s="24">
        <f t="shared" si="45"/>
        <v>2993.3834256492396</v>
      </c>
      <c r="X130" s="24">
        <f t="shared" si="46"/>
        <v>2993.3834256492391</v>
      </c>
      <c r="Y130" s="24">
        <f t="shared" si="47"/>
        <v>12743.625085609128</v>
      </c>
      <c r="Z130" s="24">
        <f t="shared" si="48"/>
        <v>302.22035776144611</v>
      </c>
      <c r="AA130" s="24">
        <f t="shared" si="49"/>
        <v>0.39568487546509851</v>
      </c>
      <c r="AB130" s="24">
        <f t="shared" si="50"/>
        <v>3.2728070331155518E-2</v>
      </c>
      <c r="AC130" s="24">
        <f t="shared" si="51"/>
        <v>7.7615977069924998E-4</v>
      </c>
      <c r="AD130" s="24">
        <v>1</v>
      </c>
      <c r="AE130" s="24">
        <f t="shared" si="52"/>
        <v>0.42283788471271982</v>
      </c>
      <c r="AF130" s="24"/>
      <c r="AG130" s="24"/>
      <c r="AH130" s="24"/>
    </row>
    <row r="131" spans="1:37" ht="16" x14ac:dyDescent="0.2">
      <c r="A131" s="12">
        <v>6</v>
      </c>
      <c r="B131" s="12">
        <v>12</v>
      </c>
      <c r="C131" s="13">
        <v>0.48</v>
      </c>
      <c r="D131" s="14">
        <v>60</v>
      </c>
      <c r="E131" s="13">
        <f t="shared" si="53"/>
        <v>0.32242550967067402</v>
      </c>
      <c r="F131" s="18">
        <f>J131*$V131*MOUFAC</f>
        <v>4.3582273261705833</v>
      </c>
      <c r="G131" s="18">
        <f>K131*$V131*MOUFAC</f>
        <v>0.1177899277343335</v>
      </c>
      <c r="I131">
        <v>322.42550967067399</v>
      </c>
      <c r="J131" s="34">
        <v>14.715909090909051</v>
      </c>
      <c r="K131" s="36">
        <v>0.39772727272724939</v>
      </c>
      <c r="M131" s="26">
        <f t="shared" si="35"/>
        <v>7.5635755358076442E-2</v>
      </c>
      <c r="N131" s="27">
        <f t="shared" si="36"/>
        <v>-7.5635755358076442E-2</v>
      </c>
      <c r="O131" s="28" t="e">
        <f t="shared" si="37"/>
        <v>#NUM!</v>
      </c>
      <c r="P131" s="28">
        <f t="shared" si="38"/>
        <v>1.0471975511965976</v>
      </c>
      <c r="Q131" s="28">
        <f t="shared" si="39"/>
        <v>0.24999999999999994</v>
      </c>
      <c r="R131" s="28">
        <f t="shared" si="40"/>
        <v>0.38715087219513522</v>
      </c>
      <c r="S131" s="29" t="e">
        <f t="shared" si="41"/>
        <v>#DIV/0!</v>
      </c>
      <c r="T131" s="29" t="e">
        <f t="shared" si="42"/>
        <v>#DIV/0!</v>
      </c>
      <c r="U131" s="30" t="e">
        <f t="shared" si="43"/>
        <v>#DIV/0!</v>
      </c>
      <c r="V131" s="24">
        <f t="shared" si="44"/>
        <v>6.9374145310529818E-4</v>
      </c>
      <c r="W131" s="24">
        <f t="shared" si="45"/>
        <v>3146.3843639028569</v>
      </c>
      <c r="X131" s="24">
        <f t="shared" si="46"/>
        <v>3146.3843639028555</v>
      </c>
      <c r="Y131" s="24">
        <f t="shared" si="47"/>
        <v>13712.658313397273</v>
      </c>
      <c r="Z131" s="24">
        <f t="shared" si="48"/>
        <v>370.61238684855425</v>
      </c>
      <c r="AA131" s="24">
        <f t="shared" si="49"/>
        <v>0.38715087219513522</v>
      </c>
      <c r="AB131" s="24">
        <f t="shared" si="50"/>
        <v>3.5216733283747484E-2</v>
      </c>
      <c r="AC131" s="24">
        <f t="shared" si="51"/>
        <v>9.5180360226339235E-4</v>
      </c>
      <c r="AD131" s="24">
        <v>1</v>
      </c>
      <c r="AE131" s="24">
        <f t="shared" si="52"/>
        <v>0.42378528129758158</v>
      </c>
      <c r="AF131" s="24"/>
      <c r="AG131" s="24"/>
      <c r="AH131" s="24"/>
    </row>
    <row r="132" spans="1:37" ht="16" x14ac:dyDescent="0.2">
      <c r="A132" s="12">
        <v>6</v>
      </c>
      <c r="B132" s="12">
        <v>12</v>
      </c>
      <c r="C132" s="13">
        <v>0.48</v>
      </c>
      <c r="D132" s="14">
        <v>60</v>
      </c>
      <c r="E132" s="13">
        <f t="shared" si="53"/>
        <v>0.32775744903293202</v>
      </c>
      <c r="F132" s="18">
        <f>J132*$V132*MOUFAC</f>
        <v>4.3834680249707914</v>
      </c>
      <c r="G132" s="18">
        <f>K132*$V132*MOUFAC</f>
        <v>0.10937636146760726</v>
      </c>
      <c r="I132">
        <v>327.75744903293202</v>
      </c>
      <c r="J132" s="34">
        <v>14.801136363636299</v>
      </c>
      <c r="K132" s="36">
        <v>0.36931818181820031</v>
      </c>
      <c r="M132" s="26">
        <f t="shared" si="35"/>
        <v>7.3076424464192602E-2</v>
      </c>
      <c r="N132" s="27">
        <f t="shared" si="36"/>
        <v>-7.3076424464192602E-2</v>
      </c>
      <c r="O132" s="28" t="e">
        <f t="shared" si="37"/>
        <v>#NUM!</v>
      </c>
      <c r="P132" s="28">
        <f t="shared" si="38"/>
        <v>1.0471975511965976</v>
      </c>
      <c r="Q132" s="28">
        <f t="shared" si="39"/>
        <v>0.24999999999999994</v>
      </c>
      <c r="R132" s="28">
        <f t="shared" si="40"/>
        <v>0.37783036516025958</v>
      </c>
      <c r="S132" s="29" t="e">
        <f t="shared" si="41"/>
        <v>#DIV/0!</v>
      </c>
      <c r="T132" s="29" t="e">
        <f t="shared" si="42"/>
        <v>#DIV/0!</v>
      </c>
      <c r="U132" s="30" t="e">
        <f t="shared" si="43"/>
        <v>#DIV/0!</v>
      </c>
      <c r="V132" s="24">
        <f t="shared" si="44"/>
        <v>6.9374145310529818E-4</v>
      </c>
      <c r="W132" s="24">
        <f t="shared" si="45"/>
        <v>3322.8109831360771</v>
      </c>
      <c r="X132" s="24">
        <f t="shared" si="46"/>
        <v>3322.8109831360766</v>
      </c>
      <c r="Y132" s="24">
        <f t="shared" si="47"/>
        <v>14565.435697598752</v>
      </c>
      <c r="Z132" s="24">
        <f t="shared" si="48"/>
        <v>363.43697518002699</v>
      </c>
      <c r="AA132" s="24">
        <f t="shared" si="49"/>
        <v>0.37783036516025958</v>
      </c>
      <c r="AB132" s="24">
        <f t="shared" si="50"/>
        <v>3.7406828960564138E-2</v>
      </c>
      <c r="AC132" s="24">
        <f t="shared" si="51"/>
        <v>9.3337577060913668E-4</v>
      </c>
      <c r="AD132" s="24">
        <v>1</v>
      </c>
      <c r="AE132" s="24">
        <f t="shared" si="52"/>
        <v>0.42485452788074135</v>
      </c>
      <c r="AF132" s="24"/>
      <c r="AG132" s="24"/>
      <c r="AH132" s="24"/>
    </row>
    <row r="133" spans="1:37" ht="16" x14ac:dyDescent="0.2">
      <c r="A133" s="12">
        <v>6</v>
      </c>
      <c r="B133" s="12">
        <v>12</v>
      </c>
      <c r="C133" s="13">
        <v>0.48</v>
      </c>
      <c r="D133" s="14">
        <v>60</v>
      </c>
      <c r="E133" s="13">
        <f t="shared" si="53"/>
        <v>0.33277574490329298</v>
      </c>
      <c r="F133" s="18">
        <f>J133*$V133*MOUFAC</f>
        <v>4.6106343141727448</v>
      </c>
      <c r="G133" s="18">
        <f>K133*$V133*MOUFAC</f>
        <v>0.10096279520086576</v>
      </c>
      <c r="I133">
        <v>332.775744903293</v>
      </c>
      <c r="J133" s="34">
        <v>15.568181818181799</v>
      </c>
      <c r="K133" s="36">
        <v>0.34090909090909971</v>
      </c>
      <c r="M133" s="26">
        <f t="shared" ref="M133:M134" si="54">4*C133*(C133-E133)*Q133</f>
        <v>7.0667642446419349E-2</v>
      </c>
      <c r="N133" s="27">
        <f t="shared" ref="N133:N134" si="55">MP^2+2*MP*E133-M133</f>
        <v>-7.0667642446419349E-2</v>
      </c>
      <c r="O133" s="28" t="e">
        <f t="shared" ref="O133:O134" si="56">SQRT(N133)</f>
        <v>#NUM!</v>
      </c>
      <c r="P133" s="28">
        <f t="shared" ref="P133:P134" si="57">PI()*D133/180</f>
        <v>1.0471975511965976</v>
      </c>
      <c r="Q133" s="28">
        <f t="shared" ref="Q133:Q134" si="58">(SIN(P133/2))^2</f>
        <v>0.24999999999999994</v>
      </c>
      <c r="R133" s="28">
        <f t="shared" ref="R133:R134" si="59">1/(1+2*(1+E133^2/M133)*(TAN(P133/2))^2)</f>
        <v>0.36881773537610069</v>
      </c>
      <c r="S133" s="29" t="e">
        <f t="shared" ref="S133:S134" si="60">(1/137)*(C133-E133)*(N133-MP^2)/((4*PI()^2*M133*MP*C133)*(1-R133))</f>
        <v>#DIV/0!</v>
      </c>
      <c r="T133" s="29" t="e">
        <f t="shared" ref="T133:T134" si="61">F133/S133</f>
        <v>#DIV/0!</v>
      </c>
      <c r="U133" s="30" t="e">
        <f t="shared" ref="U133:U134" si="62">G133/S133</f>
        <v>#DIV/0!</v>
      </c>
      <c r="V133" s="24">
        <f t="shared" ref="V133:V134" si="63">4*(1/137)^2*(1-Q133)*(C133-E133)^2/M133^2</f>
        <v>6.9374145310529785E-4</v>
      </c>
      <c r="W133" s="24">
        <f t="shared" ref="W133:W134" si="64">(1/V133)*R133*(M133+E133^2)^2/M133^2</f>
        <v>3503.3429235474682</v>
      </c>
      <c r="X133" s="24">
        <f t="shared" ref="X133:X134" si="65">(M133+E133^2)^2/(4*(1/137)^2*(C133-E133)^2*(1-Q133+2*Q133*(M133+E133^2)/M133))</f>
        <v>3503.3429235474669</v>
      </c>
      <c r="Y133" s="24">
        <f t="shared" ref="Y133:Y134" si="66">AD133*X133*F133</f>
        <v>16152.633097622214</v>
      </c>
      <c r="Z133" s="24">
        <f t="shared" ref="Z133:Z134" si="67">AD133*X133*G133</f>
        <v>353.70729410852522</v>
      </c>
      <c r="AA133" s="24">
        <f t="shared" ref="AA133:AA134" si="68">R133</f>
        <v>0.36881773537610069</v>
      </c>
      <c r="AB133" s="24">
        <f t="shared" ref="AB133:AB134" si="69">Y133/(0.1973269^2*10000000)</f>
        <v>4.148305592019555E-2</v>
      </c>
      <c r="AC133" s="24">
        <f t="shared" ref="AC133:AC134" si="70">Z133/(0.1973269^2*10000000)</f>
        <v>9.0838808584372275E-4</v>
      </c>
      <c r="AD133" s="24">
        <v>1</v>
      </c>
      <c r="AE133" s="24">
        <f t="shared" ref="AE133:AE134" si="71">SQRT(M133+E133^2)</f>
        <v>0.42591940416276042</v>
      </c>
      <c r="AF133" s="24"/>
      <c r="AG133" s="24"/>
      <c r="AH133" s="24"/>
    </row>
    <row r="134" spans="1:37" ht="16" x14ac:dyDescent="0.2">
      <c r="A134" s="12">
        <v>6</v>
      </c>
      <c r="B134" s="12">
        <v>12</v>
      </c>
      <c r="C134" s="13">
        <v>0.48</v>
      </c>
      <c r="D134" s="14">
        <v>60</v>
      </c>
      <c r="E134" s="13">
        <f t="shared" ref="E134" si="72">I134/1000</f>
        <v>0.33779404077365305</v>
      </c>
      <c r="F134" s="18">
        <f>J134*$V134*MOUFAC</f>
        <v>4.8798684347083645</v>
      </c>
      <c r="G134" s="18">
        <f>K134*$V134*MOUFAC</f>
        <v>0.13461706026781667</v>
      </c>
      <c r="I134">
        <v>337.79404077365302</v>
      </c>
      <c r="J134" s="34">
        <v>16.477272727272648</v>
      </c>
      <c r="K134" s="36">
        <v>0.45454545454545148</v>
      </c>
      <c r="M134" s="26">
        <f t="shared" si="54"/>
        <v>6.8258860428646512E-2</v>
      </c>
      <c r="N134" s="27">
        <f t="shared" si="55"/>
        <v>-6.8258860428646512E-2</v>
      </c>
      <c r="O134" s="28" t="e">
        <f t="shared" si="56"/>
        <v>#NUM!</v>
      </c>
      <c r="P134" s="28">
        <f t="shared" si="57"/>
        <v>1.0471975511965976</v>
      </c>
      <c r="Q134" s="28">
        <f t="shared" si="58"/>
        <v>0.24999999999999994</v>
      </c>
      <c r="R134" s="28">
        <f t="shared" si="59"/>
        <v>0.3595700933042616</v>
      </c>
      <c r="S134" s="29" t="e">
        <f t="shared" si="60"/>
        <v>#DIV/0!</v>
      </c>
      <c r="T134" s="29" t="e">
        <f t="shared" si="61"/>
        <v>#DIV/0!</v>
      </c>
      <c r="U134" s="30" t="e">
        <f t="shared" si="62"/>
        <v>#DIV/0!</v>
      </c>
      <c r="V134" s="24">
        <f t="shared" si="63"/>
        <v>6.9374145310529807E-4</v>
      </c>
      <c r="W134" s="24">
        <f t="shared" si="64"/>
        <v>3699.5126642720056</v>
      </c>
      <c r="X134" s="24">
        <f t="shared" si="65"/>
        <v>3699.5126642720043</v>
      </c>
      <c r="Y134" s="24">
        <f t="shared" si="66"/>
        <v>18053.135074184796</v>
      </c>
      <c r="Z134" s="24">
        <f t="shared" si="67"/>
        <v>498.01751928785541</v>
      </c>
      <c r="AA134" s="24">
        <f t="shared" si="68"/>
        <v>0.3595700933042616</v>
      </c>
      <c r="AB134" s="24">
        <f t="shared" si="69"/>
        <v>4.6363909047590197E-2</v>
      </c>
      <c r="AC134" s="24">
        <f t="shared" si="70"/>
        <v>1.2790043875197271E-3</v>
      </c>
      <c r="AD134" s="24">
        <v>1</v>
      </c>
      <c r="AE134" s="24">
        <f t="shared" si="71"/>
        <v>0.427040600424408</v>
      </c>
      <c r="AF134" s="24"/>
      <c r="AG134" s="24"/>
      <c r="AH134" s="24"/>
    </row>
    <row r="135" spans="1:37" s="3" customFormat="1" ht="16" x14ac:dyDescent="0.15">
      <c r="A135" s="2" t="s">
        <v>5</v>
      </c>
      <c r="B135" s="2" t="s">
        <v>6</v>
      </c>
      <c r="C135" s="9" t="s">
        <v>1</v>
      </c>
      <c r="D135" s="4" t="s">
        <v>2</v>
      </c>
      <c r="E135" s="9" t="s">
        <v>3</v>
      </c>
      <c r="F135" s="17" t="s">
        <v>4</v>
      </c>
      <c r="G135" s="17" t="s">
        <v>0</v>
      </c>
      <c r="H135" s="19" t="s">
        <v>7</v>
      </c>
      <c r="I135" s="32" t="s">
        <v>25</v>
      </c>
      <c r="J135" s="35" t="s">
        <v>26</v>
      </c>
      <c r="K135" s="35" t="s">
        <v>27</v>
      </c>
      <c r="L135" s="20" t="s">
        <v>8</v>
      </c>
      <c r="M135" s="21" t="s">
        <v>9</v>
      </c>
      <c r="N135" s="22" t="s">
        <v>10</v>
      </c>
      <c r="O135" s="20" t="s">
        <v>11</v>
      </c>
      <c r="P135" s="20" t="s">
        <v>12</v>
      </c>
      <c r="Q135" s="20" t="s">
        <v>13</v>
      </c>
      <c r="R135" s="20" t="s">
        <v>14</v>
      </c>
      <c r="T135" s="23" t="s">
        <v>15</v>
      </c>
      <c r="U135" s="19" t="s">
        <v>16</v>
      </c>
      <c r="V135" s="19" t="s">
        <v>17</v>
      </c>
      <c r="W135" s="19" t="s">
        <v>18</v>
      </c>
      <c r="X135" s="19" t="s">
        <v>18</v>
      </c>
      <c r="Y135" s="19" t="s">
        <v>19</v>
      </c>
      <c r="Z135" s="19" t="s">
        <v>20</v>
      </c>
      <c r="AA135" s="19" t="str">
        <f>R135</f>
        <v>epsilon</v>
      </c>
      <c r="AB135" s="19" t="s">
        <v>21</v>
      </c>
      <c r="AC135" s="19" t="s">
        <v>22</v>
      </c>
      <c r="AD135" s="19" t="s">
        <v>23</v>
      </c>
      <c r="AE135" s="19" t="s">
        <v>24</v>
      </c>
      <c r="AF135" s="19"/>
      <c r="AG135" s="19"/>
      <c r="AH135" s="19"/>
    </row>
    <row r="136" spans="1:37" s="15" customFormat="1" ht="16" x14ac:dyDescent="0.2">
      <c r="A136" s="12">
        <v>6</v>
      </c>
      <c r="B136" s="12">
        <v>12</v>
      </c>
      <c r="C136" s="13">
        <v>0.44</v>
      </c>
      <c r="D136" s="14">
        <v>60</v>
      </c>
      <c r="E136" s="13">
        <f>I136/1000</f>
        <v>2.6778642349234702E-2</v>
      </c>
      <c r="F136" s="18">
        <f>J136*$V136*MOUFAC</f>
        <v>2.7962201953582908</v>
      </c>
      <c r="G136" s="18">
        <f>K136*$V136*MOUFAC</f>
        <v>0.14240406255165564</v>
      </c>
      <c r="H136" s="24">
        <v>28</v>
      </c>
      <c r="I136" s="33">
        <v>26.778642349234701</v>
      </c>
      <c r="J136" s="36">
        <v>7.9336212433676341</v>
      </c>
      <c r="K136" s="36">
        <v>0.40403824336763483</v>
      </c>
      <c r="L136" s="25"/>
      <c r="M136" s="26">
        <f t="shared" ref="M136" si="73">4*C136*(C136-E136)*Q136</f>
        <v>0.1818173973663367</v>
      </c>
      <c r="N136" s="27">
        <f t="shared" ref="N136" si="74">MP^2+2*MP*E136-M136</f>
        <v>-0.1818173973663367</v>
      </c>
      <c r="O136" s="28" t="e">
        <f t="shared" ref="O136" si="75">SQRT(N136)</f>
        <v>#NUM!</v>
      </c>
      <c r="P136" s="28">
        <f t="shared" ref="P136" si="76">PI()*D136/180</f>
        <v>1.0471975511965976</v>
      </c>
      <c r="Q136" s="28">
        <f t="shared" ref="Q136" si="77">(SIN(P136/2))^2</f>
        <v>0.24999999999999994</v>
      </c>
      <c r="R136" s="28">
        <f t="shared" ref="R136" si="78">1/(1+2*(1+E136^2/M136)*(TAN(P136/2))^2)</f>
        <v>0.59905492058407772</v>
      </c>
      <c r="S136" s="29" t="e">
        <f t="shared" ref="S136" si="79">(1/137)*(C136-E136)*(N136-MP^2)/((4*PI()^2*M136*MP*C136)*(1-R136))</f>
        <v>#DIV/0!</v>
      </c>
      <c r="T136" s="29" t="e">
        <f t="shared" ref="T136" si="80">F136/S136</f>
        <v>#DIV/0!</v>
      </c>
      <c r="U136" s="30" t="e">
        <f t="shared" ref="U136" si="81">G136/S136</f>
        <v>#DIV/0!</v>
      </c>
      <c r="V136" s="24">
        <f>4*(1/137)^2*(1-Q136)*(C136-E136)^2/M136^2</f>
        <v>8.2560966319969334E-4</v>
      </c>
      <c r="W136" s="24">
        <f t="shared" ref="W136" si="82">(1/V136)*R136*(M136+E136^2)^2/M136^2</f>
        <v>731.32578646063041</v>
      </c>
      <c r="X136" s="24">
        <f t="shared" ref="X136" si="83">(M136+E136^2)^2/(4*(1/137)^2*(C136-E136)^2*(1-Q136+2*Q136*(M136+E136^2)/M136))</f>
        <v>731.32578646063007</v>
      </c>
      <c r="Y136" s="24">
        <f t="shared" ref="Y136" si="84">AD136*X136*F136</f>
        <v>2044.9479334874986</v>
      </c>
      <c r="Z136" s="24">
        <f t="shared" ref="Z136" si="85">AD136*X136*G136</f>
        <v>104.14376304077831</v>
      </c>
      <c r="AA136" s="24">
        <f t="shared" ref="AA136" si="86">R136</f>
        <v>0.59905492058407772</v>
      </c>
      <c r="AB136" s="24">
        <f t="shared" ref="AB136:AC136" si="87">Y136/(0.1973269^2*10000000)</f>
        <v>5.2518180141934833E-3</v>
      </c>
      <c r="AC136" s="24">
        <f t="shared" si="87"/>
        <v>2.6746113279798114E-4</v>
      </c>
      <c r="AD136" s="24">
        <v>1</v>
      </c>
      <c r="AE136" s="24">
        <f t="shared" ref="AE136" si="88">SQRT(M136+E136^2)</f>
        <v>0.42724055642273118</v>
      </c>
      <c r="AF136" s="24"/>
      <c r="AG136" s="24"/>
      <c r="AH136" s="24"/>
    </row>
    <row r="137" spans="1:37" ht="16" x14ac:dyDescent="0.2">
      <c r="A137" s="12">
        <v>6</v>
      </c>
      <c r="B137" s="12">
        <v>12</v>
      </c>
      <c r="C137" s="13">
        <v>0.44</v>
      </c>
      <c r="D137" s="14">
        <v>60</v>
      </c>
      <c r="E137" s="13">
        <f>I137/1000</f>
        <v>3.1619088867595901E-2</v>
      </c>
      <c r="F137" s="18">
        <f>J137*$V137*MOUFAC</f>
        <v>2.9680251381961571</v>
      </c>
      <c r="G137" s="18">
        <f>K137*$V137*MOUFAC</f>
        <v>0.14240397919566547</v>
      </c>
      <c r="H137" s="24">
        <v>28</v>
      </c>
      <c r="I137" s="34">
        <v>31.619088867595899</v>
      </c>
      <c r="J137" s="36">
        <v>8.4210776126752762</v>
      </c>
      <c r="K137" s="36">
        <v>0.40403800686449554</v>
      </c>
      <c r="L137" s="25"/>
      <c r="M137" s="26">
        <f>4*C137*(C137-E137)*Q137</f>
        <v>0.17968760089825778</v>
      </c>
      <c r="N137" s="27">
        <f>MP^2+2*MP*E137-M137</f>
        <v>-0.17968760089825778</v>
      </c>
      <c r="O137" s="28" t="e">
        <f>SQRT(N137)</f>
        <v>#NUM!</v>
      </c>
      <c r="P137" s="28">
        <f>PI()*D137/180</f>
        <v>1.0471975511965976</v>
      </c>
      <c r="Q137" s="28">
        <f>(SIN(P137/2))^2</f>
        <v>0.24999999999999994</v>
      </c>
      <c r="R137" s="28">
        <f>1/(1+2*(1+E137^2/M137)*(TAN(P137/2))^2)</f>
        <v>0.5986676253640264</v>
      </c>
      <c r="S137" s="29" t="e">
        <f>(1/137)*(C137-E137)*(N137-MP^2)/((4*PI()^2*M137*MP*C137)*(1-R137))</f>
        <v>#DIV/0!</v>
      </c>
      <c r="T137" s="29" t="e">
        <f>F137/S137</f>
        <v>#DIV/0!</v>
      </c>
      <c r="U137" s="30" t="e">
        <f>G137/S137</f>
        <v>#DIV/0!</v>
      </c>
      <c r="V137" s="24">
        <f>4*(1/137)^2*(1-Q137)*(C137-E137)^2/M137^2</f>
        <v>8.2560966319969334E-4</v>
      </c>
      <c r="W137" s="24">
        <f>(1/V137)*R137*(M137+E137^2)^2/M137^2</f>
        <v>733.21335563151683</v>
      </c>
      <c r="X137" s="24">
        <f>(M137+E137^2)^2/(4*(1/137)^2*(C137-E137)^2*(1-Q137+2*Q137*(M137+E137^2)/M137))</f>
        <v>733.21335563151683</v>
      </c>
      <c r="Y137" s="24">
        <f>AD137*X137*F137</f>
        <v>2176.195671175501</v>
      </c>
      <c r="Z137" s="24">
        <f>AD137*X137*G137</f>
        <v>104.41249944133459</v>
      </c>
      <c r="AA137" s="24">
        <f>R137</f>
        <v>0.5986676253640264</v>
      </c>
      <c r="AB137" s="24">
        <f>Y137/(0.1973269^2*10000000)</f>
        <v>5.5888873458006033E-3</v>
      </c>
      <c r="AC137" s="24">
        <f>Z137/(0.1973269^2*10000000)</f>
        <v>2.6815129935254183E-4</v>
      </c>
      <c r="AD137" s="24">
        <v>1</v>
      </c>
      <c r="AE137" s="24">
        <f>SQRT(M137+E137^2)</f>
        <v>0.4250733674074097</v>
      </c>
      <c r="AF137" s="24"/>
      <c r="AG137" s="24"/>
      <c r="AH137" s="24"/>
      <c r="AI137" s="15"/>
      <c r="AJ137" s="15"/>
      <c r="AK137" s="15"/>
    </row>
    <row r="138" spans="1:37" ht="16" x14ac:dyDescent="0.2">
      <c r="A138" s="12">
        <v>6</v>
      </c>
      <c r="B138" s="12">
        <v>12</v>
      </c>
      <c r="C138" s="13">
        <v>0.44</v>
      </c>
      <c r="D138" s="14">
        <v>60</v>
      </c>
      <c r="E138" s="13">
        <f>I138/1000</f>
        <v>3.6891161891087695E-2</v>
      </c>
      <c r="F138" s="18">
        <f>J138*$V138*MOUFAC</f>
        <v>3.4247216001099985</v>
      </c>
      <c r="G138" s="18">
        <f>K138*$V138*MOUFAC</f>
        <v>0.14240397919565481</v>
      </c>
      <c r="H138" s="24">
        <v>28</v>
      </c>
      <c r="I138" s="34">
        <v>36.891161891087698</v>
      </c>
      <c r="J138" s="36">
        <v>9.7168470796239355</v>
      </c>
      <c r="K138" s="36">
        <v>0.40403800686446534</v>
      </c>
      <c r="L138" s="25"/>
      <c r="M138" s="26">
        <f>4*C138*(C138-E138)*Q138</f>
        <v>0.17736788876792139</v>
      </c>
      <c r="N138" s="27">
        <f>MP^2+2*MP*E138-M138</f>
        <v>-0.17736788876792139</v>
      </c>
      <c r="O138" s="28" t="e">
        <f>SQRT(N138)</f>
        <v>#NUM!</v>
      </c>
      <c r="P138" s="28">
        <f>PI()*D138/180</f>
        <v>1.0471975511965976</v>
      </c>
      <c r="Q138" s="28">
        <f>(SIN(P138/2))^2</f>
        <v>0.24999999999999994</v>
      </c>
      <c r="R138" s="28">
        <f>1/(1+2*(1+E138^2/M138)*(TAN(P138/2))^2)</f>
        <v>0.59816409585085417</v>
      </c>
      <c r="S138" s="29" t="e">
        <f>(1/137)*(C138-E138)*(N138-MP^2)/((4*PI()^2*M138*MP*C138)*(1-R138))</f>
        <v>#DIV/0!</v>
      </c>
      <c r="T138" s="29" t="e">
        <f>F138/S138</f>
        <v>#DIV/0!</v>
      </c>
      <c r="U138" s="30" t="e">
        <f>G138/S138</f>
        <v>#DIV/0!</v>
      </c>
      <c r="V138" s="24">
        <f>4*(1/137)^2*(1-Q138)*(C138-E138)^2/M138^2</f>
        <v>8.2560966319969334E-4</v>
      </c>
      <c r="W138" s="24">
        <f>(1/V138)*R138*(M138+E138^2)^2/M138^2</f>
        <v>735.67311680518321</v>
      </c>
      <c r="X138" s="24">
        <f>(M138+E138^2)^2/(4*(1/137)^2*(C138-E138)^2*(1-Q138+2*Q138*(M138+E138^2)/M138))</f>
        <v>735.6731168051831</v>
      </c>
      <c r="Y138" s="24">
        <f>AD138*X138*F138</f>
        <v>2519.4756137429563</v>
      </c>
      <c r="Z138" s="24">
        <f>AD138*X138*G138</f>
        <v>104.76277922032783</v>
      </c>
      <c r="AA138" s="24">
        <f>R138</f>
        <v>0.59816409585085417</v>
      </c>
      <c r="AB138" s="24">
        <f>Y138/(0.1973269^2*10000000)</f>
        <v>6.4704959954704541E-3</v>
      </c>
      <c r="AC138" s="24">
        <f>Z138/(0.1973269^2*10000000)</f>
        <v>2.6905088492301015E-4</v>
      </c>
      <c r="AD138" s="24">
        <v>1</v>
      </c>
      <c r="AE138" s="24">
        <f>SQRT(M138+E138^2)</f>
        <v>0.4227633458491829</v>
      </c>
      <c r="AF138" s="24"/>
      <c r="AG138" s="24"/>
      <c r="AH138" s="24"/>
      <c r="AI138" s="15"/>
      <c r="AJ138" s="15"/>
      <c r="AK138" s="15"/>
    </row>
    <row r="139" spans="1:37" ht="16" x14ac:dyDescent="0.2">
      <c r="A139" s="12">
        <v>6</v>
      </c>
      <c r="B139" s="12">
        <v>12</v>
      </c>
      <c r="C139" s="13">
        <v>0.44</v>
      </c>
      <c r="D139" s="14">
        <v>60</v>
      </c>
      <c r="E139" s="13">
        <f>I139/1000</f>
        <v>4.1275063260723104E-2</v>
      </c>
      <c r="F139" s="18">
        <f>J139*$V139*MOUFAC</f>
        <v>4.0948567427360487</v>
      </c>
      <c r="G139" s="18">
        <f>K139*$V139*MOUFAC</f>
        <v>0.15664437711523374</v>
      </c>
      <c r="H139" s="24">
        <v>28</v>
      </c>
      <c r="I139" s="34">
        <v>41.275063260723101</v>
      </c>
      <c r="J139" s="36">
        <v>11.618198916038949</v>
      </c>
      <c r="K139" s="36">
        <v>0.44444180755094997</v>
      </c>
      <c r="L139" s="25"/>
      <c r="M139" s="26">
        <f>4*C139*(C139-E139)*Q139</f>
        <v>0.17543897216528181</v>
      </c>
      <c r="N139" s="27">
        <f>MP^2+2*MP*E139-M139</f>
        <v>-0.17543897216528181</v>
      </c>
      <c r="O139" s="28" t="e">
        <f>SQRT(N139)</f>
        <v>#NUM!</v>
      </c>
      <c r="P139" s="28">
        <f>PI()*D139/180</f>
        <v>1.0471975511965976</v>
      </c>
      <c r="Q139" s="28">
        <f>(SIN(P139/2))^2</f>
        <v>0.24999999999999994</v>
      </c>
      <c r="R139" s="28">
        <f>1/(1+2*(1+E139^2/M139)*(TAN(P139/2))^2)</f>
        <v>0.59767845549729104</v>
      </c>
      <c r="S139" s="29" t="e">
        <f>(1/137)*(C139-E139)*(N139-MP^2)/((4*PI()^2*M139*MP*C139)*(1-R139))</f>
        <v>#DIV/0!</v>
      </c>
      <c r="T139" s="29" t="e">
        <f>F139/S139</f>
        <v>#DIV/0!</v>
      </c>
      <c r="U139" s="30" t="e">
        <f>G139/S139</f>
        <v>#DIV/0!</v>
      </c>
      <c r="V139" s="24">
        <f>4*(1/137)^2*(1-Q139)*(C139-E139)^2/M139^2</f>
        <v>8.2560966319969323E-4</v>
      </c>
      <c r="W139" s="24">
        <f>(1/V139)*R139*(M139+E139^2)^2/M139^2</f>
        <v>738.05160547650416</v>
      </c>
      <c r="X139" s="24">
        <f>(M139+E139^2)^2/(4*(1/137)^2*(C139-E139)^2*(1-Q139+2*Q139*(M139+E139^2)/M139))</f>
        <v>738.05160547650394</v>
      </c>
      <c r="Y139" s="24">
        <f>AD139*X139*F139</f>
        <v>3022.2155931726284</v>
      </c>
      <c r="Z139" s="24">
        <f>AD139*X139*G139</f>
        <v>115.6116340187652</v>
      </c>
      <c r="AA139" s="24">
        <f>R139</f>
        <v>0.59767845549729104</v>
      </c>
      <c r="AB139" s="24">
        <f>Y139/(0.1973269^2*10000000)</f>
        <v>7.7616285652475194E-3</v>
      </c>
      <c r="AC139" s="24">
        <f>Z139/(0.1973269^2*10000000)</f>
        <v>2.9691282220306321E-4</v>
      </c>
      <c r="AD139" s="24">
        <v>1</v>
      </c>
      <c r="AE139" s="24">
        <f>SQRT(M139+E139^2)</f>
        <v>0.42088312274604039</v>
      </c>
      <c r="AF139" s="24"/>
      <c r="AG139" s="24"/>
      <c r="AH139" s="24"/>
      <c r="AI139" s="15"/>
      <c r="AJ139" s="15"/>
      <c r="AK139" s="15"/>
    </row>
    <row r="140" spans="1:37" ht="16" x14ac:dyDescent="0.2">
      <c r="A140" s="12">
        <v>6</v>
      </c>
      <c r="B140" s="12">
        <v>12</v>
      </c>
      <c r="C140" s="13">
        <v>0.44</v>
      </c>
      <c r="D140" s="14">
        <v>60</v>
      </c>
      <c r="E140" s="13">
        <f>I140/1000</f>
        <v>4.6543576477987E-2</v>
      </c>
      <c r="F140" s="18">
        <f>J140*$V140*MOUFAC</f>
        <v>4.6797167859260069</v>
      </c>
      <c r="G140" s="18">
        <f>K140*$V140*MOUFAC</f>
        <v>0.14240397919566708</v>
      </c>
      <c r="H140" s="24">
        <v>28</v>
      </c>
      <c r="I140" s="34">
        <v>46.543576477987003</v>
      </c>
      <c r="J140" s="36">
        <v>13.277602589165699</v>
      </c>
      <c r="K140" s="36">
        <v>0.40403800686449998</v>
      </c>
      <c r="L140" s="25"/>
      <c r="M140" s="26">
        <f>4*C140*(C140-E140)*Q140</f>
        <v>0.17312082634968567</v>
      </c>
      <c r="N140" s="27">
        <f>MP^2+2*MP*E140-M140</f>
        <v>-0.17312082634968567</v>
      </c>
      <c r="O140" s="28" t="e">
        <f>SQRT(N140)</f>
        <v>#NUM!</v>
      </c>
      <c r="P140" s="28">
        <f>PI()*D140/180</f>
        <v>1.0471975511965976</v>
      </c>
      <c r="Q140" s="28">
        <f>(SIN(P140/2))^2</f>
        <v>0.24999999999999994</v>
      </c>
      <c r="R140" s="28">
        <f>1/(1+2*(1+E140^2/M140)*(TAN(P140/2))^2)</f>
        <v>0.5970117764984495</v>
      </c>
      <c r="S140" s="29" t="e">
        <f>(1/137)*(C140-E140)*(N140-MP^2)/((4*PI()^2*M140*MP*C140)*(1-R140))</f>
        <v>#DIV/0!</v>
      </c>
      <c r="T140" s="29" t="e">
        <f>F140/S140</f>
        <v>#DIV/0!</v>
      </c>
      <c r="U140" s="30" t="e">
        <f>G140/S140</f>
        <v>#DIV/0!</v>
      </c>
      <c r="V140" s="24">
        <f>4*(1/137)^2*(1-Q140)*(C140-E140)^2/M140^2</f>
        <v>8.2560966319969356E-4</v>
      </c>
      <c r="W140" s="24">
        <f>(1/V140)*R140*(M140+E140^2)^2/M140^2</f>
        <v>741.32656419959619</v>
      </c>
      <c r="X140" s="24">
        <f>(M140+E140^2)^2/(4*(1/137)^2*(C140-E140)^2*(1-Q140+2*Q140*(M140+E140^2)/M140))</f>
        <v>741.32656419959619</v>
      </c>
      <c r="Y140" s="24">
        <f>AD140*X140*F140</f>
        <v>3469.1983663377041</v>
      </c>
      <c r="Z140" s="24">
        <f>AD140*X140*G140</f>
        <v>105.56785262547466</v>
      </c>
      <c r="AA140" s="24">
        <f>R140</f>
        <v>0.5970117764984495</v>
      </c>
      <c r="AB140" s="24">
        <f>Y140/(0.1973269^2*10000000)</f>
        <v>8.9095659487382923E-3</v>
      </c>
      <c r="AC140" s="24">
        <f>Z140/(0.1973269^2*10000000)</f>
        <v>2.711184676436555E-4</v>
      </c>
      <c r="AD140" s="24">
        <v>1</v>
      </c>
      <c r="AE140" s="24">
        <f>SQRT(M140+E140^2)</f>
        <v>0.41867305963131651</v>
      </c>
      <c r="AF140" s="24"/>
      <c r="AG140" s="24"/>
      <c r="AH140" s="24"/>
      <c r="AI140" s="15"/>
      <c r="AJ140" s="15"/>
      <c r="AK140" s="15"/>
    </row>
    <row r="141" spans="1:37" ht="16" x14ac:dyDescent="0.2">
      <c r="A141" s="12">
        <v>6</v>
      </c>
      <c r="B141" s="12">
        <v>12</v>
      </c>
      <c r="C141" s="13">
        <v>0.44</v>
      </c>
      <c r="D141" s="14">
        <v>60</v>
      </c>
      <c r="E141" s="13">
        <f>I141/1000</f>
        <v>5.1363554110537897E-2</v>
      </c>
      <c r="F141" s="18">
        <f>J141*$V141*MOUFAC</f>
        <v>5.4923395517883664</v>
      </c>
      <c r="G141" s="18">
        <f>K141*$V141*MOUFAC</f>
        <v>0.15664437711521592</v>
      </c>
      <c r="H141" s="24">
        <v>28</v>
      </c>
      <c r="I141" s="34">
        <v>51.363554110537898</v>
      </c>
      <c r="J141" s="36">
        <v>15.583229752860401</v>
      </c>
      <c r="K141" s="36">
        <v>0.44444180755089935</v>
      </c>
      <c r="L141" s="25"/>
      <c r="M141" s="26">
        <f>4*C141*(C141-E141)*Q141</f>
        <v>0.17100003619136331</v>
      </c>
      <c r="N141" s="27">
        <f>MP^2+2*MP*E141-M141</f>
        <v>-0.17100003619136331</v>
      </c>
      <c r="O141" s="28" t="e">
        <f>SQRT(N141)</f>
        <v>#NUM!</v>
      </c>
      <c r="P141" s="28">
        <f>PI()*D141/180</f>
        <v>1.0471975511965976</v>
      </c>
      <c r="Q141" s="28">
        <f>(SIN(P141/2))^2</f>
        <v>0.24999999999999994</v>
      </c>
      <c r="R141" s="28">
        <f>1/(1+2*(1+E141^2/M141)*(TAN(P141/2))^2)</f>
        <v>0.59631995384857273</v>
      </c>
      <c r="S141" s="29" t="e">
        <f>(1/137)*(C141-E141)*(N141-MP^2)/((4*PI()^2*M141*MP*C141)*(1-R141))</f>
        <v>#DIV/0!</v>
      </c>
      <c r="T141" s="29" t="e">
        <f>F141/S141</f>
        <v>#DIV/0!</v>
      </c>
      <c r="U141" s="30" t="e">
        <f>G141/S141</f>
        <v>#DIV/0!</v>
      </c>
      <c r="V141" s="24">
        <f>4*(1/137)^2*(1-Q141)*(C141-E141)^2/M141^2</f>
        <v>8.2560966319969345E-4</v>
      </c>
      <c r="W141" s="24">
        <f>(1/V141)*R141*(M141+E141^2)^2/M141^2</f>
        <v>744.73707467136046</v>
      </c>
      <c r="X141" s="24">
        <f>(M141+E141^2)^2/(4*(1/137)^2*(C141-E141)^2*(1-Q141+2*Q141*(M141+E141^2)/M141))</f>
        <v>744.73707467136035</v>
      </c>
      <c r="Y141" s="24">
        <f>AD141*X141*F141</f>
        <v>4090.3488909006783</v>
      </c>
      <c r="Z141" s="24">
        <f>AD141*X141*G141</f>
        <v>116.65887517650329</v>
      </c>
      <c r="AA141" s="24">
        <f>R141</f>
        <v>0.59631995384857273</v>
      </c>
      <c r="AB141" s="24">
        <f>Y141/(0.1973269^2*10000000)</f>
        <v>1.0504799480607334E-2</v>
      </c>
      <c r="AC141" s="24">
        <f>Z141/(0.1973269^2*10000000)</f>
        <v>2.9960233810092475E-4</v>
      </c>
      <c r="AD141" s="24">
        <v>1</v>
      </c>
      <c r="AE141" s="24">
        <f>SQRT(M141+E141^2)</f>
        <v>0.41669923311932006</v>
      </c>
      <c r="AF141" s="24"/>
      <c r="AG141" s="24"/>
      <c r="AH141" s="24"/>
      <c r="AI141" s="15"/>
      <c r="AJ141" s="15"/>
      <c r="AK141" s="15"/>
    </row>
    <row r="142" spans="1:37" ht="16" x14ac:dyDescent="0.2">
      <c r="A142" s="12">
        <v>6</v>
      </c>
      <c r="B142" s="12">
        <v>12</v>
      </c>
      <c r="C142" s="13">
        <v>0.44</v>
      </c>
      <c r="D142" s="14">
        <v>60</v>
      </c>
      <c r="E142" s="13">
        <f>I142/1000</f>
        <v>5.6628507521573904E-2</v>
      </c>
      <c r="F142" s="18">
        <f>J142*$V142*MOUFAC</f>
        <v>6.1626419824957033</v>
      </c>
      <c r="G142" s="18">
        <f>K142*$V142*MOUFAC</f>
        <v>0.17088477503480043</v>
      </c>
      <c r="H142" s="24">
        <v>28</v>
      </c>
      <c r="I142" s="34">
        <v>56.628507521573901</v>
      </c>
      <c r="J142" s="36">
        <v>17.485056230105801</v>
      </c>
      <c r="K142" s="36">
        <v>0.48484560823739997</v>
      </c>
      <c r="L142" s="25"/>
      <c r="M142" s="26">
        <f>4*C142*(C142-E142)*Q142</f>
        <v>0.16868345669050747</v>
      </c>
      <c r="N142" s="27">
        <f>MP^2+2*MP*E142-M142</f>
        <v>-0.16868345669050747</v>
      </c>
      <c r="O142" s="28" t="e">
        <f>SQRT(N142)</f>
        <v>#NUM!</v>
      </c>
      <c r="P142" s="28">
        <f>PI()*D142/180</f>
        <v>1.0471975511965976</v>
      </c>
      <c r="Q142" s="28">
        <f>(SIN(P142/2))^2</f>
        <v>0.24999999999999994</v>
      </c>
      <c r="R142" s="28">
        <f>1/(1+2*(1+E142^2/M142)*(TAN(P142/2))^2)</f>
        <v>0.59547186902502625</v>
      </c>
      <c r="S142" s="29" t="e">
        <f>(1/137)*(C142-E142)*(N142-MP^2)/((4*PI()^2*M142*MP*C142)*(1-R142))</f>
        <v>#DIV/0!</v>
      </c>
      <c r="T142" s="29" t="e">
        <f>F142/S142</f>
        <v>#DIV/0!</v>
      </c>
      <c r="U142" s="30" t="e">
        <f>G142/S142</f>
        <v>#DIV/0!</v>
      </c>
      <c r="V142" s="24">
        <f>4*(1/137)^2*(1-Q142)*(C142-E142)^2/M142^2</f>
        <v>8.2560966319969323E-4</v>
      </c>
      <c r="W142" s="24">
        <f>(1/V142)*R142*(M142+E142^2)^2/M142^2</f>
        <v>748.93470683156568</v>
      </c>
      <c r="X142" s="24">
        <f>(M142+E142^2)^2/(4*(1/137)^2*(C142-E142)^2*(1-Q142+2*Q142*(M142+E142^2)/M142))</f>
        <v>748.93470683156534</v>
      </c>
      <c r="Y142" s="24">
        <f>AD142*X142*F142</f>
        <v>4615.4164664683158</v>
      </c>
      <c r="Z142" s="24">
        <f>AD142*X142*G142</f>
        <v>127.98153889266625</v>
      </c>
      <c r="AA142" s="24">
        <f>R142</f>
        <v>0.59547186902502625</v>
      </c>
      <c r="AB142" s="24">
        <f>Y142/(0.1973269^2*10000000)</f>
        <v>1.185327359424025E-2</v>
      </c>
      <c r="AC142" s="24">
        <f>Z142/(0.1973269^2*10000000)</f>
        <v>3.286811074423952E-4</v>
      </c>
      <c r="AD142" s="24">
        <v>1</v>
      </c>
      <c r="AE142" s="24">
        <f>SQRT(M142+E142^2)</f>
        <v>0.41459648401141613</v>
      </c>
      <c r="AF142" s="24"/>
      <c r="AG142" s="24"/>
      <c r="AH142" s="24"/>
      <c r="AI142" s="15"/>
      <c r="AJ142" s="15"/>
      <c r="AK142" s="15"/>
    </row>
    <row r="143" spans="1:37" ht="16" x14ac:dyDescent="0.2">
      <c r="A143" s="12">
        <v>6</v>
      </c>
      <c r="B143" s="12">
        <v>12</v>
      </c>
      <c r="C143" s="13">
        <v>0.44</v>
      </c>
      <c r="D143" s="14">
        <v>60</v>
      </c>
      <c r="E143" s="13">
        <f>I143/1000</f>
        <v>6.14467052510108E-2</v>
      </c>
      <c r="F143" s="18">
        <f>J143*$V143*MOUFAC</f>
        <v>7.0464667379559156</v>
      </c>
      <c r="G143" s="18">
        <f>K143*$V143*MOUFAC</f>
        <v>0.17088477503480048</v>
      </c>
      <c r="H143" s="24">
        <v>28</v>
      </c>
      <c r="I143" s="34">
        <v>61.446705251010798</v>
      </c>
      <c r="J143" s="36">
        <v>19.992702397232801</v>
      </c>
      <c r="K143" s="36">
        <v>0.48484560823739997</v>
      </c>
      <c r="L143" s="25"/>
      <c r="M143" s="26">
        <f>4*C143*(C143-E143)*Q143</f>
        <v>0.16656344968955522</v>
      </c>
      <c r="N143" s="27">
        <f>MP^2+2*MP*E143-M143</f>
        <v>-0.16656344968955522</v>
      </c>
      <c r="O143" s="28" t="e">
        <f>SQRT(N143)</f>
        <v>#NUM!</v>
      </c>
      <c r="P143" s="28">
        <f>PI()*D143/180</f>
        <v>1.0471975511965976</v>
      </c>
      <c r="Q143" s="28">
        <f>(SIN(P143/2))^2</f>
        <v>0.24999999999999994</v>
      </c>
      <c r="R143" s="28">
        <f>1/(1+2*(1+E143^2/M143)*(TAN(P143/2))^2)</f>
        <v>0.5946085124214926</v>
      </c>
      <c r="S143" s="29" t="e">
        <f>(1/137)*(C143-E143)*(N143-MP^2)/((4*PI()^2*M143*MP*C143)*(1-R143))</f>
        <v>#DIV/0!</v>
      </c>
      <c r="T143" s="29" t="e">
        <f>F143/S143</f>
        <v>#DIV/0!</v>
      </c>
      <c r="U143" s="30" t="e">
        <f>G143/S143</f>
        <v>#DIV/0!</v>
      </c>
      <c r="V143" s="24">
        <f>4*(1/137)^2*(1-Q143)*(C143-E143)^2/M143^2</f>
        <v>8.2560966319969345E-4</v>
      </c>
      <c r="W143" s="24">
        <f>(1/V143)*R143*(M143+E143^2)^2/M143^2</f>
        <v>753.22699897202642</v>
      </c>
      <c r="X143" s="24">
        <f>(M143+E143^2)^2/(4*(1/137)^2*(C143-E143)^2*(1-Q143+2*Q143*(M143+E143^2)/M143))</f>
        <v>753.22699897202631</v>
      </c>
      <c r="Y143" s="24">
        <f>AD143*X143*F143</f>
        <v>5307.5889943867378</v>
      </c>
      <c r="Z143" s="24">
        <f>AD143*X143*G143</f>
        <v>128.71502626947262</v>
      </c>
      <c r="AA143" s="24">
        <f>R143</f>
        <v>0.5946085124214926</v>
      </c>
      <c r="AB143" s="24">
        <f>Y143/(0.1973269^2*10000000)</f>
        <v>1.3630905235380531E-2</v>
      </c>
      <c r="AC143" s="24">
        <f>Z143/(0.1973269^2*10000000)</f>
        <v>3.3056484352956568E-4</v>
      </c>
      <c r="AD143" s="24">
        <v>1</v>
      </c>
      <c r="AE143" s="24">
        <f>SQRT(M143+E143^2)</f>
        <v>0.41272163412615026</v>
      </c>
      <c r="AF143" s="24"/>
      <c r="AG143" s="24"/>
      <c r="AH143" s="24"/>
      <c r="AI143" s="15"/>
      <c r="AJ143" s="15"/>
      <c r="AK143" s="15"/>
    </row>
    <row r="144" spans="1:37" ht="16" x14ac:dyDescent="0.2">
      <c r="A144" s="12">
        <v>6</v>
      </c>
      <c r="B144" s="12">
        <v>12</v>
      </c>
      <c r="C144" s="13">
        <v>0.44</v>
      </c>
      <c r="D144" s="14">
        <v>60</v>
      </c>
      <c r="E144" s="13">
        <f>I144/1000</f>
        <v>6.6713438565160696E-2</v>
      </c>
      <c r="F144" s="18">
        <f>J144*$V144*MOUFAC</f>
        <v>7.6740479749045694</v>
      </c>
      <c r="G144" s="18">
        <f>K144*$V144*MOUFAC</f>
        <v>0.17088477503480046</v>
      </c>
      <c r="H144" s="24">
        <v>28</v>
      </c>
      <c r="I144" s="34">
        <v>66.7134385651607</v>
      </c>
      <c r="J144" s="36">
        <v>21.773317472418899</v>
      </c>
      <c r="K144" s="36">
        <v>0.48484560823739997</v>
      </c>
      <c r="L144" s="25"/>
      <c r="M144" s="26">
        <f>4*C144*(C144-E144)*Q144</f>
        <v>0.16424608703132926</v>
      </c>
      <c r="N144" s="27">
        <f>MP^2+2*MP*E144-M144</f>
        <v>-0.16424608703132926</v>
      </c>
      <c r="O144" s="28" t="e">
        <f>SQRT(N144)</f>
        <v>#NUM!</v>
      </c>
      <c r="P144" s="28">
        <f>PI()*D144/180</f>
        <v>1.0471975511965976</v>
      </c>
      <c r="Q144" s="28">
        <f>(SIN(P144/2))^2</f>
        <v>0.24999999999999994</v>
      </c>
      <c r="R144" s="28">
        <f>1/(1+2*(1+E144^2/M144)*(TAN(P144/2))^2)</f>
        <v>0.59356629940419015</v>
      </c>
      <c r="S144" s="29" t="e">
        <f>(1/137)*(C144-E144)*(N144-MP^2)/((4*PI()^2*M144*MP*C144)*(1-R144))</f>
        <v>#DIV/0!</v>
      </c>
      <c r="T144" s="29" t="e">
        <f>F144/S144</f>
        <v>#DIV/0!</v>
      </c>
      <c r="U144" s="30" t="e">
        <f>G144/S144</f>
        <v>#DIV/0!</v>
      </c>
      <c r="V144" s="24">
        <f>4*(1/137)^2*(1-Q144)*(C144-E144)^2/M144^2</f>
        <v>8.2560966319969334E-4</v>
      </c>
      <c r="W144" s="24">
        <f>(1/V144)*R144*(M144+E144^2)^2/M144^2</f>
        <v>758.43425253109228</v>
      </c>
      <c r="X144" s="24">
        <f>(M144+E144^2)^2/(4*(1/137)^2*(C144-E144)^2*(1-Q144+2*Q144*(M144+E144^2)/M144))</f>
        <v>758.43425253109206</v>
      </c>
      <c r="Y144" s="24">
        <f>AD144*X144*F144</f>
        <v>5820.2608397344875</v>
      </c>
      <c r="Z144" s="24">
        <f>AD144*X144*G144</f>
        <v>129.60486662246271</v>
      </c>
      <c r="AA144" s="24">
        <f>R144</f>
        <v>0.59356629940419015</v>
      </c>
      <c r="AB144" s="24">
        <f>Y144/(0.1973269^2*10000000)</f>
        <v>1.4947544739338634E-2</v>
      </c>
      <c r="AC144" s="24">
        <f>Z144/(0.1973269^2*10000000)</f>
        <v>3.3285012400984654E-4</v>
      </c>
      <c r="AD144" s="24">
        <v>1</v>
      </c>
      <c r="AE144" s="24">
        <f>SQRT(M144+E144^2)</f>
        <v>0.4107271234244419</v>
      </c>
      <c r="AF144" s="24"/>
      <c r="AG144" s="24"/>
      <c r="AH144" s="24"/>
      <c r="AI144" s="15"/>
      <c r="AJ144" s="15"/>
      <c r="AK144" s="15"/>
    </row>
    <row r="145" spans="1:37" ht="16" x14ac:dyDescent="0.2">
      <c r="A145" s="12">
        <v>6</v>
      </c>
      <c r="B145" s="12">
        <v>12</v>
      </c>
      <c r="C145" s="13">
        <v>0.44</v>
      </c>
      <c r="D145" s="14">
        <v>60</v>
      </c>
      <c r="E145" s="13">
        <f>I145/1000</f>
        <v>7.1534306149268603E-2</v>
      </c>
      <c r="F145" s="18">
        <f>J145*$V145*MOUFAC</f>
        <v>8.4297509711089678</v>
      </c>
      <c r="G145" s="18">
        <f>K145*$V145*MOUFAC</f>
        <v>0.21356414677317698</v>
      </c>
      <c r="H145" s="24">
        <v>28</v>
      </c>
      <c r="I145" s="34">
        <v>71.534306149268602</v>
      </c>
      <c r="J145" s="36">
        <v>23.917448093575352</v>
      </c>
      <c r="K145" s="36">
        <v>0.60593835008914887</v>
      </c>
      <c r="L145" s="25"/>
      <c r="M145" s="26">
        <f>4*C145*(C145-E145)*Q145</f>
        <v>0.1621249052943218</v>
      </c>
      <c r="N145" s="27">
        <f>MP^2+2*MP*E145-M145</f>
        <v>-0.1621249052943218</v>
      </c>
      <c r="O145" s="28" t="e">
        <f>SQRT(N145)</f>
        <v>#NUM!</v>
      </c>
      <c r="P145" s="28">
        <f>PI()*D145/180</f>
        <v>1.0471975511965976</v>
      </c>
      <c r="Q145" s="28">
        <f>(SIN(P145/2))^2</f>
        <v>0.24999999999999994</v>
      </c>
      <c r="R145" s="28">
        <f>1/(1+2*(1+E145^2/M145)*(TAN(P145/2))^2)</f>
        <v>0.59251931264499125</v>
      </c>
      <c r="S145" s="29" t="e">
        <f>(1/137)*(C145-E145)*(N145-MP^2)/((4*PI()^2*M145*MP*C145)*(1-R145))</f>
        <v>#DIV/0!</v>
      </c>
      <c r="T145" s="29" t="e">
        <f>F145/S145</f>
        <v>#DIV/0!</v>
      </c>
      <c r="U145" s="30" t="e">
        <f>G145/S145</f>
        <v>#DIV/0!</v>
      </c>
      <c r="V145" s="24">
        <f>4*(1/137)^2*(1-Q145)*(C145-E145)^2/M145^2</f>
        <v>8.2560966319969334E-4</v>
      </c>
      <c r="W145" s="24">
        <f>(1/V145)*R145*(M145+E145^2)^2/M145^2</f>
        <v>763.69386266937408</v>
      </c>
      <c r="X145" s="24">
        <f>(M145+E145^2)^2/(4*(1/137)^2*(C145-E145)^2*(1-Q145+2*Q145*(M145+E145^2)/M145))</f>
        <v>763.69386266937397</v>
      </c>
      <c r="Y145" s="24">
        <f>AD145*X145*F145</f>
        <v>6437.7490804671143</v>
      </c>
      <c r="Z145" s="24">
        <f>AD145*X145*G145</f>
        <v>163.09762817689665</v>
      </c>
      <c r="AA145" s="24">
        <f>R145</f>
        <v>0.59251931264499125</v>
      </c>
      <c r="AB145" s="24">
        <f>Y145/(0.1973269^2*10000000)</f>
        <v>1.6533372824800781E-2</v>
      </c>
      <c r="AC145" s="24">
        <f>Z145/(0.1973269^2*10000000)</f>
        <v>4.1886595140388832E-4</v>
      </c>
      <c r="AD145" s="24">
        <v>1</v>
      </c>
      <c r="AE145" s="24">
        <f>SQRT(M145+E145^2)</f>
        <v>0.40895239606900347</v>
      </c>
      <c r="AF145" s="24"/>
      <c r="AG145" s="24"/>
      <c r="AH145" s="24"/>
      <c r="AI145" s="15"/>
      <c r="AJ145" s="15"/>
      <c r="AK145" s="15"/>
    </row>
    <row r="146" spans="1:37" ht="16" x14ac:dyDescent="0.2">
      <c r="A146" s="12">
        <v>6</v>
      </c>
      <c r="B146" s="12">
        <v>12</v>
      </c>
      <c r="C146" s="13">
        <v>0.44</v>
      </c>
      <c r="D146" s="14">
        <v>60</v>
      </c>
      <c r="E146" s="13">
        <f>I146/1000</f>
        <v>7.68037093180894E-2</v>
      </c>
      <c r="F146" s="18">
        <f>J146*$V146*MOUFAC</f>
        <v>8.9718479985198982</v>
      </c>
      <c r="G146" s="18">
        <f>K146*$V146*MOUFAC</f>
        <v>0.21360596879350055</v>
      </c>
      <c r="H146" s="24">
        <v>28</v>
      </c>
      <c r="I146" s="34">
        <v>76.803709318089403</v>
      </c>
      <c r="J146" s="36">
        <v>25.455521704435149</v>
      </c>
      <c r="K146" s="36">
        <v>0.60605701029674997</v>
      </c>
      <c r="L146" s="25"/>
      <c r="M146" s="26">
        <f>4*C146*(C146-E146)*Q146</f>
        <v>0.15980636790004066</v>
      </c>
      <c r="N146" s="27">
        <f>MP^2+2*MP*E146-M146</f>
        <v>-0.15980636790004066</v>
      </c>
      <c r="O146" s="28" t="e">
        <f>SQRT(N146)</f>
        <v>#NUM!</v>
      </c>
      <c r="P146" s="28">
        <f>PI()*D146/180</f>
        <v>1.0471975511965976</v>
      </c>
      <c r="Q146" s="28">
        <f>(SIN(P146/2))^2</f>
        <v>0.24999999999999994</v>
      </c>
      <c r="R146" s="28">
        <f>1/(1+2*(1+E146^2/M146)*(TAN(P146/2))^2)</f>
        <v>0.59126996233401896</v>
      </c>
      <c r="S146" s="29" t="e">
        <f>(1/137)*(C146-E146)*(N146-MP^2)/((4*PI()^2*M146*MP*C146)*(1-R146))</f>
        <v>#DIV/0!</v>
      </c>
      <c r="T146" s="29" t="e">
        <f>F146/S146</f>
        <v>#DIV/0!</v>
      </c>
      <c r="U146" s="30" t="e">
        <f>G146/S146</f>
        <v>#DIV/0!</v>
      </c>
      <c r="V146" s="24">
        <f>4*(1/137)^2*(1-Q146)*(C146-E146)^2/M146^2</f>
        <v>8.2560966319969323E-4</v>
      </c>
      <c r="W146" s="24">
        <f>(1/V146)*R146*(M146+E146^2)^2/M146^2</f>
        <v>770.00765851572839</v>
      </c>
      <c r="X146" s="24">
        <f>(M146+E146^2)^2/(4*(1/137)^2*(C146-E146)^2*(1-Q146+2*Q146*(M146+E146^2)/M146))</f>
        <v>770.00765851572828</v>
      </c>
      <c r="Y146" s="24">
        <f>AD146*X146*F146</f>
        <v>6908.3916698993298</v>
      </c>
      <c r="Z146" s="24">
        <f>AD146*X146*G146</f>
        <v>164.47823187566709</v>
      </c>
      <c r="AA146" s="24">
        <f>R146</f>
        <v>0.59126996233401896</v>
      </c>
      <c r="AB146" s="24">
        <f>Y146/(0.1973269^2*10000000)</f>
        <v>1.77420731486332E-2</v>
      </c>
      <c r="AC146" s="24">
        <f>Z146/(0.1973269^2*10000000)</f>
        <v>4.2241160616454491E-4</v>
      </c>
      <c r="AD146" s="24">
        <v>1</v>
      </c>
      <c r="AE146" s="24">
        <f>SQRT(M146+E146^2)</f>
        <v>0.40706900848020627</v>
      </c>
      <c r="AF146" s="24"/>
      <c r="AG146" s="24"/>
      <c r="AH146" s="24"/>
      <c r="AI146" s="15"/>
      <c r="AJ146" s="15"/>
      <c r="AK146" s="15"/>
    </row>
    <row r="147" spans="1:37" ht="16" x14ac:dyDescent="0.2">
      <c r="A147" s="12">
        <v>6</v>
      </c>
      <c r="B147" s="12">
        <v>12</v>
      </c>
      <c r="C147" s="13">
        <v>0.44</v>
      </c>
      <c r="D147" s="14">
        <v>60</v>
      </c>
      <c r="E147" s="13">
        <f>I147/1000</f>
        <v>8.1193840348623689E-2</v>
      </c>
      <c r="F147" s="18">
        <f>J147*$V147*MOUFAC</f>
        <v>9.4426175702720307</v>
      </c>
      <c r="G147" s="18">
        <f>K147*$V147*MOUFAC</f>
        <v>0.22784636671306729</v>
      </c>
      <c r="H147" s="24">
        <v>28</v>
      </c>
      <c r="I147" s="34">
        <v>81.193840348623695</v>
      </c>
      <c r="J147" s="36">
        <v>26.791220331239899</v>
      </c>
      <c r="K147" s="36">
        <v>0.64646081098319996</v>
      </c>
      <c r="L147" s="25"/>
      <c r="M147" s="26">
        <f>4*C147*(C147-E147)*Q147</f>
        <v>0.15787471024660554</v>
      </c>
      <c r="N147" s="27">
        <f>MP^2+2*MP*E147-M147</f>
        <v>-0.15787471024660554</v>
      </c>
      <c r="O147" s="28" t="e">
        <f>SQRT(N147)</f>
        <v>#NUM!</v>
      </c>
      <c r="P147" s="28">
        <f>PI()*D147/180</f>
        <v>1.0471975511965976</v>
      </c>
      <c r="Q147" s="28">
        <f>(SIN(P147/2))^2</f>
        <v>0.24999999999999994</v>
      </c>
      <c r="R147" s="28">
        <f>1/(1+2*(1+E147^2/M147)*(TAN(P147/2))^2)</f>
        <v>0.59014286393300819</v>
      </c>
      <c r="S147" s="29" t="e">
        <f>(1/137)*(C147-E147)*(N147-MP^2)/((4*PI()^2*M147*MP*C147)*(1-R147))</f>
        <v>#DIV/0!</v>
      </c>
      <c r="T147" s="29" t="e">
        <f>F147/S147</f>
        <v>#DIV/0!</v>
      </c>
      <c r="U147" s="30" t="e">
        <f>G147/S147</f>
        <v>#DIV/0!</v>
      </c>
      <c r="V147" s="24">
        <f>4*(1/137)^2*(1-Q147)*(C147-E147)^2/M147^2</f>
        <v>8.2560966319969345E-4</v>
      </c>
      <c r="W147" s="24">
        <f>(1/V147)*R147*(M147+E147^2)^2/M147^2</f>
        <v>775.73894069565972</v>
      </c>
      <c r="X147" s="24">
        <f>(M147+E147^2)^2/(4*(1/137)^2*(C147-E147)^2*(1-Q147+2*Q147*(M147+E147^2)/M147))</f>
        <v>775.73894069565972</v>
      </c>
      <c r="Y147" s="24">
        <f>AD147*X147*F147</f>
        <v>7325.006151357049</v>
      </c>
      <c r="Z147" s="24">
        <f>AD147*X147*G147</f>
        <v>176.74929915534966</v>
      </c>
      <c r="AA147" s="24">
        <f>R147</f>
        <v>0.59014286393300819</v>
      </c>
      <c r="AB147" s="24">
        <f>Y147/(0.1973269^2*10000000)</f>
        <v>1.881201894180657E-2</v>
      </c>
      <c r="AC147" s="24">
        <f>Z147/(0.1973269^2*10000000)</f>
        <v>4.5392605752904029E-4</v>
      </c>
      <c r="AD147" s="24">
        <v>1</v>
      </c>
      <c r="AE147" s="24">
        <f>SQRT(M147+E147^2)</f>
        <v>0.40554549677830642</v>
      </c>
      <c r="AF147" s="24"/>
      <c r="AG147" s="24"/>
      <c r="AH147" s="24"/>
      <c r="AI147" s="15"/>
      <c r="AJ147" s="15"/>
      <c r="AK147" s="15"/>
    </row>
    <row r="148" spans="1:37" ht="16" x14ac:dyDescent="0.2">
      <c r="A148" s="12">
        <v>6</v>
      </c>
      <c r="B148" s="12">
        <v>12</v>
      </c>
      <c r="C148" s="13">
        <v>0.44</v>
      </c>
      <c r="D148" s="14">
        <v>60</v>
      </c>
      <c r="E148" s="13">
        <f>I148/1000</f>
        <v>8.6911779102157499E-2</v>
      </c>
      <c r="F148" s="18">
        <f>J148*$V148*MOUFAC</f>
        <v>9.6715094874931449</v>
      </c>
      <c r="G148" s="18">
        <f>K148*$V148*MOUFAC</f>
        <v>0.28484978041165709</v>
      </c>
      <c r="H148" s="24">
        <v>28</v>
      </c>
      <c r="I148" s="34">
        <v>86.911779102157496</v>
      </c>
      <c r="J148" s="36">
        <v>27.440647647413002</v>
      </c>
      <c r="K148" s="36">
        <v>0.80819467393659927</v>
      </c>
      <c r="L148" s="25"/>
      <c r="M148" s="26">
        <f>4*C148*(C148-E148)*Q148</f>
        <v>0.15535881719505068</v>
      </c>
      <c r="N148" s="27">
        <f>MP^2+2*MP*E148-M148</f>
        <v>-0.15535881719505068</v>
      </c>
      <c r="O148" s="28" t="e">
        <f>SQRT(N148)</f>
        <v>#NUM!</v>
      </c>
      <c r="P148" s="28">
        <f>PI()*D148/180</f>
        <v>1.0471975511965976</v>
      </c>
      <c r="Q148" s="28">
        <f>(SIN(P148/2))^2</f>
        <v>0.24999999999999994</v>
      </c>
      <c r="R148" s="28">
        <f>1/(1+2*(1+E148^2/M148)*(TAN(P148/2))^2)</f>
        <v>0.58855363962181539</v>
      </c>
      <c r="S148" s="29" t="e">
        <f>(1/137)*(C148-E148)*(N148-MP^2)/((4*PI()^2*M148*MP*C148)*(1-R148))</f>
        <v>#DIV/0!</v>
      </c>
      <c r="T148" s="29" t="e">
        <f>F148/S148</f>
        <v>#DIV/0!</v>
      </c>
      <c r="U148" s="30" t="e">
        <f>G148/S148</f>
        <v>#DIV/0!</v>
      </c>
      <c r="V148" s="24">
        <f>4*(1/137)^2*(1-Q148)*(C148-E148)^2/M148^2</f>
        <v>8.2560966319969356E-4</v>
      </c>
      <c r="W148" s="24">
        <f>(1/V148)*R148*(M148+E148^2)^2/M148^2</f>
        <v>783.87741329779726</v>
      </c>
      <c r="X148" s="24">
        <f>(M148+E148^2)^2/(4*(1/137)^2*(C148-E148)^2*(1-Q148+2*Q148*(M148+E148^2)/M148))</f>
        <v>783.87741329779737</v>
      </c>
      <c r="Y148" s="24">
        <f>AD148*X148*F148</f>
        <v>7581.2778397412321</v>
      </c>
      <c r="Z148" s="24">
        <f>AD148*X148*G148</f>
        <v>223.28730904753536</v>
      </c>
      <c r="AA148" s="24">
        <f>R148</f>
        <v>0.58855363962181539</v>
      </c>
      <c r="AB148" s="24">
        <f>Y148/(0.1973269^2*10000000)</f>
        <v>1.9470173727825262E-2</v>
      </c>
      <c r="AC148" s="24">
        <f>Z148/(0.1973269^2*10000000)</f>
        <v>5.7344458154332889E-4</v>
      </c>
      <c r="AD148" s="24">
        <v>1</v>
      </c>
      <c r="AE148" s="24">
        <f>SQRT(M148+E148^2)</f>
        <v>0.40362417487280527</v>
      </c>
      <c r="AF148" s="24"/>
      <c r="AG148" s="24"/>
      <c r="AH148" s="24"/>
      <c r="AI148" s="15"/>
      <c r="AJ148" s="15"/>
      <c r="AK148" s="15"/>
    </row>
    <row r="149" spans="1:37" ht="16" x14ac:dyDescent="0.2">
      <c r="A149" s="12">
        <v>6</v>
      </c>
      <c r="B149" s="12">
        <v>12</v>
      </c>
      <c r="C149" s="13">
        <v>0.44</v>
      </c>
      <c r="D149" s="14">
        <v>60</v>
      </c>
      <c r="E149" s="13">
        <f>I149/1000</f>
        <v>9.1302800084248709E-2</v>
      </c>
      <c r="F149" s="18">
        <f>J149*$V149*MOUFAC</f>
        <v>10.213564692883752</v>
      </c>
      <c r="G149" s="18">
        <f>K149*$V149*MOUFAC</f>
        <v>0.19932374885361095</v>
      </c>
      <c r="H149" s="24">
        <v>28</v>
      </c>
      <c r="I149" s="34">
        <v>91.302800084248702</v>
      </c>
      <c r="J149" s="36">
        <v>28.978602598065201</v>
      </c>
      <c r="K149" s="36">
        <v>0.56553454940270065</v>
      </c>
      <c r="L149" s="25"/>
      <c r="M149" s="26">
        <f>4*C149*(C149-E149)*Q149</f>
        <v>0.15342676796293056</v>
      </c>
      <c r="N149" s="27">
        <f>MP^2+2*MP*E149-M149</f>
        <v>-0.15342676796293056</v>
      </c>
      <c r="O149" s="28" t="e">
        <f>SQRT(N149)</f>
        <v>#NUM!</v>
      </c>
      <c r="P149" s="28">
        <f>PI()*D149/180</f>
        <v>1.0471975511965976</v>
      </c>
      <c r="Q149" s="28">
        <f>(SIN(P149/2))^2</f>
        <v>0.24999999999999994</v>
      </c>
      <c r="R149" s="28">
        <f>1/(1+2*(1+E149^2/M149)*(TAN(P149/2))^2)</f>
        <v>0.5872373540519793</v>
      </c>
      <c r="S149" s="29" t="e">
        <f>(1/137)*(C149-E149)*(N149-MP^2)/((4*PI()^2*M149*MP*C149)*(1-R149))</f>
        <v>#DIV/0!</v>
      </c>
      <c r="T149" s="29" t="e">
        <f>F149/S149</f>
        <v>#DIV/0!</v>
      </c>
      <c r="U149" s="30" t="e">
        <f>G149/S149</f>
        <v>#DIV/0!</v>
      </c>
      <c r="V149" s="24">
        <f>4*(1/137)^2*(1-Q149)*(C149-E149)^2/M149^2</f>
        <v>8.2560966319969345E-4</v>
      </c>
      <c r="W149" s="24">
        <f>(1/V149)*R149*(M149+E149^2)^2/M149^2</f>
        <v>790.66925746360391</v>
      </c>
      <c r="X149" s="24">
        <f>(M149+E149^2)^2/(4*(1/137)^2*(C149-E149)^2*(1-Q149+2*Q149*(M149+E149^2)/M149))</f>
        <v>790.66925746360369</v>
      </c>
      <c r="Y149" s="24">
        <f>AD149*X149*F149</f>
        <v>8075.5516117788757</v>
      </c>
      <c r="Z149" s="24">
        <f>AD149*X149*G149</f>
        <v>157.5991605009464</v>
      </c>
      <c r="AA149" s="24">
        <f>R149</f>
        <v>0.5872373540519793</v>
      </c>
      <c r="AB149" s="24">
        <f>Y149/(0.1973269^2*10000000)</f>
        <v>2.0739563455271118E-2</v>
      </c>
      <c r="AC149" s="24">
        <f>Z149/(0.1973269^2*10000000)</f>
        <v>4.0474483315039385E-4</v>
      </c>
      <c r="AD149" s="24">
        <v>1</v>
      </c>
      <c r="AE149" s="24">
        <f>SQRT(M149+E149^2)</f>
        <v>0.40219767436691484</v>
      </c>
      <c r="AF149" s="24"/>
      <c r="AG149" s="24"/>
      <c r="AH149" s="24"/>
      <c r="AI149" s="15"/>
      <c r="AJ149" s="15"/>
      <c r="AK149" s="15"/>
    </row>
    <row r="150" spans="1:37" ht="16" x14ac:dyDescent="0.2">
      <c r="A150" s="12">
        <v>6</v>
      </c>
      <c r="B150" s="12">
        <v>12</v>
      </c>
      <c r="C150" s="13">
        <v>0.44</v>
      </c>
      <c r="D150" s="14">
        <v>60</v>
      </c>
      <c r="E150" s="13">
        <f>I150/1000</f>
        <v>9.7023408692453503E-2</v>
      </c>
      <c r="F150" s="18">
        <f>J150*$V150*MOUFAC</f>
        <v>10.371212798486706</v>
      </c>
      <c r="G150" s="18">
        <f>K150*$V150*MOUFAC</f>
        <v>0.24212858665295756</v>
      </c>
      <c r="H150" s="24">
        <v>28</v>
      </c>
      <c r="I150" s="34">
        <v>97.023408692453501</v>
      </c>
      <c r="J150" s="36">
        <v>29.425892250598451</v>
      </c>
      <c r="K150" s="36">
        <v>0.68698327187725106</v>
      </c>
      <c r="L150" s="25"/>
      <c r="M150" s="26">
        <f>4*C150*(C150-E150)*Q150</f>
        <v>0.15090970017532043</v>
      </c>
      <c r="N150" s="27">
        <f>MP^2+2*MP*E150-M150</f>
        <v>-0.15090970017532043</v>
      </c>
      <c r="O150" s="28" t="e">
        <f>SQRT(N150)</f>
        <v>#NUM!</v>
      </c>
      <c r="P150" s="28">
        <f>PI()*D150/180</f>
        <v>1.0471975511965976</v>
      </c>
      <c r="Q150" s="28">
        <f>(SIN(P150/2))^2</f>
        <v>0.24999999999999994</v>
      </c>
      <c r="R150" s="28">
        <f>1/(1+2*(1+E150^2/M150)*(TAN(P150/2))^2)</f>
        <v>0.58539357793690083</v>
      </c>
      <c r="S150" s="29" t="e">
        <f>(1/137)*(C150-E150)*(N150-MP^2)/((4*PI()^2*M150*MP*C150)*(1-R150))</f>
        <v>#DIV/0!</v>
      </c>
      <c r="T150" s="29" t="e">
        <f>F150/S150</f>
        <v>#DIV/0!</v>
      </c>
      <c r="U150" s="30" t="e">
        <f>G150/S150</f>
        <v>#DIV/0!</v>
      </c>
      <c r="V150" s="24">
        <f>4*(1/137)^2*(1-Q150)*(C150-E150)^2/M150^2</f>
        <v>8.2560966319969334E-4</v>
      </c>
      <c r="W150" s="24">
        <f>(1/V150)*R150*(M150+E150^2)^2/M150^2</f>
        <v>800.26135782441747</v>
      </c>
      <c r="X150" s="24">
        <f>(M150+E150^2)^2/(4*(1/137)^2*(C150-E150)^2*(1-Q150+2*Q150*(M150+E150^2)/M150))</f>
        <v>800.26135782441736</v>
      </c>
      <c r="Y150" s="24">
        <f>AD150*X150*F150</f>
        <v>8299.6808364029475</v>
      </c>
      <c r="Z150" s="24">
        <f>AD150*X150*G150</f>
        <v>193.76615152300292</v>
      </c>
      <c r="AA150" s="24">
        <f>R150</f>
        <v>0.58539357793690083</v>
      </c>
      <c r="AB150" s="24">
        <f>Y150/(0.1973269^2*10000000)</f>
        <v>2.1315170237288541E-2</v>
      </c>
      <c r="AC150" s="24">
        <f>Z150/(0.1973269^2*10000000)</f>
        <v>4.9762859408061886E-4</v>
      </c>
      <c r="AD150" s="24">
        <v>1</v>
      </c>
      <c r="AE150" s="24">
        <f>SQRT(M150+E150^2)</f>
        <v>0.40040384864486916</v>
      </c>
      <c r="AF150" s="24"/>
      <c r="AG150" s="24"/>
      <c r="AH150" s="24"/>
      <c r="AI150" s="15"/>
      <c r="AJ150" s="15"/>
      <c r="AK150" s="15"/>
    </row>
    <row r="151" spans="1:37" ht="16" x14ac:dyDescent="0.2">
      <c r="A151" s="12">
        <v>6</v>
      </c>
      <c r="B151" s="12">
        <v>12</v>
      </c>
      <c r="C151" s="13">
        <v>0.44</v>
      </c>
      <c r="D151" s="14">
        <v>60</v>
      </c>
      <c r="E151" s="13">
        <f>I151/1000</f>
        <v>0.10141887943232901</v>
      </c>
      <c r="F151" s="18">
        <f>J151*$V151*MOUFAC</f>
        <v>10.671139417224358</v>
      </c>
      <c r="G151" s="18">
        <f>K151*$V151*MOUFAC</f>
        <v>0.25632716255220067</v>
      </c>
      <c r="H151" s="24">
        <v>28</v>
      </c>
      <c r="I151" s="34">
        <v>101.41887943232901</v>
      </c>
      <c r="J151" s="36">
        <v>30.276863929373398</v>
      </c>
      <c r="K151" s="36">
        <v>0.72726841235609996</v>
      </c>
      <c r="L151" s="25"/>
      <c r="M151" s="26">
        <f>4*C151*(C151-E151)*Q151</f>
        <v>0.1489756930497752</v>
      </c>
      <c r="N151" s="27">
        <f>MP^2+2*MP*E151-M151</f>
        <v>-0.1489756930497752</v>
      </c>
      <c r="O151" s="28" t="e">
        <f>SQRT(N151)</f>
        <v>#NUM!</v>
      </c>
      <c r="P151" s="28">
        <f>PI()*D151/180</f>
        <v>1.0471975511965976</v>
      </c>
      <c r="Q151" s="28">
        <f>(SIN(P151/2))^2</f>
        <v>0.24999999999999994</v>
      </c>
      <c r="R151" s="28">
        <f>1/(1+2*(1+E151^2/M151)*(TAN(P151/2))^2)</f>
        <v>0.58387491511453005</v>
      </c>
      <c r="S151" s="29" t="e">
        <f>(1/137)*(C151-E151)*(N151-MP^2)/((4*PI()^2*M151*MP*C151)*(1-R151))</f>
        <v>#DIV/0!</v>
      </c>
      <c r="T151" s="29" t="e">
        <f>F151/S151</f>
        <v>#DIV/0!</v>
      </c>
      <c r="U151" s="30" t="e">
        <f>G151/S151</f>
        <v>#DIV/0!</v>
      </c>
      <c r="V151" s="24">
        <f>4*(1/137)^2*(1-Q151)*(C151-E151)^2/M151^2</f>
        <v>8.2560966319969334E-4</v>
      </c>
      <c r="W151" s="24">
        <f>(1/V151)*R151*(M151+E151^2)^2/M151^2</f>
        <v>808.23141515862358</v>
      </c>
      <c r="X151" s="24">
        <f>(M151+E151^2)^2/(4*(1/137)^2*(C151-E151)^2*(1-Q151+2*Q151*(M151+E151^2)/M151))</f>
        <v>808.23141515862335</v>
      </c>
      <c r="Y151" s="24">
        <f>AD151*X151*F151</f>
        <v>8624.7501125382096</v>
      </c>
      <c r="Z151" s="24">
        <f>AD151*X151*G151</f>
        <v>207.17166533315964</v>
      </c>
      <c r="AA151" s="24">
        <f>R151</f>
        <v>0.58387491511453005</v>
      </c>
      <c r="AB151" s="24">
        <f>Y151/(0.1973269^2*10000000)</f>
        <v>2.2150010407207439E-2</v>
      </c>
      <c r="AC151" s="24">
        <f>Z151/(0.1973269^2*10000000)</f>
        <v>5.3205652144482963E-4</v>
      </c>
      <c r="AD151" s="24">
        <v>1</v>
      </c>
      <c r="AE151" s="24">
        <f>SQRT(M151+E151^2)</f>
        <v>0.39907578497709489</v>
      </c>
      <c r="AF151" s="24"/>
      <c r="AG151" s="24"/>
      <c r="AH151" s="24"/>
      <c r="AI151" s="15"/>
      <c r="AJ151" s="15"/>
      <c r="AK151" s="15"/>
    </row>
    <row r="152" spans="1:37" ht="16" x14ac:dyDescent="0.2">
      <c r="A152" s="12">
        <v>6</v>
      </c>
      <c r="B152" s="12">
        <v>12</v>
      </c>
      <c r="C152" s="13">
        <v>0.44</v>
      </c>
      <c r="D152" s="14">
        <v>60</v>
      </c>
      <c r="E152" s="13">
        <f>I152/1000</f>
        <v>0.10671231129318799</v>
      </c>
      <c r="F152" s="18">
        <f>J152*$V152*MOUFAC</f>
        <v>10.472777574838148</v>
      </c>
      <c r="G152" s="18">
        <f>K152*$V152*MOUFAC</f>
        <v>0.22784636671306729</v>
      </c>
      <c r="H152" s="24">
        <v>28</v>
      </c>
      <c r="I152" s="34">
        <v>106.71231129318799</v>
      </c>
      <c r="J152" s="36">
        <v>29.7140585647454</v>
      </c>
      <c r="K152" s="36">
        <v>0.64646081098319996</v>
      </c>
      <c r="L152" s="25"/>
      <c r="M152" s="26">
        <f>4*C152*(C152-E152)*Q152</f>
        <v>0.14664658303099726</v>
      </c>
      <c r="N152" s="27">
        <f>MP^2+2*MP*E152-M152</f>
        <v>-0.14664658303099726</v>
      </c>
      <c r="O152" s="28" t="e">
        <f>SQRT(N152)</f>
        <v>#NUM!</v>
      </c>
      <c r="P152" s="28">
        <f>PI()*D152/180</f>
        <v>1.0471975511965976</v>
      </c>
      <c r="Q152" s="28">
        <f>(SIN(P152/2))^2</f>
        <v>0.24999999999999994</v>
      </c>
      <c r="R152" s="28">
        <f>1/(1+2*(1+E152^2/M152)*(TAN(P152/2))^2)</f>
        <v>0.58192476565977624</v>
      </c>
      <c r="S152" s="29" t="e">
        <f>(1/137)*(C152-E152)*(N152-MP^2)/((4*PI()^2*M152*MP*C152)*(1-R152))</f>
        <v>#DIV/0!</v>
      </c>
      <c r="T152" s="29" t="e">
        <f>F152/S152</f>
        <v>#DIV/0!</v>
      </c>
      <c r="U152" s="30" t="e">
        <f>G152/S152</f>
        <v>#DIV/0!</v>
      </c>
      <c r="V152" s="24">
        <f>4*(1/137)^2*(1-Q152)*(C152-E152)^2/M152^2</f>
        <v>8.2560966319969356E-4</v>
      </c>
      <c r="W152" s="24">
        <f>(1/V152)*R152*(M152+E152^2)^2/M152^2</f>
        <v>818.55863461075739</v>
      </c>
      <c r="X152" s="24">
        <f>(M152+E152^2)^2/(4*(1/137)^2*(C152-E152)^2*(1-Q152+2*Q152*(M152+E152^2)/M152))</f>
        <v>818.55863461075717</v>
      </c>
      <c r="Y152" s="24">
        <f>AD152*X152*F152</f>
        <v>8572.58251224167</v>
      </c>
      <c r="Z152" s="24">
        <f>AD152*X152*G152</f>
        <v>186.50561083767025</v>
      </c>
      <c r="AA152" s="24">
        <f>R152</f>
        <v>0.58192476565977624</v>
      </c>
      <c r="AB152" s="24">
        <f>Y152/(0.1973269^2*10000000)</f>
        <v>2.2016034016655837E-2</v>
      </c>
      <c r="AC152" s="24">
        <f>Z152/(0.1973269^2*10000000)</f>
        <v>4.789821348042766E-4</v>
      </c>
      <c r="AD152" s="24">
        <v>1</v>
      </c>
      <c r="AE152" s="24">
        <f>SQRT(M152+E152^2)</f>
        <v>0.39753503042188815</v>
      </c>
      <c r="AF152" s="24"/>
      <c r="AG152" s="24"/>
      <c r="AH152" s="24"/>
      <c r="AI152" s="15"/>
      <c r="AJ152" s="15"/>
      <c r="AK152" s="15"/>
    </row>
    <row r="153" spans="1:37" ht="16" x14ac:dyDescent="0.2">
      <c r="A153" s="12">
        <v>6</v>
      </c>
      <c r="B153" s="12">
        <v>12</v>
      </c>
      <c r="C153" s="13">
        <v>0.44</v>
      </c>
      <c r="D153" s="14">
        <v>60</v>
      </c>
      <c r="E153" s="13">
        <f>I153/1000</f>
        <v>0.111124691112647</v>
      </c>
      <c r="F153" s="18">
        <f>J153*$V153*MOUFAC</f>
        <v>10.245767648531526</v>
      </c>
      <c r="G153" s="18">
        <f>K153*$V153*MOUFAC</f>
        <v>0.22784636671304975</v>
      </c>
      <c r="H153" s="24">
        <v>28</v>
      </c>
      <c r="I153" s="34">
        <v>111.124691112647</v>
      </c>
      <c r="J153" s="36">
        <v>29.069970957914151</v>
      </c>
      <c r="K153" s="36">
        <v>0.64646081098315022</v>
      </c>
      <c r="L153" s="25"/>
      <c r="M153" s="26">
        <f>4*C153*(C153-E153)*Q153</f>
        <v>0.1447051359104353</v>
      </c>
      <c r="N153" s="27">
        <f>MP^2+2*MP*E153-M153</f>
        <v>-0.1447051359104353</v>
      </c>
      <c r="O153" s="28" t="e">
        <f>SQRT(N153)</f>
        <v>#NUM!</v>
      </c>
      <c r="P153" s="28">
        <f>PI()*D153/180</f>
        <v>1.0471975511965976</v>
      </c>
      <c r="Q153" s="28">
        <f>(SIN(P153/2))^2</f>
        <v>0.24999999999999994</v>
      </c>
      <c r="R153" s="28">
        <f>1/(1+2*(1+E153^2/M153)*(TAN(P153/2))^2)</f>
        <v>0.58019516251951175</v>
      </c>
      <c r="S153" s="29" t="e">
        <f>(1/137)*(C153-E153)*(N153-MP^2)/((4*PI()^2*M153*MP*C153)*(1-R153))</f>
        <v>#DIV/0!</v>
      </c>
      <c r="T153" s="29" t="e">
        <f>F153/S153</f>
        <v>#DIV/0!</v>
      </c>
      <c r="U153" s="30" t="e">
        <f>G153/S153</f>
        <v>#DIV/0!</v>
      </c>
      <c r="V153" s="24">
        <f>4*(1/137)^2*(1-Q153)*(C153-E153)^2/M153^2</f>
        <v>8.2560966319969345E-4</v>
      </c>
      <c r="W153" s="24">
        <f>(1/V153)*R153*(M153+E153^2)^2/M153^2</f>
        <v>827.80591379144357</v>
      </c>
      <c r="X153" s="24">
        <f>(M153+E153^2)^2/(4*(1/137)^2*(C153-E153)^2*(1-Q153+2*Q153*(M153+E153^2)/M153))</f>
        <v>827.80591379144334</v>
      </c>
      <c r="Y153" s="24">
        <f>AD153*X153*F153</f>
        <v>8481.507050787448</v>
      </c>
      <c r="Z153" s="24">
        <f>AD153*X153*G153</f>
        <v>188.61256980095646</v>
      </c>
      <c r="AA153" s="24">
        <f>R153</f>
        <v>0.58019516251951175</v>
      </c>
      <c r="AB153" s="24">
        <f>Y153/(0.1973269^2*10000000)</f>
        <v>2.1782134785637008E-2</v>
      </c>
      <c r="AC153" s="24">
        <f>Z153/(0.1973269^2*10000000)</f>
        <v>4.8439320902154623E-4</v>
      </c>
      <c r="AD153" s="24">
        <v>1</v>
      </c>
      <c r="AE153" s="24">
        <f>SQRT(M153+E153^2)</f>
        <v>0.39630018027414077</v>
      </c>
      <c r="AF153" s="24"/>
      <c r="AG153" s="24"/>
      <c r="AH153" s="24"/>
      <c r="AI153" s="15"/>
      <c r="AJ153" s="15"/>
      <c r="AK153" s="15"/>
    </row>
    <row r="154" spans="1:37" ht="16" x14ac:dyDescent="0.2">
      <c r="A154" s="12">
        <v>6</v>
      </c>
      <c r="B154" s="12">
        <v>12</v>
      </c>
      <c r="C154" s="13">
        <v>0.44</v>
      </c>
      <c r="D154" s="14">
        <v>60</v>
      </c>
      <c r="E154" s="13">
        <f>I154/1000</f>
        <v>0.116858648994206</v>
      </c>
      <c r="F154" s="18">
        <f>J154*$V154*MOUFAC</f>
        <v>9.9904860364873684</v>
      </c>
      <c r="G154" s="18">
        <f>K154*$V154*MOUFAC</f>
        <v>0.25636898457250606</v>
      </c>
      <c r="H154" s="24">
        <v>28</v>
      </c>
      <c r="I154" s="34">
        <v>116.85864899420601</v>
      </c>
      <c r="J154" s="36">
        <v>28.345669050747951</v>
      </c>
      <c r="K154" s="36">
        <v>0.72738707256364954</v>
      </c>
      <c r="L154" s="25"/>
      <c r="M154" s="26">
        <f>4*C154*(C154-E154)*Q154</f>
        <v>0.14218219444254934</v>
      </c>
      <c r="N154" s="27">
        <f>MP^2+2*MP*E154-M154</f>
        <v>-0.14218219444254934</v>
      </c>
      <c r="O154" s="28" t="e">
        <f>SQRT(N154)</f>
        <v>#NUM!</v>
      </c>
      <c r="P154" s="28">
        <f>PI()*D154/180</f>
        <v>1.0471975511965976</v>
      </c>
      <c r="Q154" s="28">
        <f>(SIN(P154/2))^2</f>
        <v>0.24999999999999994</v>
      </c>
      <c r="R154" s="28">
        <f>1/(1+2*(1+E154^2/M154)*(TAN(P154/2))^2)</f>
        <v>0.57780191659755553</v>
      </c>
      <c r="S154" s="29" t="e">
        <f>(1/137)*(C154-E154)*(N154-MP^2)/((4*PI()^2*M154*MP*C154)*(1-R154))</f>
        <v>#DIV/0!</v>
      </c>
      <c r="T154" s="29" t="e">
        <f>F154/S154</f>
        <v>#DIV/0!</v>
      </c>
      <c r="U154" s="30" t="e">
        <f>G154/S154</f>
        <v>#DIV/0!</v>
      </c>
      <c r="V154" s="24">
        <f>4*(1/137)^2*(1-Q154)*(C154-E154)^2/M154^2</f>
        <v>8.2560966319969334E-4</v>
      </c>
      <c r="W154" s="24">
        <f>(1/V154)*R154*(M154+E154^2)^2/M154^2</f>
        <v>840.73918137019461</v>
      </c>
      <c r="X154" s="24">
        <f>(M154+E154^2)^2/(4*(1/137)^2*(C154-E154)^2*(1-Q154+2*Q154*(M154+E154^2)/M154))</f>
        <v>840.73918137019461</v>
      </c>
      <c r="Y154" s="24">
        <f>AD154*X154*F154</f>
        <v>8399.39305180675</v>
      </c>
      <c r="Z154" s="24">
        <f>AD154*X154*G154</f>
        <v>215.53945021819681</v>
      </c>
      <c r="AA154" s="24">
        <f>R154</f>
        <v>0.57780191659755553</v>
      </c>
      <c r="AB154" s="24">
        <f>Y154/(0.1973269^2*10000000)</f>
        <v>2.15712503068675E-2</v>
      </c>
      <c r="AC154" s="24">
        <f>Z154/(0.1973269^2*10000000)</f>
        <v>5.5354659592471509E-4</v>
      </c>
      <c r="AD154" s="24">
        <v>1</v>
      </c>
      <c r="AE154" s="24">
        <f>SQRT(M154+E154^2)</f>
        <v>0.39476339532345245</v>
      </c>
      <c r="AF154" s="24"/>
      <c r="AG154" s="24"/>
      <c r="AH154" s="24"/>
      <c r="AI154" s="15"/>
      <c r="AJ154" s="15"/>
      <c r="AK154" s="15"/>
    </row>
    <row r="155" spans="1:37" ht="16" x14ac:dyDescent="0.2">
      <c r="A155" s="12">
        <v>6</v>
      </c>
      <c r="B155" s="12">
        <v>12</v>
      </c>
      <c r="C155" s="13">
        <v>0.44</v>
      </c>
      <c r="D155" s="14">
        <v>60</v>
      </c>
      <c r="E155" s="13">
        <f>I155/1000</f>
        <v>0.121276368523006</v>
      </c>
      <c r="F155" s="18">
        <f>J155*$V155*MOUFAC</f>
        <v>9.5926331571662686</v>
      </c>
      <c r="G155" s="18">
        <f>K155*$V155*MOUFAC</f>
        <v>0.25632716255220067</v>
      </c>
      <c r="H155" s="24">
        <v>28</v>
      </c>
      <c r="I155" s="34">
        <v>121.276368523006</v>
      </c>
      <c r="J155" s="36">
        <v>27.216854495886899</v>
      </c>
      <c r="K155" s="36">
        <v>0.72726841235609996</v>
      </c>
      <c r="L155" s="25"/>
      <c r="M155" s="26">
        <f>4*C155*(C155-E155)*Q155</f>
        <v>0.14023839784987735</v>
      </c>
      <c r="N155" s="27">
        <f>MP^2+2*MP*E155-M155</f>
        <v>-0.14023839784987735</v>
      </c>
      <c r="O155" s="28" t="e">
        <f>SQRT(N155)</f>
        <v>#NUM!</v>
      </c>
      <c r="P155" s="28">
        <f>PI()*D155/180</f>
        <v>1.0471975511965976</v>
      </c>
      <c r="Q155" s="28">
        <f>(SIN(P155/2))^2</f>
        <v>0.24999999999999994</v>
      </c>
      <c r="R155" s="28">
        <f>1/(1+2*(1+E155^2/M155)*(TAN(P155/2))^2)</f>
        <v>0.57584265244203103</v>
      </c>
      <c r="S155" s="29" t="e">
        <f>(1/137)*(C155-E155)*(N155-MP^2)/((4*PI()^2*M155*MP*C155)*(1-R155))</f>
        <v>#DIV/0!</v>
      </c>
      <c r="T155" s="29" t="e">
        <f>F155/S155</f>
        <v>#DIV/0!</v>
      </c>
      <c r="U155" s="30" t="e">
        <f>G155/S155</f>
        <v>#DIV/0!</v>
      </c>
      <c r="V155" s="24">
        <f>4*(1/137)^2*(1-Q155)*(C155-E155)^2/M155^2</f>
        <v>8.2560966319969334E-4</v>
      </c>
      <c r="W155" s="24">
        <f>(1/V155)*R155*(M155+E155^2)^2/M155^2</f>
        <v>851.44756938551893</v>
      </c>
      <c r="X155" s="24">
        <f>(M155+E155^2)^2/(4*(1/137)^2*(C155-E155)^2*(1-Q155+2*Q155*(M155+E155^2)/M155))</f>
        <v>851.44756938551859</v>
      </c>
      <c r="Y155" s="24">
        <f>AD155*X155*F155</f>
        <v>8167.6241856761526</v>
      </c>
      <c r="Z155" s="24">
        <f>AD155*X155*G155</f>
        <v>218.24913952255798</v>
      </c>
      <c r="AA155" s="24">
        <f>R155</f>
        <v>0.57584265244203103</v>
      </c>
      <c r="AB155" s="24">
        <f>Y155/(0.1973269^2*10000000)</f>
        <v>2.0976023462046071E-2</v>
      </c>
      <c r="AC155" s="24">
        <f>Z155/(0.1973269^2*10000000)</f>
        <v>5.605055971141693E-4</v>
      </c>
      <c r="AD155" s="24">
        <v>1</v>
      </c>
      <c r="AE155" s="24">
        <f>SQRT(M155+E155^2)</f>
        <v>0.39363225910995314</v>
      </c>
      <c r="AF155" s="24"/>
      <c r="AG155" s="24"/>
      <c r="AH155" s="24"/>
      <c r="AI155" s="15"/>
      <c r="AJ155" s="15"/>
      <c r="AK155" s="15"/>
    </row>
    <row r="156" spans="1:37" ht="16" x14ac:dyDescent="0.2">
      <c r="A156" s="12">
        <v>6</v>
      </c>
      <c r="B156" s="12">
        <v>12</v>
      </c>
      <c r="C156" s="13">
        <v>0.44</v>
      </c>
      <c r="D156" s="14">
        <v>60</v>
      </c>
      <c r="E156" s="13">
        <f>I156/1000</f>
        <v>0.12657869989943499</v>
      </c>
      <c r="F156" s="18">
        <f>J156*$V156*MOUFAC</f>
        <v>9.1094215343683995</v>
      </c>
      <c r="G156" s="18">
        <f>K156*$V156*MOUFAC</f>
        <v>0.2278881887333909</v>
      </c>
      <c r="H156" s="24">
        <v>28</v>
      </c>
      <c r="I156" s="34">
        <v>126.57869989943499</v>
      </c>
      <c r="J156" s="36">
        <v>25.8458544573223</v>
      </c>
      <c r="K156" s="36">
        <v>0.64657947119080106</v>
      </c>
      <c r="L156" s="25"/>
      <c r="M156" s="26">
        <f>4*C156*(C156-E156)*Q156</f>
        <v>0.13790537204424858</v>
      </c>
      <c r="N156" s="27">
        <f>MP^2+2*MP*E156-M156</f>
        <v>-0.13790537204424858</v>
      </c>
      <c r="O156" s="28" t="e">
        <f>SQRT(N156)</f>
        <v>#NUM!</v>
      </c>
      <c r="P156" s="28">
        <f>PI()*D156/180</f>
        <v>1.0471975511965976</v>
      </c>
      <c r="Q156" s="28">
        <f>(SIN(P156/2))^2</f>
        <v>0.24999999999999994</v>
      </c>
      <c r="R156" s="28">
        <f>1/(1+2*(1+E156^2/M156)*(TAN(P156/2))^2)</f>
        <v>0.57335453402025915</v>
      </c>
      <c r="S156" s="29" t="e">
        <f>(1/137)*(C156-E156)*(N156-MP^2)/((4*PI()^2*M156*MP*C156)*(1-R156))</f>
        <v>#DIV/0!</v>
      </c>
      <c r="T156" s="29" t="e">
        <f>F156/S156</f>
        <v>#DIV/0!</v>
      </c>
      <c r="U156" s="30" t="e">
        <f>G156/S156</f>
        <v>#DIV/0!</v>
      </c>
      <c r="V156" s="24">
        <f>4*(1/137)^2*(1-Q156)*(C156-E156)^2/M156^2</f>
        <v>8.2560966319969345E-4</v>
      </c>
      <c r="W156" s="24">
        <f>(1/V156)*R156*(M156+E156^2)^2/M156^2</f>
        <v>865.20449853931132</v>
      </c>
      <c r="X156" s="24">
        <f>(M156+E156^2)^2/(4*(1/137)^2*(C156-E156)^2*(1-Q156+2*Q156*(M156+E156^2)/M156))</f>
        <v>865.2044985393112</v>
      </c>
      <c r="Y156" s="24">
        <f>AD156*X156*F156</f>
        <v>7881.5124906264136</v>
      </c>
      <c r="Z156" s="24">
        <f>AD156*X156*G156</f>
        <v>197.16988605610538</v>
      </c>
      <c r="AA156" s="24">
        <f>R156</f>
        <v>0.57335453402025915</v>
      </c>
      <c r="AB156" s="24">
        <f>Y156/(0.1973269^2*10000000)</f>
        <v>2.0241233822893216E-2</v>
      </c>
      <c r="AC156" s="24">
        <f>Z156/(0.1973269^2*10000000)</f>
        <v>5.0637003636565259E-4</v>
      </c>
      <c r="AD156" s="24">
        <v>1</v>
      </c>
      <c r="AE156" s="24">
        <f>SQRT(M156+E156^2)</f>
        <v>0.39233600307960498</v>
      </c>
      <c r="AF156" s="24"/>
      <c r="AG156" s="24"/>
      <c r="AH156" s="24"/>
      <c r="AI156" s="15"/>
      <c r="AJ156" s="15"/>
      <c r="AK156" s="15"/>
    </row>
    <row r="157" spans="1:37" ht="16" x14ac:dyDescent="0.2">
      <c r="A157" s="12">
        <v>6</v>
      </c>
      <c r="B157" s="12">
        <v>12</v>
      </c>
      <c r="C157" s="13">
        <v>0.44</v>
      </c>
      <c r="D157" s="14">
        <v>60</v>
      </c>
      <c r="E157" s="13">
        <f>I157/1000</f>
        <v>0.13144851481917602</v>
      </c>
      <c r="F157" s="18">
        <f>J157*$V157*MOUFAC</f>
        <v>8.3129211573400994</v>
      </c>
      <c r="G157" s="18">
        <f>K157*$V157*MOUFAC</f>
        <v>0.25632716255220078</v>
      </c>
      <c r="H157" s="24">
        <v>28</v>
      </c>
      <c r="I157" s="34">
        <v>131.44851481917601</v>
      </c>
      <c r="J157" s="36">
        <v>23.585970803655901</v>
      </c>
      <c r="K157" s="36">
        <v>0.72726841235609996</v>
      </c>
      <c r="L157" s="25"/>
      <c r="M157" s="26">
        <f>4*C157*(C157-E157)*Q157</f>
        <v>0.13576265347956251</v>
      </c>
      <c r="N157" s="27">
        <f>MP^2+2*MP*E157-M157</f>
        <v>-0.13576265347956251</v>
      </c>
      <c r="O157" s="28" t="e">
        <f>SQRT(N157)</f>
        <v>#NUM!</v>
      </c>
      <c r="P157" s="28">
        <f>PI()*D157/180</f>
        <v>1.0471975511965976</v>
      </c>
      <c r="Q157" s="28">
        <f>(SIN(P157/2))^2</f>
        <v>0.24999999999999994</v>
      </c>
      <c r="R157" s="28">
        <f>1/(1+2*(1+E157^2/M157)*(TAN(P157/2))^2)</f>
        <v>0.57093452996453731</v>
      </c>
      <c r="S157" s="29" t="e">
        <f>(1/137)*(C157-E157)*(N157-MP^2)/((4*PI()^2*M157*MP*C157)*(1-R157))</f>
        <v>#DIV/0!</v>
      </c>
      <c r="T157" s="29" t="e">
        <f>F157/S157</f>
        <v>#DIV/0!</v>
      </c>
      <c r="U157" s="30" t="e">
        <f>G157/S157</f>
        <v>#DIV/0!</v>
      </c>
      <c r="V157" s="24">
        <f>4*(1/137)^2*(1-Q157)*(C157-E157)^2/M157^2</f>
        <v>8.2560966319969366E-4</v>
      </c>
      <c r="W157" s="24">
        <f>(1/V157)*R157*(M157+E157^2)^2/M157^2</f>
        <v>878.75654197578683</v>
      </c>
      <c r="X157" s="24">
        <f>(M157+E157^2)^2/(4*(1/137)^2*(C157-E157)^2*(1-Q157+2*Q157*(M157+E157^2)/M157))</f>
        <v>878.7565419757866</v>
      </c>
      <c r="Y157" s="24">
        <f>AD157*X157*F157</f>
        <v>7305.0338499415393</v>
      </c>
      <c r="Z157" s="24">
        <f>AD157*X157*G157</f>
        <v>225.2491709788373</v>
      </c>
      <c r="AA157" s="24">
        <f>R157</f>
        <v>0.57093452996453731</v>
      </c>
      <c r="AB157" s="24">
        <f>Y157/(0.1973269^2*10000000)</f>
        <v>1.8760726245967613E-2</v>
      </c>
      <c r="AC157" s="24">
        <f>Z157/(0.1973269^2*10000000)</f>
        <v>5.7848301878833024E-4</v>
      </c>
      <c r="AD157" s="24">
        <v>1</v>
      </c>
      <c r="AE157" s="24">
        <f>SQRT(M157+E157^2)</f>
        <v>0.3912050172578691</v>
      </c>
      <c r="AF157" s="24"/>
      <c r="AG157" s="24"/>
      <c r="AH157" s="24"/>
      <c r="AI157" s="15"/>
      <c r="AJ157" s="15"/>
      <c r="AK157" s="15"/>
    </row>
    <row r="158" spans="1:37" ht="16" x14ac:dyDescent="0.2">
      <c r="A158" s="12">
        <v>6</v>
      </c>
      <c r="B158" s="12">
        <v>12</v>
      </c>
      <c r="C158" s="13">
        <v>0.44</v>
      </c>
      <c r="D158" s="14">
        <v>60</v>
      </c>
      <c r="E158" s="13">
        <f>I158/1000</f>
        <v>0.13630943022334799</v>
      </c>
      <c r="F158" s="18">
        <f>J158*$V158*MOUFAC</f>
        <v>7.8581485083610367</v>
      </c>
      <c r="G158" s="18">
        <f>K158*$V158*MOUFAC</f>
        <v>0.22784636671306727</v>
      </c>
      <c r="H158" s="24">
        <v>28</v>
      </c>
      <c r="I158" s="34">
        <v>136.30943022334799</v>
      </c>
      <c r="J158" s="36">
        <v>22.2956597062566</v>
      </c>
      <c r="K158" s="36">
        <v>0.64646081098319996</v>
      </c>
      <c r="L158" s="25"/>
      <c r="M158" s="26">
        <f>4*C158*(C158-E158)*Q158</f>
        <v>0.13362385070172686</v>
      </c>
      <c r="N158" s="27">
        <f>MP^2+2*MP*E158-M158</f>
        <v>-0.13362385070172686</v>
      </c>
      <c r="O158" s="28" t="e">
        <f>SQRT(N158)</f>
        <v>#NUM!</v>
      </c>
      <c r="P158" s="28">
        <f>PI()*D158/180</f>
        <v>1.0471975511965976</v>
      </c>
      <c r="Q158" s="28">
        <f>(SIN(P158/2))^2</f>
        <v>0.24999999999999994</v>
      </c>
      <c r="R158" s="28">
        <f>1/(1+2*(1+E158^2/M158)*(TAN(P158/2))^2)</f>
        <v>0.56838656982616975</v>
      </c>
      <c r="S158" s="29" t="e">
        <f>(1/137)*(C158-E158)*(N158-MP^2)/((4*PI()^2*M158*MP*C158)*(1-R158))</f>
        <v>#DIV/0!</v>
      </c>
      <c r="T158" s="29" t="e">
        <f>F158/S158</f>
        <v>#DIV/0!</v>
      </c>
      <c r="U158" s="30" t="e">
        <f>G158/S158</f>
        <v>#DIV/0!</v>
      </c>
      <c r="V158" s="24">
        <f>4*(1/137)^2*(1-Q158)*(C158-E158)^2/M158^2</f>
        <v>8.2560966319969334E-4</v>
      </c>
      <c r="W158" s="24">
        <f>(1/V158)*R158*(M158+E158^2)^2/M158^2</f>
        <v>893.21054728982301</v>
      </c>
      <c r="X158" s="24">
        <f>(M158+E158^2)^2/(4*(1/137)^2*(C158-E158)^2*(1-Q158+2*Q158*(M158+E158^2)/M158))</f>
        <v>893.2105472898229</v>
      </c>
      <c r="Y158" s="24">
        <f>AD158*X158*F158</f>
        <v>7018.9811298378672</v>
      </c>
      <c r="Z158" s="24">
        <f>AD158*X158*G158</f>
        <v>203.51477790977651</v>
      </c>
      <c r="AA158" s="24">
        <f>R158</f>
        <v>0.56838656982616975</v>
      </c>
      <c r="AB158" s="24">
        <f>Y158/(0.1973269^2*10000000)</f>
        <v>1.8026088065773237E-2</v>
      </c>
      <c r="AC158" s="24">
        <f>Z158/(0.1973269^2*10000000)</f>
        <v>5.2266493404472996E-4</v>
      </c>
      <c r="AD158" s="24">
        <v>1</v>
      </c>
      <c r="AE158" s="24">
        <f>SQRT(M158+E158^2)</f>
        <v>0.39013345340990774</v>
      </c>
      <c r="AF158" s="24"/>
      <c r="AG158" s="24"/>
      <c r="AH158" s="24"/>
      <c r="AI158" s="15"/>
      <c r="AJ158" s="15"/>
      <c r="AK158" s="15"/>
    </row>
    <row r="159" spans="1:37" ht="16" x14ac:dyDescent="0.2">
      <c r="A159" s="12">
        <v>6</v>
      </c>
      <c r="B159" s="12">
        <v>12</v>
      </c>
      <c r="C159" s="13">
        <v>0.44</v>
      </c>
      <c r="D159" s="14">
        <v>60</v>
      </c>
      <c r="E159" s="13">
        <f>I159/1000</f>
        <v>0.141180135094646</v>
      </c>
      <c r="F159" s="18">
        <f>J159*$V159*MOUFAC</f>
        <v>7.0758467072319631</v>
      </c>
      <c r="G159" s="18">
        <f>K159*$V159*MOUFAC</f>
        <v>0.21360596879348309</v>
      </c>
      <c r="H159" s="24">
        <v>28</v>
      </c>
      <c r="I159" s="34">
        <v>141.180135094646</v>
      </c>
      <c r="J159" s="36">
        <v>20.076061193069002</v>
      </c>
      <c r="K159" s="36">
        <v>0.60605701029670023</v>
      </c>
      <c r="L159" s="25"/>
      <c r="M159" s="26">
        <f>4*C159*(C159-E159)*Q159</f>
        <v>0.13148074055835574</v>
      </c>
      <c r="N159" s="27">
        <f>MP^2+2*MP*E159-M159</f>
        <v>-0.13148074055835574</v>
      </c>
      <c r="O159" s="28" t="e">
        <f>SQRT(N159)</f>
        <v>#NUM!</v>
      </c>
      <c r="P159" s="28">
        <f>PI()*D159/180</f>
        <v>1.0471975511965976</v>
      </c>
      <c r="Q159" s="28">
        <f>(SIN(P159/2))^2</f>
        <v>0.24999999999999994</v>
      </c>
      <c r="R159" s="28">
        <f>1/(1+2*(1+E159^2/M159)*(TAN(P159/2))^2)</f>
        <v>0.56569723768335911</v>
      </c>
      <c r="S159" s="29" t="e">
        <f>(1/137)*(C159-E159)*(N159-MP^2)/((4*PI()^2*M159*MP*C159)*(1-R159))</f>
        <v>#DIV/0!</v>
      </c>
      <c r="T159" s="29" t="e">
        <f>F159/S159</f>
        <v>#DIV/0!</v>
      </c>
      <c r="U159" s="30" t="e">
        <f>G159/S159</f>
        <v>#DIV/0!</v>
      </c>
      <c r="V159" s="24">
        <f>4*(1/137)^2*(1-Q159)*(C159-E159)^2/M159^2</f>
        <v>8.2560966319969356E-4</v>
      </c>
      <c r="W159" s="24">
        <f>(1/V159)*R159*(M159+E159^2)^2/M159^2</f>
        <v>908.67561978625179</v>
      </c>
      <c r="X159" s="24">
        <f>(M159+E159^2)^2/(4*(1/137)^2*(C159-E159)^2*(1-Q159+2*Q159*(M159+E159^2)/M159))</f>
        <v>908.67561978625156</v>
      </c>
      <c r="Y159" s="24">
        <f>AD159*X159*F159</f>
        <v>6429.649392206511</v>
      </c>
      <c r="Z159" s="24">
        <f>AD159*X159*G159</f>
        <v>194.09853608346097</v>
      </c>
      <c r="AA159" s="24">
        <f>R159</f>
        <v>0.56569723768335911</v>
      </c>
      <c r="AB159" s="24">
        <f>Y159/(0.1973269^2*10000000)</f>
        <v>1.651257127380782E-2</v>
      </c>
      <c r="AC159" s="24">
        <f>Z159/(0.1973269^2*10000000)</f>
        <v>4.9848222130196153E-4</v>
      </c>
      <c r="AD159" s="24">
        <v>1</v>
      </c>
      <c r="AE159" s="24">
        <f>SQRT(M159+E159^2)</f>
        <v>0.38911768284633153</v>
      </c>
      <c r="AF159" s="24"/>
      <c r="AG159" s="24"/>
      <c r="AH159" s="24"/>
      <c r="AI159" s="15"/>
      <c r="AJ159" s="15"/>
      <c r="AK159" s="15"/>
    </row>
    <row r="160" spans="1:37" ht="16" x14ac:dyDescent="0.2">
      <c r="A160" s="12">
        <v>6</v>
      </c>
      <c r="B160" s="12">
        <v>12</v>
      </c>
      <c r="C160" s="13">
        <v>0.44</v>
      </c>
      <c r="D160" s="14">
        <v>60</v>
      </c>
      <c r="E160" s="13">
        <f>I160/1000</f>
        <v>0.14648424637418903</v>
      </c>
      <c r="F160" s="18">
        <f>J160*$V160*MOUFAC</f>
        <v>6.5641961106153</v>
      </c>
      <c r="G160" s="18">
        <f>K160*$V160*MOUFAC</f>
        <v>0.1566443771152338</v>
      </c>
      <c r="H160" s="24">
        <v>28</v>
      </c>
      <c r="I160" s="34">
        <v>146.48424637418901</v>
      </c>
      <c r="J160" s="36">
        <v>18.62437221333915</v>
      </c>
      <c r="K160" s="36">
        <v>0.44444180755094997</v>
      </c>
      <c r="L160" s="25"/>
      <c r="M160" s="26">
        <f>4*C160*(C160-E160)*Q160</f>
        <v>0.12914693159535678</v>
      </c>
      <c r="N160" s="27">
        <f>MP^2+2*MP*E160-M160</f>
        <v>-0.12914693159535678</v>
      </c>
      <c r="O160" s="28" t="e">
        <f>SQRT(N160)</f>
        <v>#NUM!</v>
      </c>
      <c r="P160" s="28">
        <f>PI()*D160/180</f>
        <v>1.0471975511965976</v>
      </c>
      <c r="Q160" s="28">
        <f>(SIN(P160/2))^2</f>
        <v>0.24999999999999994</v>
      </c>
      <c r="R160" s="28">
        <f>1/(1+2*(1+E160^2/M160)*(TAN(P160/2))^2)</f>
        <v>0.56260921504658079</v>
      </c>
      <c r="S160" s="29" t="e">
        <f>(1/137)*(C160-E160)*(N160-MP^2)/((4*PI()^2*M160*MP*C160)*(1-R160))</f>
        <v>#DIV/0!</v>
      </c>
      <c r="T160" s="29" t="e">
        <f>F160/S160</f>
        <v>#DIV/0!</v>
      </c>
      <c r="U160" s="30" t="e">
        <f>G160/S160</f>
        <v>#DIV/0!</v>
      </c>
      <c r="V160" s="24">
        <f>4*(1/137)^2*(1-Q160)*(C160-E160)^2/M160^2</f>
        <v>8.2560966319969366E-4</v>
      </c>
      <c r="W160" s="24">
        <f>(1/V160)*R160*(M160+E160^2)^2/M160^2</f>
        <v>926.70214314314364</v>
      </c>
      <c r="X160" s="24">
        <f>(M160+E160^2)^2/(4*(1/137)^2*(C160-E160)^2*(1-Q160+2*Q160*(M160+E160^2)/M160))</f>
        <v>926.70214314314387</v>
      </c>
      <c r="Y160" s="24">
        <f>AD160*X160*F160</f>
        <v>6083.0546037190879</v>
      </c>
      <c r="Z160" s="24">
        <f>AD160*X160*G160</f>
        <v>145.16267998401</v>
      </c>
      <c r="AA160" s="24">
        <f>R160</f>
        <v>0.56260921504658079</v>
      </c>
      <c r="AB160" s="24">
        <f>Y160/(0.1973269^2*10000000)</f>
        <v>1.5622449464838567E-2</v>
      </c>
      <c r="AC160" s="24">
        <f>Z160/(0.1973269^2*10000000)</f>
        <v>3.7280556890681741E-4</v>
      </c>
      <c r="AD160" s="24">
        <v>1</v>
      </c>
      <c r="AE160" s="24">
        <f>SQRT(M160+E160^2)</f>
        <v>0.38807804116075789</v>
      </c>
      <c r="AF160" s="24"/>
      <c r="AG160" s="24"/>
      <c r="AH160" s="24"/>
      <c r="AI160" s="15"/>
      <c r="AJ160" s="15"/>
      <c r="AK160" s="15"/>
    </row>
    <row r="161" spans="1:37" ht="16" x14ac:dyDescent="0.2">
      <c r="A161" s="12">
        <v>6</v>
      </c>
      <c r="B161" s="12">
        <v>12</v>
      </c>
      <c r="C161" s="13">
        <v>0.44</v>
      </c>
      <c r="D161" s="14">
        <v>60</v>
      </c>
      <c r="E161" s="13">
        <f>I161/1000</f>
        <v>0.150911755370116</v>
      </c>
      <c r="F161" s="18">
        <f>J161*$V161*MOUFAC</f>
        <v>5.8245318592042752</v>
      </c>
      <c r="G161" s="18">
        <f>K161*$V161*MOUFAC</f>
        <v>0.18512517295434963</v>
      </c>
      <c r="H161" s="24">
        <v>28</v>
      </c>
      <c r="I161" s="34">
        <v>150.911755370116</v>
      </c>
      <c r="J161" s="36">
        <v>16.525747781795701</v>
      </c>
      <c r="K161" s="36">
        <v>0.52524940892380023</v>
      </c>
      <c r="L161" s="25"/>
      <c r="M161" s="26">
        <f>4*C161*(C161-E161)*Q161</f>
        <v>0.12719882763714896</v>
      </c>
      <c r="N161" s="27">
        <f>MP^2+2*MP*E161-M161</f>
        <v>-0.12719882763714896</v>
      </c>
      <c r="O161" s="28" t="e">
        <f>SQRT(N161)</f>
        <v>#NUM!</v>
      </c>
      <c r="P161" s="28">
        <f>PI()*D161/180</f>
        <v>1.0471975511965976</v>
      </c>
      <c r="Q161" s="28">
        <f>(SIN(P161/2))^2</f>
        <v>0.24999999999999994</v>
      </c>
      <c r="R161" s="28">
        <f>1/(1+2*(1+E161^2/M161)*(TAN(P161/2))^2)</f>
        <v>0.55990093751239556</v>
      </c>
      <c r="S161" s="29" t="e">
        <f>(1/137)*(C161-E161)*(N161-MP^2)/((4*PI()^2*M161*MP*C161)*(1-R161))</f>
        <v>#DIV/0!</v>
      </c>
      <c r="T161" s="29" t="e">
        <f>F161/S161</f>
        <v>#DIV/0!</v>
      </c>
      <c r="U161" s="30" t="e">
        <f>G161/S161</f>
        <v>#DIV/0!</v>
      </c>
      <c r="V161" s="24">
        <f>4*(1/137)^2*(1-Q161)*(C161-E161)^2/M161^2</f>
        <v>8.2560966319969334E-4</v>
      </c>
      <c r="W161" s="24">
        <f>(1/V161)*R161*(M161+E161^2)^2/M161^2</f>
        <v>942.75195747188343</v>
      </c>
      <c r="X161" s="24">
        <f>(M161+E161^2)^2/(4*(1/137)^2*(C161-E161)^2*(1-Q161+2*Q161*(M161+E161^2)/M161))</f>
        <v>942.7519574718832</v>
      </c>
      <c r="Y161" s="24">
        <f>AD161*X161*F161</f>
        <v>5491.0888116221777</v>
      </c>
      <c r="Z161" s="24">
        <f>AD161*X161*G161</f>
        <v>174.52711918003405</v>
      </c>
      <c r="AA161" s="24">
        <f>R161</f>
        <v>0.55990093751239556</v>
      </c>
      <c r="AB161" s="24">
        <f>Y161/(0.1973269^2*10000000)</f>
        <v>1.4102167916438023E-2</v>
      </c>
      <c r="AC161" s="24">
        <f>Z161/(0.1973269^2*10000000)</f>
        <v>4.4821907368166209E-4</v>
      </c>
      <c r="AD161" s="24">
        <v>1</v>
      </c>
      <c r="AE161" s="24">
        <f>SQRT(M161+E161^2)</f>
        <v>0.38726371576231966</v>
      </c>
      <c r="AF161" s="24"/>
      <c r="AG161" s="24"/>
      <c r="AH161" s="24"/>
      <c r="AI161" s="15"/>
      <c r="AJ161" s="15"/>
      <c r="AK161" s="15"/>
    </row>
    <row r="162" spans="1:37" ht="16" x14ac:dyDescent="0.2">
      <c r="A162" s="12">
        <v>6</v>
      </c>
      <c r="B162" s="12">
        <v>12</v>
      </c>
      <c r="C162" s="13">
        <v>0.44</v>
      </c>
      <c r="D162" s="14">
        <v>60</v>
      </c>
      <c r="E162" s="13">
        <f>I162/1000</f>
        <v>0.15578779995075601</v>
      </c>
      <c r="F162" s="18">
        <f>J162*$V162*MOUFAC</f>
        <v>4.8571048851208314</v>
      </c>
      <c r="G162" s="18">
        <f>K162*$V162*MOUFAC</f>
        <v>0.18512517295436712</v>
      </c>
      <c r="H162" s="24">
        <v>28</v>
      </c>
      <c r="I162" s="34">
        <v>155.78779995075601</v>
      </c>
      <c r="J162" s="36">
        <v>13.780899859684251</v>
      </c>
      <c r="K162" s="36">
        <v>0.52524940892384997</v>
      </c>
      <c r="L162" s="25"/>
      <c r="M162" s="26">
        <f>4*C162*(C162-E162)*Q162</f>
        <v>0.12505336802166733</v>
      </c>
      <c r="N162" s="27">
        <f>MP^2+2*MP*E162-M162</f>
        <v>-0.12505336802166733</v>
      </c>
      <c r="O162" s="28" t="e">
        <f>SQRT(N162)</f>
        <v>#NUM!</v>
      </c>
      <c r="P162" s="28">
        <f>PI()*D162/180</f>
        <v>1.0471975511965976</v>
      </c>
      <c r="Q162" s="28">
        <f>(SIN(P162/2))^2</f>
        <v>0.24999999999999994</v>
      </c>
      <c r="R162" s="28">
        <f>1/(1+2*(1+E162^2/M162)*(TAN(P162/2))^2)</f>
        <v>0.55677719703369655</v>
      </c>
      <c r="S162" s="29" t="e">
        <f>(1/137)*(C162-E162)*(N162-MP^2)/((4*PI()^2*M162*MP*C162)*(1-R162))</f>
        <v>#DIV/0!</v>
      </c>
      <c r="T162" s="29" t="e">
        <f>F162/S162</f>
        <v>#DIV/0!</v>
      </c>
      <c r="U162" s="30" t="e">
        <f>G162/S162</f>
        <v>#DIV/0!</v>
      </c>
      <c r="V162" s="24">
        <f>4*(1/137)^2*(1-Q162)*(C162-E162)^2/M162^2</f>
        <v>8.2560966319969323E-4</v>
      </c>
      <c r="W162" s="24">
        <f>(1/V162)*R162*(M162+E162^2)^2/M162^2</f>
        <v>961.54696673670389</v>
      </c>
      <c r="X162" s="24">
        <f>(M162+E162^2)^2/(4*(1/137)^2*(C162-E162)^2*(1-Q162+2*Q162*(M162+E162^2)/M162))</f>
        <v>961.54696673670378</v>
      </c>
      <c r="Y162" s="24">
        <f>AD162*X162*F162</f>
        <v>4670.3344694099615</v>
      </c>
      <c r="Z162" s="24">
        <f>AD162*X162*G162</f>
        <v>178.00654852087936</v>
      </c>
      <c r="AA162" s="24">
        <f>R162</f>
        <v>0.55677719703369655</v>
      </c>
      <c r="AB162" s="24">
        <f>Y162/(0.1973269^2*10000000)</f>
        <v>1.1994313545639202E-2</v>
      </c>
      <c r="AC162" s="24">
        <f>Z162/(0.1973269^2*10000000)</f>
        <v>4.5715491473273523E-4</v>
      </c>
      <c r="AD162" s="24">
        <v>1</v>
      </c>
      <c r="AE162" s="24">
        <f>SQRT(M162+E162^2)</f>
        <v>0.38642361034901079</v>
      </c>
      <c r="AF162" s="24"/>
      <c r="AG162" s="24"/>
      <c r="AH162" s="24"/>
      <c r="AI162" s="15"/>
      <c r="AJ162" s="15"/>
      <c r="AK162" s="15"/>
    </row>
    <row r="163" spans="1:37" ht="16" x14ac:dyDescent="0.2">
      <c r="A163" s="12">
        <v>6</v>
      </c>
      <c r="B163" s="12">
        <v>12</v>
      </c>
      <c r="C163" s="13">
        <v>0.44</v>
      </c>
      <c r="D163" s="14">
        <v>60</v>
      </c>
      <c r="E163" s="13">
        <f>I163/1000</f>
        <v>0.16063358617845902</v>
      </c>
      <c r="F163" s="18">
        <f>J163*$V163*MOUFAC</f>
        <v>4.8010633778896405</v>
      </c>
      <c r="G163" s="18">
        <f>K163*$V163*MOUFAC</f>
        <v>0.24208676463263401</v>
      </c>
      <c r="H163" s="24">
        <v>28</v>
      </c>
      <c r="I163" s="34">
        <v>160.63358617845901</v>
      </c>
      <c r="J163" s="36">
        <v>13.62189518150555</v>
      </c>
      <c r="K163" s="36">
        <v>0.68686461166964996</v>
      </c>
      <c r="L163" s="25"/>
      <c r="M163" s="26">
        <f>4*C163*(C163-E163)*Q163</f>
        <v>0.122921222081478</v>
      </c>
      <c r="N163" s="27">
        <f>MP^2+2*MP*E163-M163</f>
        <v>-0.122921222081478</v>
      </c>
      <c r="O163" s="28" t="e">
        <f>SQRT(N163)</f>
        <v>#NUM!</v>
      </c>
      <c r="P163" s="28">
        <f>PI()*D163/180</f>
        <v>1.0471975511965976</v>
      </c>
      <c r="Q163" s="28">
        <f>(SIN(P163/2))^2</f>
        <v>0.24999999999999994</v>
      </c>
      <c r="R163" s="28">
        <f>1/(1+2*(1+E163^2/M163)*(TAN(P163/2))^2)</f>
        <v>0.55352266271430151</v>
      </c>
      <c r="S163" s="29" t="e">
        <f>(1/137)*(C163-E163)*(N163-MP^2)/((4*PI()^2*M163*MP*C163)*(1-R163))</f>
        <v>#DIV/0!</v>
      </c>
      <c r="T163" s="29" t="e">
        <f>F163/S163</f>
        <v>#DIV/0!</v>
      </c>
      <c r="U163" s="30" t="e">
        <f>G163/S163</f>
        <v>#DIV/0!</v>
      </c>
      <c r="V163" s="24">
        <f>4*(1/137)^2*(1-Q163)*(C163-E163)^2/M163^2</f>
        <v>8.2560966319969356E-4</v>
      </c>
      <c r="W163" s="24">
        <f>(1/V163)*R163*(M163+E163^2)^2/M163^2</f>
        <v>981.45678748351042</v>
      </c>
      <c r="X163" s="24">
        <f>(M163+E163^2)^2/(4*(1/137)^2*(C163-E163)^2*(1-Q163+2*Q163*(M163+E163^2)/M163))</f>
        <v>981.45678748351008</v>
      </c>
      <c r="Y163" s="24">
        <f>AD163*X163*F163</f>
        <v>4712.0362393682963</v>
      </c>
      <c r="Z163" s="24">
        <f>AD163*X163*G163</f>
        <v>237.5976983086216</v>
      </c>
      <c r="AA163" s="24">
        <f>R163</f>
        <v>0.55352266271430151</v>
      </c>
      <c r="AB163" s="24">
        <f>Y163/(0.1973269^2*10000000)</f>
        <v>1.2101411679095066E-2</v>
      </c>
      <c r="AC163" s="24">
        <f>Z163/(0.1973269^2*10000000)</f>
        <v>6.1019640239938445E-4</v>
      </c>
      <c r="AD163" s="24">
        <v>1</v>
      </c>
      <c r="AE163" s="24">
        <f>SQRT(M163+E163^2)</f>
        <v>0.38564798857251986</v>
      </c>
      <c r="AF163" s="24"/>
      <c r="AG163" s="24"/>
      <c r="AH163" s="24"/>
      <c r="AI163" s="15"/>
      <c r="AJ163" s="15"/>
      <c r="AK163" s="15"/>
    </row>
    <row r="164" spans="1:37" ht="16" x14ac:dyDescent="0.2">
      <c r="A164" s="12">
        <v>6</v>
      </c>
      <c r="B164" s="12">
        <v>12</v>
      </c>
      <c r="C164" s="13">
        <v>0.44</v>
      </c>
      <c r="D164" s="14">
        <v>60</v>
      </c>
      <c r="E164" s="13">
        <f>I164/1000</f>
        <v>0.16637733352714501</v>
      </c>
      <c r="F164" s="18">
        <f>J164*$V164*MOUFAC</f>
        <v>4.3179772211527387</v>
      </c>
      <c r="G164" s="18">
        <f>K164*$V164*MOUFAC</f>
        <v>0.18512517295436717</v>
      </c>
      <c r="H164" s="24">
        <v>28</v>
      </c>
      <c r="I164" s="34">
        <v>166.377333527145</v>
      </c>
      <c r="J164" s="36">
        <v>12.251251123563749</v>
      </c>
      <c r="K164" s="36">
        <v>0.52524940892384997</v>
      </c>
      <c r="L164" s="25"/>
      <c r="M164" s="26">
        <f>4*C164*(C164-E164)*Q164</f>
        <v>0.12039397324805617</v>
      </c>
      <c r="N164" s="27">
        <f>MP^2+2*MP*E164-M164</f>
        <v>-0.12039397324805617</v>
      </c>
      <c r="O164" s="28" t="e">
        <f>SQRT(N164)</f>
        <v>#NUM!</v>
      </c>
      <c r="P164" s="28">
        <f>PI()*D164/180</f>
        <v>1.0471975511965976</v>
      </c>
      <c r="Q164" s="28">
        <f>(SIN(P164/2))^2</f>
        <v>0.24999999999999994</v>
      </c>
      <c r="R164" s="28">
        <f>1/(1+2*(1+E164^2/M164)*(TAN(P164/2))^2)</f>
        <v>0.54946592416518836</v>
      </c>
      <c r="S164" s="29" t="e">
        <f>(1/137)*(C164-E164)*(N164-MP^2)/((4*PI()^2*M164*MP*C164)*(1-R164))</f>
        <v>#DIV/0!</v>
      </c>
      <c r="T164" s="29" t="e">
        <f>F164/S164</f>
        <v>#DIV/0!</v>
      </c>
      <c r="U164" s="30" t="e">
        <f>G164/S164</f>
        <v>#DIV/0!</v>
      </c>
      <c r="V164" s="24">
        <f>4*(1/137)^2*(1-Q164)*(C164-E164)^2/M164^2</f>
        <v>8.2560966319969345E-4</v>
      </c>
      <c r="W164" s="24">
        <f>(1/V164)*R164*(M164+E164^2)^2/M164^2</f>
        <v>1006.7514752018592</v>
      </c>
      <c r="X164" s="24">
        <f>(M164+E164^2)^2/(4*(1/137)^2*(C164-E164)^2*(1-Q164+2*Q164*(M164+E164^2)/M164))</f>
        <v>1006.751475201859</v>
      </c>
      <c r="Y164" s="24">
        <f>AD164*X164*F164</f>
        <v>4347.1299372835438</v>
      </c>
      <c r="Z164" s="24">
        <f>AD164*X164*G164</f>
        <v>186.37504096880843</v>
      </c>
      <c r="AA164" s="24">
        <f>R164</f>
        <v>0.54946592416518836</v>
      </c>
      <c r="AB164" s="24">
        <f>Y164/(0.1973269^2*10000000)</f>
        <v>1.1164262395536962E-2</v>
      </c>
      <c r="AC164" s="24">
        <f>Z164/(0.1973269^2*10000000)</f>
        <v>4.7864680636966467E-4</v>
      </c>
      <c r="AD164" s="24">
        <v>1</v>
      </c>
      <c r="AE164" s="24">
        <f>SQRT(M164+E164^2)</f>
        <v>0.3848056527127155</v>
      </c>
      <c r="AF164" s="24"/>
      <c r="AG164" s="24"/>
      <c r="AH164" s="24"/>
      <c r="AI164" s="15"/>
      <c r="AJ164" s="15"/>
      <c r="AK164" s="15"/>
    </row>
    <row r="165" spans="1:37" ht="16" x14ac:dyDescent="0.2">
      <c r="A165" s="12">
        <v>6</v>
      </c>
      <c r="B165" s="12">
        <v>12</v>
      </c>
      <c r="C165" s="13">
        <v>0.44</v>
      </c>
      <c r="D165" s="14">
        <v>60</v>
      </c>
      <c r="E165" s="13">
        <f>I165/1000</f>
        <v>0.17079238320127399</v>
      </c>
      <c r="F165" s="18">
        <f>J165*$V165*MOUFAC</f>
        <v>4.005524907328736</v>
      </c>
      <c r="G165" s="18">
        <f>K165*$V165*MOUFAC</f>
        <v>0.1851251729543672</v>
      </c>
      <c r="H165" s="24">
        <v>28</v>
      </c>
      <c r="I165" s="34">
        <v>170.79238320127399</v>
      </c>
      <c r="J165" s="36">
        <v>11.36474071261385</v>
      </c>
      <c r="K165" s="36">
        <v>0.52524940892384997</v>
      </c>
      <c r="L165" s="25"/>
      <c r="M165" s="26">
        <f>4*C165*(C165-E165)*Q165</f>
        <v>0.11845135139143942</v>
      </c>
      <c r="N165" s="27">
        <f>MP^2+2*MP*E165-M165</f>
        <v>-0.11845135139143942</v>
      </c>
      <c r="O165" s="28" t="e">
        <f>SQRT(N165)</f>
        <v>#NUM!</v>
      </c>
      <c r="P165" s="28">
        <f>PI()*D165/180</f>
        <v>1.0471975511965976</v>
      </c>
      <c r="Q165" s="28">
        <f>(SIN(P165/2))^2</f>
        <v>0.24999999999999994</v>
      </c>
      <c r="R165" s="28">
        <f>1/(1+2*(1+E165^2/M165)*(TAN(P165/2))^2)</f>
        <v>0.54619702402299108</v>
      </c>
      <c r="S165" s="29" t="e">
        <f>(1/137)*(C165-E165)*(N165-MP^2)/((4*PI()^2*M165*MP*C165)*(1-R165))</f>
        <v>#DIV/0!</v>
      </c>
      <c r="T165" s="29" t="e">
        <f>F165/S165</f>
        <v>#DIV/0!</v>
      </c>
      <c r="U165" s="30" t="e">
        <f>G165/S165</f>
        <v>#DIV/0!</v>
      </c>
      <c r="V165" s="24">
        <f>4*(1/137)^2*(1-Q165)*(C165-E165)^2/M165^2</f>
        <v>8.2560966319969356E-4</v>
      </c>
      <c r="W165" s="24">
        <f>(1/V165)*R165*(M165+E165^2)^2/M165^2</f>
        <v>1027.5266636178164</v>
      </c>
      <c r="X165" s="24">
        <f>(M165+E165^2)^2/(4*(1/137)^2*(C165-E165)^2*(1-Q165+2*Q165*(M165+E165^2)/M165))</f>
        <v>1027.5266636178164</v>
      </c>
      <c r="Y165" s="24">
        <f>AD165*X165*F165</f>
        <v>4115.7836440655592</v>
      </c>
      <c r="Z165" s="24">
        <f>AD165*X165*G165</f>
        <v>190.22105131747216</v>
      </c>
      <c r="AA165" s="24">
        <f>R165</f>
        <v>0.54619702402299108</v>
      </c>
      <c r="AB165" s="24">
        <f>Y165/(0.1973269^2*10000000)</f>
        <v>1.0570120798901281E-2</v>
      </c>
      <c r="AC165" s="24">
        <f>Z165/(0.1973269^2*10000000)</f>
        <v>4.8852409766941905E-4</v>
      </c>
      <c r="AD165" s="24">
        <v>1</v>
      </c>
      <c r="AE165" s="24">
        <f>SQRT(M165+E165^2)</f>
        <v>0.38421529062624543</v>
      </c>
      <c r="AF165" s="24"/>
      <c r="AG165" s="24"/>
      <c r="AH165" s="24"/>
      <c r="AI165" s="15"/>
      <c r="AJ165" s="15"/>
      <c r="AK165" s="15"/>
    </row>
    <row r="166" spans="1:37" ht="16" x14ac:dyDescent="0.2">
      <c r="A166" s="12">
        <v>6</v>
      </c>
      <c r="B166" s="12">
        <v>12</v>
      </c>
      <c r="C166" s="13">
        <v>0.44</v>
      </c>
      <c r="D166" s="14">
        <v>60</v>
      </c>
      <c r="E166" s="13">
        <f>I166/1000</f>
        <v>0.17565418855700199</v>
      </c>
      <c r="F166" s="18">
        <f>J166*$V166*MOUFAC</f>
        <v>3.4937906666714205</v>
      </c>
      <c r="G166" s="18">
        <f>K166*$V166*MOUFAC</f>
        <v>0.18512517295435499</v>
      </c>
      <c r="H166" s="24">
        <v>28</v>
      </c>
      <c r="I166" s="34">
        <v>175.65418855700199</v>
      </c>
      <c r="J166" s="36">
        <v>9.9128144124687836</v>
      </c>
      <c r="K166" s="36">
        <v>0.52524940892381533</v>
      </c>
      <c r="L166" s="25"/>
      <c r="M166" s="26">
        <f>4*C166*(C166-E166)*Q166</f>
        <v>0.11631215703491909</v>
      </c>
      <c r="N166" s="27">
        <f>MP^2+2*MP*E166-M166</f>
        <v>-0.11631215703491909</v>
      </c>
      <c r="O166" s="28" t="e">
        <f>SQRT(N166)</f>
        <v>#NUM!</v>
      </c>
      <c r="P166" s="28">
        <f>PI()*D166/180</f>
        <v>1.0471975511965976</v>
      </c>
      <c r="Q166" s="28">
        <f>(SIN(P166/2))^2</f>
        <v>0.24999999999999994</v>
      </c>
      <c r="R166" s="28">
        <f>1/(1+2*(1+E166^2/M166)*(TAN(P166/2))^2)</f>
        <v>0.54244205804527945</v>
      </c>
      <c r="S166" s="29" t="e">
        <f>(1/137)*(C166-E166)*(N166-MP^2)/((4*PI()^2*M166*MP*C166)*(1-R166))</f>
        <v>#DIV/0!</v>
      </c>
      <c r="T166" s="29" t="e">
        <f>F166/S166</f>
        <v>#DIV/0!</v>
      </c>
      <c r="U166" s="30" t="e">
        <f>G166/S166</f>
        <v>#DIV/0!</v>
      </c>
      <c r="V166" s="24">
        <f>4*(1/137)^2*(1-Q166)*(C166-E166)^2/M166^2</f>
        <v>8.2560966319969356E-4</v>
      </c>
      <c r="W166" s="24">
        <f>(1/V166)*R166*(M166+E166^2)^2/M166^2</f>
        <v>1051.8325139741028</v>
      </c>
      <c r="X166" s="24">
        <f>(M166+E166^2)^2/(4*(1/137)^2*(C166-E166)^2*(1-Q166+2*Q166*(M166+E166^2)/M166))</f>
        <v>1051.8325139741023</v>
      </c>
      <c r="Y166" s="24">
        <f>AD166*X166*F166</f>
        <v>3674.8826202242549</v>
      </c>
      <c r="Z166" s="24">
        <f>AD166*X166*G166</f>
        <v>194.72067606846971</v>
      </c>
      <c r="AA166" s="24">
        <f>R166</f>
        <v>0.54244205804527945</v>
      </c>
      <c r="AB166" s="24">
        <f>Y166/(0.1973269^2*10000000)</f>
        <v>9.4378025126664062E-3</v>
      </c>
      <c r="AC166" s="24">
        <f>Z166/(0.1973269^2*10000000)</f>
        <v>5.0007999595779189E-4</v>
      </c>
      <c r="AD166" s="24">
        <v>1</v>
      </c>
      <c r="AE166" s="24">
        <f>SQRT(M166+E166^2)</f>
        <v>0.38362292813717208</v>
      </c>
      <c r="AF166" s="24"/>
      <c r="AG166" s="24"/>
      <c r="AH166" s="24"/>
      <c r="AI166" s="15"/>
      <c r="AJ166" s="15"/>
      <c r="AK166" s="15"/>
    </row>
    <row r="167" spans="1:37" ht="16" x14ac:dyDescent="0.2">
      <c r="A167" s="12">
        <v>6</v>
      </c>
      <c r="B167" s="12">
        <v>12</v>
      </c>
      <c r="C167" s="13">
        <v>0.44</v>
      </c>
      <c r="D167" s="14">
        <v>60</v>
      </c>
      <c r="E167" s="13">
        <f>I167/1000</f>
        <v>0.18095296012720299</v>
      </c>
      <c r="F167" s="18">
        <f>J167*$V167*MOUFAC</f>
        <v>3.1103036513308586</v>
      </c>
      <c r="G167" s="18">
        <f>K167*$V167*MOUFAC</f>
        <v>0.17088477503479857</v>
      </c>
      <c r="H167" s="24">
        <v>28</v>
      </c>
      <c r="I167" s="34">
        <v>180.952960127203</v>
      </c>
      <c r="J167" s="36">
        <v>8.8247596389169853</v>
      </c>
      <c r="K167" s="36">
        <v>0.48484560823739464</v>
      </c>
      <c r="L167" s="25"/>
      <c r="M167" s="26">
        <f>4*C167*(C167-E167)*Q167</f>
        <v>0.11398069754403065</v>
      </c>
      <c r="N167" s="27">
        <f>MP^2+2*MP*E167-M167</f>
        <v>-0.11398069754403065</v>
      </c>
      <c r="O167" s="28" t="e">
        <f>SQRT(N167)</f>
        <v>#NUM!</v>
      </c>
      <c r="P167" s="28">
        <f>PI()*D167/180</f>
        <v>1.0471975511965976</v>
      </c>
      <c r="Q167" s="28">
        <f>(SIN(P167/2))^2</f>
        <v>0.24999999999999994</v>
      </c>
      <c r="R167" s="28">
        <f>1/(1+2*(1+E167^2/M167)*(TAN(P167/2))^2)</f>
        <v>0.53815974476051842</v>
      </c>
      <c r="S167" s="29" t="e">
        <f>(1/137)*(C167-E167)*(N167-MP^2)/((4*PI()^2*M167*MP*C167)*(1-R167))</f>
        <v>#DIV/0!</v>
      </c>
      <c r="T167" s="29" t="e">
        <f>F167/S167</f>
        <v>#DIV/0!</v>
      </c>
      <c r="U167" s="30" t="e">
        <f>G167/S167</f>
        <v>#DIV/0!</v>
      </c>
      <c r="V167" s="24">
        <f>4*(1/137)^2*(1-Q167)*(C167-E167)^2/M167^2</f>
        <v>8.2560966319969345E-4</v>
      </c>
      <c r="W167" s="24">
        <f>(1/V167)*R167*(M167+E167^2)^2/M167^2</f>
        <v>1080.1401535107784</v>
      </c>
      <c r="X167" s="24">
        <f>(M167+E167^2)^2/(4*(1/137)^2*(C167-E167)^2*(1-Q167+2*Q167*(M167+E167^2)/M167))</f>
        <v>1080.1401535107782</v>
      </c>
      <c r="Y167" s="24">
        <f>AD167*X167*F167</f>
        <v>3359.5638634136476</v>
      </c>
      <c r="Z167" s="24">
        <f>AD167*X167*G167</f>
        <v>184.57950713874212</v>
      </c>
      <c r="AA167" s="24">
        <f>R167</f>
        <v>0.53815974476051842</v>
      </c>
      <c r="AB167" s="24">
        <f>Y167/(0.1973269^2*10000000)</f>
        <v>8.6280035441386998E-3</v>
      </c>
      <c r="AC167" s="24">
        <f>Z167/(0.1973269^2*10000000)</f>
        <v>4.7403553154969682E-4</v>
      </c>
      <c r="AD167" s="24">
        <v>1</v>
      </c>
      <c r="AE167" s="24">
        <f>SQRT(M167+E167^2)</f>
        <v>0.38304656547582799</v>
      </c>
      <c r="AF167" s="24"/>
      <c r="AG167" s="24"/>
      <c r="AH167" s="24"/>
      <c r="AI167" s="15"/>
      <c r="AJ167" s="15"/>
      <c r="AK167" s="15"/>
    </row>
    <row r="168" spans="1:37" ht="16" x14ac:dyDescent="0.2">
      <c r="A168" s="12">
        <v>6</v>
      </c>
      <c r="B168" s="12">
        <v>12</v>
      </c>
      <c r="C168" s="13">
        <v>0.44</v>
      </c>
      <c r="D168" s="14">
        <v>60</v>
      </c>
      <c r="E168" s="13">
        <f>I168/1000</f>
        <v>0.18579785640334898</v>
      </c>
      <c r="F168" s="18">
        <f>J168*$V168*MOUFAC</f>
        <v>3.1254641336975015</v>
      </c>
      <c r="G168" s="18">
        <f>K168*$V168*MOUFAC</f>
        <v>0.18512517295436376</v>
      </c>
      <c r="H168" s="24">
        <v>28</v>
      </c>
      <c r="I168" s="34">
        <v>185.79785640334899</v>
      </c>
      <c r="J168" s="36">
        <v>8.8677739641705386</v>
      </c>
      <c r="K168" s="36">
        <v>0.5252494089238402</v>
      </c>
      <c r="L168" s="25"/>
      <c r="M168" s="26">
        <f>4*C168*(C168-E168)*Q168</f>
        <v>0.11184894318252643</v>
      </c>
      <c r="N168" s="27">
        <f>MP^2+2*MP*E168-M168</f>
        <v>-0.11184894318252643</v>
      </c>
      <c r="O168" s="28" t="e">
        <f>SQRT(N168)</f>
        <v>#NUM!</v>
      </c>
      <c r="P168" s="28">
        <f>PI()*D168/180</f>
        <v>1.0471975511965976</v>
      </c>
      <c r="Q168" s="28">
        <f>(SIN(P168/2))^2</f>
        <v>0.24999999999999994</v>
      </c>
      <c r="R168" s="28">
        <f>1/(1+2*(1+E168^2/M168)*(TAN(P168/2))^2)</f>
        <v>0.5340666741342327</v>
      </c>
      <c r="S168" s="29" t="e">
        <f>(1/137)*(C168-E168)*(N168-MP^2)/((4*PI()^2*M168*MP*C168)*(1-R168))</f>
        <v>#DIV/0!</v>
      </c>
      <c r="T168" s="29" t="e">
        <f>F168/S168</f>
        <v>#DIV/0!</v>
      </c>
      <c r="U168" s="30" t="e">
        <f>G168/S168</f>
        <v>#DIV/0!</v>
      </c>
      <c r="V168" s="24">
        <f>4*(1/137)^2*(1-Q168)*(C168-E168)^2/M168^2</f>
        <v>8.2560966319969356E-4</v>
      </c>
      <c r="W168" s="24">
        <f>(1/V168)*R168*(M168+E168^2)^2/M168^2</f>
        <v>1107.7960718411241</v>
      </c>
      <c r="X168" s="24">
        <f>(M168+E168^2)^2/(4*(1/137)^2*(C168-E168)^2*(1-Q168+2*Q168*(M168+E168^2)/M168))</f>
        <v>1107.7960718411239</v>
      </c>
      <c r="Y168" s="24">
        <f>AD168*X168*F168</f>
        <v>3462.3768899904135</v>
      </c>
      <c r="Z168" s="24">
        <f>AD168*X168*G168</f>
        <v>205.08093939775284</v>
      </c>
      <c r="AA168" s="24">
        <f>R168</f>
        <v>0.5340666741342327</v>
      </c>
      <c r="AB168" s="24">
        <f>Y168/(0.1973269^2*10000000)</f>
        <v>8.8920470907872268E-3</v>
      </c>
      <c r="AC168" s="24">
        <f>Z168/(0.1973269^2*10000000)</f>
        <v>5.2668713675267989E-4</v>
      </c>
      <c r="AD168" s="24">
        <v>1</v>
      </c>
      <c r="AE168" s="24">
        <f>SQRT(M168+E168^2)</f>
        <v>0.38258304539878124</v>
      </c>
      <c r="AF168" s="24"/>
      <c r="AG168" s="24"/>
      <c r="AH168" s="24"/>
      <c r="AI168" s="15"/>
      <c r="AJ168" s="15"/>
      <c r="AK168" s="15"/>
    </row>
    <row r="169" spans="1:37" ht="16" x14ac:dyDescent="0.2">
      <c r="A169" s="12">
        <v>6</v>
      </c>
      <c r="B169" s="12">
        <v>12</v>
      </c>
      <c r="C169" s="13">
        <v>0.44</v>
      </c>
      <c r="D169" s="14">
        <v>60</v>
      </c>
      <c r="E169" s="13">
        <f>I169/1000</f>
        <v>0.19065432204973601</v>
      </c>
      <c r="F169" s="18">
        <f>J169*$V169*MOUFAC</f>
        <v>2.8415762597532526</v>
      </c>
      <c r="G169" s="18">
        <f>K169*$V169*MOUFAC</f>
        <v>0.12816358127609676</v>
      </c>
      <c r="H169" s="24">
        <v>28</v>
      </c>
      <c r="I169" s="34">
        <v>190.65432204973601</v>
      </c>
      <c r="J169" s="36">
        <v>8.0623084750086704</v>
      </c>
      <c r="K169" s="36">
        <v>0.36363420617803976</v>
      </c>
      <c r="L169" s="25"/>
      <c r="M169" s="26">
        <f>4*C169*(C169-E169)*Q169</f>
        <v>0.10971209829811614</v>
      </c>
      <c r="N169" s="27">
        <f>MP^2+2*MP*E169-M169</f>
        <v>-0.10971209829811614</v>
      </c>
      <c r="O169" s="28" t="e">
        <f>SQRT(N169)</f>
        <v>#NUM!</v>
      </c>
      <c r="P169" s="28">
        <f>PI()*D169/180</f>
        <v>1.0471975511965976</v>
      </c>
      <c r="Q169" s="28">
        <f>(SIN(P169/2))^2</f>
        <v>0.24999999999999994</v>
      </c>
      <c r="R169" s="28">
        <f>1/(1+2*(1+E169^2/M169)*(TAN(P169/2))^2)</f>
        <v>0.52978949130678921</v>
      </c>
      <c r="S169" s="29" t="e">
        <f>(1/137)*(C169-E169)*(N169-MP^2)/((4*PI()^2*M169*MP*C169)*(1-R169))</f>
        <v>#DIV/0!</v>
      </c>
      <c r="T169" s="29" t="e">
        <f>F169/S169</f>
        <v>#DIV/0!</v>
      </c>
      <c r="U169" s="30" t="e">
        <f>G169/S169</f>
        <v>#DIV/0!</v>
      </c>
      <c r="V169" s="24">
        <f>4*(1/137)^2*(1-Q169)*(C169-E169)^2/M169^2</f>
        <v>8.2560966319969345E-4</v>
      </c>
      <c r="W169" s="24">
        <f>(1/V169)*R169*(M169+E169^2)^2/M169^2</f>
        <v>1137.3367512993598</v>
      </c>
      <c r="X169" s="24">
        <f>(M169+E169^2)^2/(4*(1/137)^2*(C169-E169)^2*(1-Q169+2*Q169*(M169+E169^2)/M169))</f>
        <v>1137.3367512993593</v>
      </c>
      <c r="Y169" s="24">
        <f>AD169*X169*F169</f>
        <v>3231.8291118371485</v>
      </c>
      <c r="Z169" s="24">
        <f>AD169*X169*G169</f>
        <v>145.76515116344729</v>
      </c>
      <c r="AA169" s="24">
        <f>R169</f>
        <v>0.52978949130678921</v>
      </c>
      <c r="AB169" s="24">
        <f>Y169/(0.1973269^2*10000000)</f>
        <v>8.2999562337976868E-3</v>
      </c>
      <c r="AC169" s="24">
        <f>Z169/(0.1973269^2*10000000)</f>
        <v>3.7435283030227263E-4</v>
      </c>
      <c r="AD169" s="24">
        <v>1</v>
      </c>
      <c r="AE169" s="24">
        <f>SQRT(M169+E169^2)</f>
        <v>0.38217949816069491</v>
      </c>
      <c r="AF169" s="24"/>
      <c r="AG169" s="24"/>
      <c r="AH169" s="24"/>
      <c r="AI169" s="15"/>
      <c r="AJ169" s="15"/>
      <c r="AK169" s="15"/>
    </row>
    <row r="170" spans="1:37" ht="16" x14ac:dyDescent="0.2">
      <c r="A170" s="12">
        <v>6</v>
      </c>
      <c r="B170" s="12">
        <v>12</v>
      </c>
      <c r="C170" s="13">
        <v>0.44</v>
      </c>
      <c r="D170" s="14">
        <v>60</v>
      </c>
      <c r="E170" s="13">
        <f>I170/1000</f>
        <v>0.195495658519654</v>
      </c>
      <c r="F170" s="18">
        <f>J170*$V170*MOUFAC</f>
        <v>2.9564195275568617</v>
      </c>
      <c r="G170" s="18">
        <f>K170*$V170*MOUFAC</f>
        <v>0.15664437711523022</v>
      </c>
      <c r="H170" s="24">
        <v>28</v>
      </c>
      <c r="I170" s="34">
        <v>195.495658519654</v>
      </c>
      <c r="J170" s="36">
        <v>8.3881494050673702</v>
      </c>
      <c r="K170" s="36">
        <v>0.44444180755093976</v>
      </c>
      <c r="L170" s="25"/>
      <c r="M170" s="26">
        <f>4*C170*(C170-E170)*Q170</f>
        <v>0.10758191025135221</v>
      </c>
      <c r="N170" s="27">
        <f>MP^2+2*MP*E170-M170</f>
        <v>-0.10758191025135221</v>
      </c>
      <c r="O170" s="28" t="e">
        <f>SQRT(N170)</f>
        <v>#NUM!</v>
      </c>
      <c r="P170" s="28">
        <f>PI()*D170/180</f>
        <v>1.0471975511965976</v>
      </c>
      <c r="Q170" s="28">
        <f>(SIN(P170/2))^2</f>
        <v>0.24999999999999994</v>
      </c>
      <c r="R170" s="28">
        <f>1/(1+2*(1+E170^2/M170)*(TAN(P170/2))^2)</f>
        <v>0.5253479081672302</v>
      </c>
      <c r="S170" s="29" t="e">
        <f>(1/137)*(C170-E170)*(N170-MP^2)/((4*PI()^2*M170*MP*C170)*(1-R170))</f>
        <v>#DIV/0!</v>
      </c>
      <c r="T170" s="29" t="e">
        <f>F170/S170</f>
        <v>#DIV/0!</v>
      </c>
      <c r="U170" s="30" t="e">
        <f>G170/S170</f>
        <v>#DIV/0!</v>
      </c>
      <c r="V170" s="24">
        <f>4*(1/137)^2*(1-Q170)*(C170-E170)^2/M170^2</f>
        <v>8.2560966319969366E-4</v>
      </c>
      <c r="W170" s="24">
        <f>(1/V170)*R170*(M170+E170^2)^2/M170^2</f>
        <v>1168.7228677714909</v>
      </c>
      <c r="X170" s="24">
        <f>(M170+E170^2)^2/(4*(1/137)^2*(C170-E170)^2*(1-Q170+2*Q170*(M170+E170^2)/M170))</f>
        <v>1168.7228677714907</v>
      </c>
      <c r="Y170" s="24">
        <f>AD170*X170*F170</f>
        <v>3455.2351085818909</v>
      </c>
      <c r="Z170" s="24">
        <f>AD170*X170*G170</f>
        <v>183.07386564239073</v>
      </c>
      <c r="AA170" s="24">
        <f>R170</f>
        <v>0.5253479081672302</v>
      </c>
      <c r="AB170" s="24">
        <f>Y170/(0.1973269^2*10000000)</f>
        <v>8.8737056280827238E-3</v>
      </c>
      <c r="AC170" s="24">
        <f>Z170/(0.1973269^2*10000000)</f>
        <v>4.7016875577317617E-4</v>
      </c>
      <c r="AD170" s="24">
        <v>1</v>
      </c>
      <c r="AE170" s="24">
        <f>SQRT(M170+E170^2)</f>
        <v>0.38183826779329672</v>
      </c>
      <c r="AF170" s="24"/>
      <c r="AG170" s="24"/>
      <c r="AH170" s="24"/>
      <c r="AI170" s="15"/>
      <c r="AJ170" s="15"/>
      <c r="AK170" s="15"/>
    </row>
    <row r="171" spans="1:37" ht="16" x14ac:dyDescent="0.2">
      <c r="A171" s="12">
        <v>6</v>
      </c>
      <c r="B171" s="12">
        <v>12</v>
      </c>
      <c r="C171" s="13">
        <v>0.44</v>
      </c>
      <c r="D171" s="14">
        <v>60</v>
      </c>
      <c r="E171" s="13">
        <f>I171/1000</f>
        <v>0.200785530574285</v>
      </c>
      <c r="F171" s="18">
        <f>J171*$V171*MOUFAC</f>
        <v>2.8577404706076224</v>
      </c>
      <c r="G171" s="18">
        <f>K171*$V171*MOUFAC</f>
        <v>0.14240397919566347</v>
      </c>
      <c r="H171" s="24">
        <v>28</v>
      </c>
      <c r="I171" s="34">
        <v>200.78553057428499</v>
      </c>
      <c r="J171" s="36">
        <v>8.1081706452445399</v>
      </c>
      <c r="K171" s="36">
        <v>0.40403800686448976</v>
      </c>
      <c r="L171" s="25"/>
      <c r="M171" s="26">
        <f>4*C171*(C171-E171)*Q171</f>
        <v>0.10525436654731457</v>
      </c>
      <c r="N171" s="27">
        <f>MP^2+2*MP*E171-M171</f>
        <v>-0.10525436654731457</v>
      </c>
      <c r="O171" s="28" t="e">
        <f>SQRT(N171)</f>
        <v>#NUM!</v>
      </c>
      <c r="P171" s="28">
        <f>PI()*D171/180</f>
        <v>1.0471975511965976</v>
      </c>
      <c r="Q171" s="28">
        <f>(SIN(P171/2))^2</f>
        <v>0.24999999999999994</v>
      </c>
      <c r="R171" s="28">
        <f>1/(1+2*(1+E171^2/M171)*(TAN(P171/2))^2)</f>
        <v>0.52028723633390961</v>
      </c>
      <c r="S171" s="29" t="e">
        <f>(1/137)*(C171-E171)*(N171-MP^2)/((4*PI()^2*M171*MP*C171)*(1-R171))</f>
        <v>#DIV/0!</v>
      </c>
      <c r="T171" s="29" t="e">
        <f>F171/S171</f>
        <v>#DIV/0!</v>
      </c>
      <c r="U171" s="30" t="e">
        <f>G171/S171</f>
        <v>#DIV/0!</v>
      </c>
      <c r="V171" s="24">
        <f>4*(1/137)^2*(1-Q171)*(C171-E171)^2/M171^2</f>
        <v>8.2560966319969356E-4</v>
      </c>
      <c r="W171" s="24">
        <f>(1/V171)*R171*(M171+E171^2)^2/M171^2</f>
        <v>1205.3887294505919</v>
      </c>
      <c r="X171" s="24">
        <f>(M171+E171^2)^2/(4*(1/137)^2*(C171-E171)^2*(1-Q171+2*Q171*(M171+E171^2)/M171))</f>
        <v>1205.3887294505917</v>
      </c>
      <c r="Y171" s="24">
        <f>AD171*X171*F171</f>
        <v>3444.6881549652576</v>
      </c>
      <c r="Z171" s="24">
        <f>AD171*X171*G171</f>
        <v>171.65215155136929</v>
      </c>
      <c r="AA171" s="24">
        <f>R171</f>
        <v>0.52028723633390961</v>
      </c>
      <c r="AB171" s="24">
        <f>Y171/(0.1973269^2*10000000)</f>
        <v>8.8466190308683704E-3</v>
      </c>
      <c r="AC171" s="24">
        <f>Z171/(0.1973269^2*10000000)</f>
        <v>4.4083560609542639E-4</v>
      </c>
      <c r="AD171" s="24">
        <v>1</v>
      </c>
      <c r="AE171" s="24">
        <f>SQRT(M171+E171^2)</f>
        <v>0.38153531400816842</v>
      </c>
      <c r="AF171" s="24"/>
      <c r="AG171" s="24"/>
      <c r="AH171" s="24"/>
      <c r="AI171" s="15"/>
      <c r="AJ171" s="15"/>
      <c r="AK171" s="15"/>
    </row>
    <row r="172" spans="1:37" ht="16" x14ac:dyDescent="0.2">
      <c r="A172" s="12">
        <v>6</v>
      </c>
      <c r="B172" s="12">
        <v>12</v>
      </c>
      <c r="C172" s="13">
        <v>0.44</v>
      </c>
      <c r="D172" s="14">
        <v>60</v>
      </c>
      <c r="E172" s="13">
        <f>I172/1000</f>
        <v>0.206076292580473</v>
      </c>
      <c r="F172" s="18">
        <f>J172*$V172*MOUFAC</f>
        <v>2.7163402198996796</v>
      </c>
      <c r="G172" s="18">
        <f>K172*$V172*MOUFAC</f>
        <v>0.14240397919566361</v>
      </c>
      <c r="H172" s="24">
        <v>28</v>
      </c>
      <c r="I172" s="34">
        <v>206.07629258047299</v>
      </c>
      <c r="J172" s="36">
        <v>7.7069804833623499</v>
      </c>
      <c r="K172" s="36">
        <v>0.40403800686449021</v>
      </c>
      <c r="L172" s="25"/>
      <c r="M172" s="26">
        <f>4*C172*(C172-E172)*Q172</f>
        <v>0.10292643126459186</v>
      </c>
      <c r="N172" s="27">
        <f>MP^2+2*MP*E172-M172</f>
        <v>-0.10292643126459186</v>
      </c>
      <c r="O172" s="28" t="e">
        <f>SQRT(N172)</f>
        <v>#NUM!</v>
      </c>
      <c r="P172" s="28">
        <f>PI()*D172/180</f>
        <v>1.0471975511965976</v>
      </c>
      <c r="Q172" s="28">
        <f>(SIN(P172/2))^2</f>
        <v>0.24999999999999994</v>
      </c>
      <c r="R172" s="28">
        <f>1/(1+2*(1+E172^2/M172)*(TAN(P172/2))^2)</f>
        <v>0.51500378902224819</v>
      </c>
      <c r="S172" s="29" t="e">
        <f>(1/137)*(C172-E172)*(N172-MP^2)/((4*PI()^2*M172*MP*C172)*(1-R172))</f>
        <v>#DIV/0!</v>
      </c>
      <c r="T172" s="29" t="e">
        <f>F172/S172</f>
        <v>#DIV/0!</v>
      </c>
      <c r="U172" s="30" t="e">
        <f>G172/S172</f>
        <v>#DIV/0!</v>
      </c>
      <c r="V172" s="24">
        <f>4*(1/137)^2*(1-Q172)*(C172-E172)^2/M172^2</f>
        <v>8.2560966319969345E-4</v>
      </c>
      <c r="W172" s="24">
        <f>(1/V172)*R172*(M172+E172^2)^2/M172^2</f>
        <v>1244.7267353157174</v>
      </c>
      <c r="X172" s="24">
        <f>(M172+E172^2)^2/(4*(1/137)^2*(C172-E172)^2*(1-Q172+2*Q172*(M172+E172^2)/M172))</f>
        <v>1244.7267353157174</v>
      </c>
      <c r="Y172" s="24">
        <f>AD172*X172*F172</f>
        <v>3381.1012939225061</v>
      </c>
      <c r="Z172" s="24">
        <f>AD172*X172*G172</f>
        <v>177.25404012018572</v>
      </c>
      <c r="AA172" s="24">
        <f>R172</f>
        <v>0.51500378902224819</v>
      </c>
      <c r="AB172" s="24">
        <f>Y172/(0.1973269^2*10000000)</f>
        <v>8.6833157912984422E-3</v>
      </c>
      <c r="AC172" s="24">
        <f>Z172/(0.1973269^2*10000000)</f>
        <v>4.5522232901264073E-4</v>
      </c>
      <c r="AD172" s="24">
        <v>1</v>
      </c>
      <c r="AE172" s="24">
        <f>SQRT(M172+E172^2)</f>
        <v>0.38130548072156606</v>
      </c>
      <c r="AF172" s="24"/>
      <c r="AG172" s="24"/>
      <c r="AH172" s="24"/>
      <c r="AI172" s="15"/>
      <c r="AJ172" s="15"/>
      <c r="AK172" s="15"/>
    </row>
    <row r="173" spans="1:37" ht="16" x14ac:dyDescent="0.2">
      <c r="A173" s="12">
        <v>6</v>
      </c>
      <c r="B173" s="12">
        <v>12</v>
      </c>
      <c r="C173" s="13">
        <v>0.44</v>
      </c>
      <c r="D173" s="14">
        <v>60</v>
      </c>
      <c r="E173" s="13">
        <f>I173/1000</f>
        <v>0.210925638614404</v>
      </c>
      <c r="F173" s="18">
        <f>J173*$V173*MOUFAC</f>
        <v>2.6033371209902256</v>
      </c>
      <c r="G173" s="18">
        <f>K173*$V173*MOUFAC</f>
        <v>0.14240397919566533</v>
      </c>
      <c r="H173" s="24">
        <v>28</v>
      </c>
      <c r="I173" s="34">
        <v>210.92563861440399</v>
      </c>
      <c r="J173" s="36">
        <v>7.3863606024378647</v>
      </c>
      <c r="K173" s="36">
        <v>0.40403800686449509</v>
      </c>
      <c r="L173" s="25"/>
      <c r="M173" s="26">
        <f>4*C173*(C173-E173)*Q173</f>
        <v>0.10079271900966222</v>
      </c>
      <c r="N173" s="27">
        <f>MP^2+2*MP*E173-M173</f>
        <v>-0.10079271900966222</v>
      </c>
      <c r="O173" s="28" t="e">
        <f>SQRT(N173)</f>
        <v>#NUM!</v>
      </c>
      <c r="P173" s="28">
        <f>PI()*D173/180</f>
        <v>1.0471975511965976</v>
      </c>
      <c r="Q173" s="28">
        <f>(SIN(P173/2))^2</f>
        <v>0.24999999999999994</v>
      </c>
      <c r="R173" s="28">
        <f>1/(1+2*(1+E173^2/M173)*(TAN(P173/2))^2)</f>
        <v>0.50996172654543082</v>
      </c>
      <c r="S173" s="29" t="e">
        <f>(1/137)*(C173-E173)*(N173-MP^2)/((4*PI()^2*M173*MP*C173)*(1-R173))</f>
        <v>#DIV/0!</v>
      </c>
      <c r="T173" s="29" t="e">
        <f>F173/S173</f>
        <v>#DIV/0!</v>
      </c>
      <c r="U173" s="30" t="e">
        <f>G173/S173</f>
        <v>#DIV/0!</v>
      </c>
      <c r="V173" s="24">
        <f>4*(1/137)^2*(1-Q173)*(C173-E173)^2/M173^2</f>
        <v>8.2560966319969345E-4</v>
      </c>
      <c r="W173" s="24">
        <f>(1/V173)*R173*(M173+E173^2)^2/M173^2</f>
        <v>1283.3058380143111</v>
      </c>
      <c r="X173" s="24">
        <f>(M173+E173^2)^2/(4*(1/137)^2*(C173-E173)^2*(1-Q173+2*Q173*(M173+E173^2)/M173))</f>
        <v>1283.3058380143111</v>
      </c>
      <c r="Y173" s="24">
        <f>AD173*X173*F173</f>
        <v>3340.8777256861254</v>
      </c>
      <c r="Z173" s="24">
        <f>AD173*X173*G173</f>
        <v>182.74785785826583</v>
      </c>
      <c r="AA173" s="24">
        <f>R173</f>
        <v>0.50996172654543082</v>
      </c>
      <c r="AB173" s="24">
        <f>Y173/(0.1973269^2*10000000)</f>
        <v>8.580013963022208E-3</v>
      </c>
      <c r="AC173" s="24">
        <f>Z173/(0.1973269^2*10000000)</f>
        <v>4.6933150533496351E-4</v>
      </c>
      <c r="AD173" s="24">
        <v>1</v>
      </c>
      <c r="AE173" s="24">
        <f>SQRT(M173+E173^2)</f>
        <v>0.38115921087461124</v>
      </c>
      <c r="AF173" s="24"/>
      <c r="AG173" s="24"/>
      <c r="AH173" s="24"/>
      <c r="AI173" s="15"/>
      <c r="AJ173" s="15"/>
      <c r="AK173" s="15"/>
    </row>
    <row r="174" spans="1:37" ht="16" x14ac:dyDescent="0.2">
      <c r="A174" s="12">
        <v>6</v>
      </c>
      <c r="B174" s="12">
        <v>12</v>
      </c>
      <c r="C174" s="13">
        <v>0.44</v>
      </c>
      <c r="D174" s="14">
        <v>60</v>
      </c>
      <c r="E174" s="13">
        <f>I174/1000</f>
        <v>0.21577320474522099</v>
      </c>
      <c r="F174" s="18">
        <f>J174*$V174*MOUFAC</f>
        <v>2.5615360116786041</v>
      </c>
      <c r="G174" s="18">
        <f>K174*$V174*MOUFAC</f>
        <v>0.12816358127609864</v>
      </c>
      <c r="H174" s="24">
        <v>28</v>
      </c>
      <c r="I174" s="34">
        <v>215.77320474522099</v>
      </c>
      <c r="J174" s="36">
        <v>7.2677597249456252</v>
      </c>
      <c r="K174" s="36">
        <v>0.36363420617804509</v>
      </c>
      <c r="L174" s="25"/>
      <c r="M174" s="26">
        <f>4*C174*(C174-E174)*Q174</f>
        <v>9.8659789912102738E-2</v>
      </c>
      <c r="N174" s="27">
        <f>MP^2+2*MP*E174-M174</f>
        <v>-9.8659789912102738E-2</v>
      </c>
      <c r="O174" s="28" t="e">
        <f>SQRT(N174)</f>
        <v>#NUM!</v>
      </c>
      <c r="P174" s="28">
        <f>PI()*D174/180</f>
        <v>1.0471975511965976</v>
      </c>
      <c r="Q174" s="28">
        <f>(SIN(P174/2))^2</f>
        <v>0.24999999999999994</v>
      </c>
      <c r="R174" s="28">
        <f>1/(1+2*(1+E174^2/M174)*(TAN(P174/2))^2)</f>
        <v>0.50472671843499561</v>
      </c>
      <c r="S174" s="29" t="e">
        <f>(1/137)*(C174-E174)*(N174-MP^2)/((4*PI()^2*M174*MP*C174)*(1-R174))</f>
        <v>#DIV/0!</v>
      </c>
      <c r="T174" s="29" t="e">
        <f>F174/S174</f>
        <v>#DIV/0!</v>
      </c>
      <c r="U174" s="30" t="e">
        <f>G174/S174</f>
        <v>#DIV/0!</v>
      </c>
      <c r="V174" s="24">
        <f>4*(1/137)^2*(1-Q174)*(C174-E174)^2/M174^2</f>
        <v>8.2560966319969356E-4</v>
      </c>
      <c r="W174" s="24">
        <f>(1/V174)*R174*(M174+E174^2)^2/M174^2</f>
        <v>1324.4673442943547</v>
      </c>
      <c r="X174" s="24">
        <f>(M174+E174^2)^2/(4*(1/137)^2*(C174-E174)^2*(1-Q174+2*Q174*(M174+E174^2)/M174))</f>
        <v>1324.467344294354</v>
      </c>
      <c r="Y174" s="24">
        <f>AD174*X174*F174</f>
        <v>3392.6707987023124</v>
      </c>
      <c r="Z174" s="24">
        <f>AD174*X174*G174</f>
        <v>169.74847812800797</v>
      </c>
      <c r="AA174" s="24">
        <f>R174</f>
        <v>0.50472671843499561</v>
      </c>
      <c r="AB174" s="24">
        <f>Y174/(0.1973269^2*10000000)</f>
        <v>8.7130284957751079E-3</v>
      </c>
      <c r="AC174" s="24">
        <f>Z174/(0.1973269^2*10000000)</f>
        <v>4.3594660808514451E-4</v>
      </c>
      <c r="AD174" s="24">
        <v>1</v>
      </c>
      <c r="AE174" s="24">
        <f>SQRT(M174+E174^2)</f>
        <v>0.38107461972443901</v>
      </c>
      <c r="AF174" s="24"/>
      <c r="AG174" s="24"/>
      <c r="AH174" s="24"/>
      <c r="AI174" s="15"/>
      <c r="AJ174" s="15"/>
      <c r="AK174" s="15"/>
    </row>
    <row r="175" spans="1:37" ht="16" x14ac:dyDescent="0.2">
      <c r="A175" s="12">
        <v>6</v>
      </c>
      <c r="B175" s="12">
        <v>12</v>
      </c>
      <c r="C175" s="13">
        <v>0.44</v>
      </c>
      <c r="D175" s="14">
        <v>60</v>
      </c>
      <c r="E175" s="13">
        <f>I175/1000</f>
        <v>0.22017757500066698</v>
      </c>
      <c r="F175" s="18">
        <f>J175*$V175*MOUFAC</f>
        <v>2.5766128500046106</v>
      </c>
      <c r="G175" s="18">
        <f>K175*$V175*MOUFAC</f>
        <v>0.14240397919566541</v>
      </c>
      <c r="H175" s="24">
        <v>28</v>
      </c>
      <c r="I175" s="34">
        <v>220.17757500066699</v>
      </c>
      <c r="J175" s="36">
        <v>7.3105367297840047</v>
      </c>
      <c r="K175" s="36">
        <v>0.40403800686449509</v>
      </c>
      <c r="L175" s="25"/>
      <c r="M175" s="26">
        <f>4*C175*(C175-E175)*Q175</f>
        <v>9.6721866999706502E-2</v>
      </c>
      <c r="N175" s="27">
        <f>MP^2+2*MP*E175-M175</f>
        <v>-9.6721866999706502E-2</v>
      </c>
      <c r="O175" s="28" t="e">
        <f>SQRT(N175)</f>
        <v>#NUM!</v>
      </c>
      <c r="P175" s="28">
        <f>PI()*D175/180</f>
        <v>1.0471975511965976</v>
      </c>
      <c r="Q175" s="28">
        <f>(SIN(P175/2))^2</f>
        <v>0.24999999999999994</v>
      </c>
      <c r="R175" s="28">
        <f>1/(1+2*(1+E175^2/M175)*(TAN(P175/2))^2)</f>
        <v>0.49979807446327396</v>
      </c>
      <c r="S175" s="29" t="e">
        <f>(1/137)*(C175-E175)*(N175-MP^2)/((4*PI()^2*M175*MP*C175)*(1-R175))</f>
        <v>#DIV/0!</v>
      </c>
      <c r="T175" s="29" t="e">
        <f>F175/S175</f>
        <v>#DIV/0!</v>
      </c>
      <c r="U175" s="30" t="e">
        <f>G175/S175</f>
        <v>#DIV/0!</v>
      </c>
      <c r="V175" s="24">
        <f>4*(1/137)^2*(1-Q175)*(C175-E175)^2/M175^2</f>
        <v>8.2560966319969377E-4</v>
      </c>
      <c r="W175" s="24">
        <f>(1/V175)*R175*(M175+E175^2)^2/M175^2</f>
        <v>1364.2811873527996</v>
      </c>
      <c r="X175" s="24">
        <f>(M175+E175^2)^2/(4*(1/137)^2*(C175-E175)^2*(1-Q175+2*Q175*(M175+E175^2)/M175))</f>
        <v>1364.2811873527999</v>
      </c>
      <c r="Y175" s="24">
        <f>AD175*X175*F175</f>
        <v>3515.2244383527718</v>
      </c>
      <c r="Z175" s="24">
        <f>AD175*X175*G175</f>
        <v>194.27906982082581</v>
      </c>
      <c r="AA175" s="24">
        <f>R175</f>
        <v>0.49979807446327396</v>
      </c>
      <c r="AB175" s="24">
        <f>Y175/(0.1973269^2*10000000)</f>
        <v>9.0277697182196328E-3</v>
      </c>
      <c r="AC175" s="24">
        <f>Z175/(0.1973269^2*10000000)</f>
        <v>4.9894586652174248E-4</v>
      </c>
      <c r="AD175" s="24">
        <v>1</v>
      </c>
      <c r="AE175" s="24">
        <f>SQRT(M175+E175^2)</f>
        <v>0.38105121904132627</v>
      </c>
      <c r="AF175" s="24"/>
      <c r="AG175" s="24"/>
      <c r="AH175" s="24"/>
      <c r="AI175" s="15"/>
      <c r="AJ175" s="15"/>
      <c r="AK175" s="15"/>
    </row>
    <row r="176" spans="1:37" ht="16" x14ac:dyDescent="0.2">
      <c r="A176" s="12">
        <v>6</v>
      </c>
      <c r="B176" s="12">
        <v>12</v>
      </c>
      <c r="C176" s="13">
        <v>0.44</v>
      </c>
      <c r="D176" s="14">
        <v>60</v>
      </c>
      <c r="E176" s="13">
        <f>I176/1000</f>
        <v>0.22590708312444099</v>
      </c>
      <c r="F176" s="18">
        <f>J176*$V176*MOUFAC</f>
        <v>2.4780174370960073</v>
      </c>
      <c r="G176" s="18">
        <f>K176*$V176*MOUFAC</f>
        <v>0.15664437711523208</v>
      </c>
      <c r="H176" s="24">
        <v>28</v>
      </c>
      <c r="I176" s="34">
        <v>225.90708312444099</v>
      </c>
      <c r="J176" s="36">
        <v>7.0307952903763447</v>
      </c>
      <c r="K176" s="36">
        <v>0.44444180755094509</v>
      </c>
      <c r="L176" s="25"/>
      <c r="M176" s="26">
        <f>4*C176*(C176-E176)*Q176</f>
        <v>9.4200883425245935E-2</v>
      </c>
      <c r="N176" s="27">
        <f>MP^2+2*MP*E176-M176</f>
        <v>-9.4200883425245935E-2</v>
      </c>
      <c r="O176" s="28" t="e">
        <f>SQRT(N176)</f>
        <v>#NUM!</v>
      </c>
      <c r="P176" s="28">
        <f>PI()*D176/180</f>
        <v>1.0471975511965976</v>
      </c>
      <c r="Q176" s="28">
        <f>(SIN(P176/2))^2</f>
        <v>0.24999999999999994</v>
      </c>
      <c r="R176" s="28">
        <f>1/(1+2*(1+E176^2/M176)*(TAN(P176/2))^2)</f>
        <v>0.49313600125305201</v>
      </c>
      <c r="S176" s="29" t="e">
        <f>(1/137)*(C176-E176)*(N176-MP^2)/((4*PI()^2*M176*MP*C176)*(1-R176))</f>
        <v>#DIV/0!</v>
      </c>
      <c r="T176" s="29" t="e">
        <f>F176/S176</f>
        <v>#DIV/0!</v>
      </c>
      <c r="U176" s="30" t="e">
        <f>G176/S176</f>
        <v>#DIV/0!</v>
      </c>
      <c r="V176" s="24">
        <f>4*(1/137)^2*(1-Q176)*(C176-E176)^2/M176^2</f>
        <v>8.2560966319969366E-4</v>
      </c>
      <c r="W176" s="24">
        <f>(1/V176)*R176*(M176+E176^2)^2/M176^2</f>
        <v>1419.7894097311735</v>
      </c>
      <c r="X176" s="24">
        <f>(M176+E176^2)^2/(4*(1/137)^2*(C176-E176)^2*(1-Q176+2*Q176*(M176+E176^2)/M176))</f>
        <v>1419.789409731173</v>
      </c>
      <c r="Y176" s="24">
        <f>AD176*X176*F176</f>
        <v>3518.2629143180943</v>
      </c>
      <c r="Z176" s="24">
        <f>AD176*X176*G176</f>
        <v>222.40202772214261</v>
      </c>
      <c r="AA176" s="24">
        <f>R176</f>
        <v>0.49313600125305201</v>
      </c>
      <c r="AB176" s="24">
        <f>Y176/(0.1973269^2*10000000)</f>
        <v>9.0355731065353256E-3</v>
      </c>
      <c r="AC176" s="24">
        <f>Z176/(0.1973269^2*10000000)</f>
        <v>5.7117100951922469E-4</v>
      </c>
      <c r="AD176" s="24">
        <v>1</v>
      </c>
      <c r="AE176" s="24">
        <f>SQRT(M176+E176^2)</f>
        <v>0.38109696093125572</v>
      </c>
      <c r="AF176" s="24"/>
      <c r="AG176" s="24"/>
      <c r="AH176" s="24"/>
      <c r="AI176" s="15"/>
      <c r="AJ176" s="15"/>
      <c r="AK176" s="15"/>
    </row>
    <row r="177" spans="1:37" ht="16" x14ac:dyDescent="0.2">
      <c r="A177" s="12">
        <v>6</v>
      </c>
      <c r="B177" s="12">
        <v>12</v>
      </c>
      <c r="C177" s="13">
        <v>0.44</v>
      </c>
      <c r="D177" s="14">
        <v>60</v>
      </c>
      <c r="E177" s="13">
        <f>I177/1000</f>
        <v>0.23074841959435999</v>
      </c>
      <c r="F177" s="18">
        <f>J177*$V177*MOUFAC</f>
        <v>2.6355818986583186</v>
      </c>
      <c r="G177" s="18">
        <f>K177*$V177*MOUFAC</f>
        <v>0.14240397919566516</v>
      </c>
      <c r="H177" s="24">
        <v>28</v>
      </c>
      <c r="I177" s="34">
        <v>230.74841959436</v>
      </c>
      <c r="J177" s="36">
        <v>7.477847622494405</v>
      </c>
      <c r="K177" s="36">
        <v>0.40403800686449465</v>
      </c>
      <c r="L177" s="25"/>
      <c r="M177" s="26">
        <f>4*C177*(C177-E177)*Q177</f>
        <v>9.2070695378481587E-2</v>
      </c>
      <c r="N177" s="27">
        <f>MP^2+2*MP*E177-M177</f>
        <v>-9.2070695378481587E-2</v>
      </c>
      <c r="O177" s="28" t="e">
        <f>SQRT(N177)</f>
        <v>#NUM!</v>
      </c>
      <c r="P177" s="28">
        <f>PI()*D177/180</f>
        <v>1.0471975511965976</v>
      </c>
      <c r="Q177" s="28">
        <f>(SIN(P177/2))^2</f>
        <v>0.24999999999999994</v>
      </c>
      <c r="R177" s="28">
        <f>1/(1+2*(1+E177^2/M177)*(TAN(P177/2))^2)</f>
        <v>0.48728133956852604</v>
      </c>
      <c r="S177" s="29" t="e">
        <f>(1/137)*(C177-E177)*(N177-MP^2)/((4*PI()^2*M177*MP*C177)*(1-R177))</f>
        <v>#DIV/0!</v>
      </c>
      <c r="T177" s="29" t="e">
        <f>F177/S177</f>
        <v>#DIV/0!</v>
      </c>
      <c r="U177" s="30" t="e">
        <f>G177/S177</f>
        <v>#DIV/0!</v>
      </c>
      <c r="V177" s="24">
        <f>4*(1/137)^2*(1-Q177)*(C177-E177)^2/M177^2</f>
        <v>8.2560966319969345E-4</v>
      </c>
      <c r="W177" s="24">
        <f>(1/V177)*R177*(M177+E177^2)^2/M177^2</f>
        <v>1470.2331748322285</v>
      </c>
      <c r="X177" s="24">
        <f>(M177+E177^2)^2/(4*(1/137)^2*(C177-E177)^2*(1-Q177+2*Q177*(M177+E177^2)/M177))</f>
        <v>1470.2331748322279</v>
      </c>
      <c r="Y177" s="24">
        <f>AD177*X177*F177</f>
        <v>3874.9199423947707</v>
      </c>
      <c r="Z177" s="24">
        <f>AD177*X177*G177</f>
        <v>209.36705444158531</v>
      </c>
      <c r="AA177" s="24">
        <f>R177</f>
        <v>0.48728133956852604</v>
      </c>
      <c r="AB177" s="24">
        <f>Y177/(0.1973269^2*10000000)</f>
        <v>9.9515366742469868E-3</v>
      </c>
      <c r="AC177" s="24">
        <f>Z177/(0.1973269^2*10000000)</f>
        <v>5.376947012140969E-4</v>
      </c>
      <c r="AD177" s="24">
        <v>1</v>
      </c>
      <c r="AE177" s="24">
        <f>SQRT(M177+E177^2)</f>
        <v>0.38120273939699911</v>
      </c>
      <c r="AF177" s="24"/>
      <c r="AG177" s="24"/>
      <c r="AH177" s="24"/>
      <c r="AI177" s="15"/>
      <c r="AJ177" s="15"/>
      <c r="AK177" s="15"/>
    </row>
    <row r="178" spans="1:37" ht="16" x14ac:dyDescent="0.2">
      <c r="A178" s="12">
        <v>6</v>
      </c>
      <c r="B178" s="12">
        <v>12</v>
      </c>
      <c r="C178" s="13">
        <v>0.44</v>
      </c>
      <c r="D178" s="14">
        <v>60</v>
      </c>
      <c r="E178" s="13">
        <f>I178/1000</f>
        <v>0.23559242591894899</v>
      </c>
      <c r="F178" s="18">
        <f>J178*$V178*MOUFAC</f>
        <v>2.6792231768640966</v>
      </c>
      <c r="G178" s="18">
        <f>K178*$V178*MOUFAC</f>
        <v>0.15664437711523202</v>
      </c>
      <c r="H178" s="24">
        <v>28</v>
      </c>
      <c r="I178" s="34">
        <v>235.592425918949</v>
      </c>
      <c r="J178" s="36">
        <v>7.6016695491208655</v>
      </c>
      <c r="K178" s="36">
        <v>0.44444180755094509</v>
      </c>
      <c r="L178" s="25"/>
      <c r="M178" s="26">
        <f>4*C178*(C178-E178)*Q178</f>
        <v>8.9939332595662433E-2</v>
      </c>
      <c r="N178" s="27">
        <f>MP^2+2*MP*E178-M178</f>
        <v>-8.9939332595662433E-2</v>
      </c>
      <c r="O178" s="28" t="e">
        <f>SQRT(N178)</f>
        <v>#NUM!</v>
      </c>
      <c r="P178" s="28">
        <f>PI()*D178/180</f>
        <v>1.0471975511965976</v>
      </c>
      <c r="Q178" s="28">
        <f>(SIN(P178/2))^2</f>
        <v>0.24999999999999994</v>
      </c>
      <c r="R178" s="28">
        <f>1/(1+2*(1+E178^2/M178)*(TAN(P178/2))^2)</f>
        <v>0.48121268932554401</v>
      </c>
      <c r="S178" s="29" t="e">
        <f>(1/137)*(C178-E178)*(N178-MP^2)/((4*PI()^2*M178*MP*C178)*(1-R178))</f>
        <v>#DIV/0!</v>
      </c>
      <c r="T178" s="29" t="e">
        <f>F178/S178</f>
        <v>#DIV/0!</v>
      </c>
      <c r="U178" s="30" t="e">
        <f>G178/S178</f>
        <v>#DIV/0!</v>
      </c>
      <c r="V178" s="24">
        <f>4*(1/137)^2*(1-Q178)*(C178-E178)^2/M178^2</f>
        <v>8.2560966319969334E-4</v>
      </c>
      <c r="W178" s="24">
        <f>(1/V178)*R178*(M178+E178^2)^2/M178^2</f>
        <v>1524.226014092098</v>
      </c>
      <c r="X178" s="24">
        <f>(M178+E178^2)^2/(4*(1/137)^2*(C178-E178)^2*(1-Q178+2*Q178*(M178+E178^2)/M178))</f>
        <v>1524.2260140920973</v>
      </c>
      <c r="Y178" s="24">
        <f>AD178*X178*F178</f>
        <v>4083.7416637347283</v>
      </c>
      <c r="Z178" s="24">
        <f>AD178*X178*G178</f>
        <v>238.76143456028944</v>
      </c>
      <c r="AA178" s="24">
        <f>R178</f>
        <v>0.48121268932554401</v>
      </c>
      <c r="AB178" s="24">
        <f>Y178/(0.1973269^2*10000000)</f>
        <v>1.0487830855594555E-2</v>
      </c>
      <c r="AC178" s="24">
        <f>Z178/(0.1973269^2*10000000)</f>
        <v>6.1318510001373214E-4</v>
      </c>
      <c r="AD178" s="24">
        <v>1</v>
      </c>
      <c r="AE178" s="24">
        <f>SQRT(M178+E178^2)</f>
        <v>0.38137006141809021</v>
      </c>
      <c r="AF178" s="24"/>
      <c r="AG178" s="24"/>
      <c r="AH178" s="24"/>
      <c r="AI178" s="15"/>
      <c r="AJ178" s="15"/>
      <c r="AK178" s="15"/>
    </row>
    <row r="179" spans="1:37" ht="16" x14ac:dyDescent="0.2">
      <c r="A179" s="12">
        <v>6</v>
      </c>
      <c r="B179" s="12">
        <v>12</v>
      </c>
      <c r="C179" s="13">
        <v>0.44</v>
      </c>
      <c r="D179" s="14">
        <v>60</v>
      </c>
      <c r="E179" s="13">
        <f>I179/1000</f>
        <v>0.239995016271281</v>
      </c>
      <c r="F179" s="18">
        <f>J179*$V179*MOUFAC</f>
        <v>2.7797424027074991</v>
      </c>
      <c r="G179" s="18">
        <f>K179*$V179*MOUFAC</f>
        <v>0.14240397919566547</v>
      </c>
      <c r="H179" s="24">
        <v>28</v>
      </c>
      <c r="I179" s="34">
        <v>239.995016271281</v>
      </c>
      <c r="J179" s="36">
        <v>7.8868693580779352</v>
      </c>
      <c r="K179" s="36">
        <v>0.40403800686449554</v>
      </c>
      <c r="L179" s="25"/>
      <c r="M179" s="26">
        <f>4*C179*(C179-E179)*Q179</f>
        <v>8.8002192840636345E-2</v>
      </c>
      <c r="N179" s="27">
        <f>MP^2+2*MP*E179-M179</f>
        <v>-8.8002192840636345E-2</v>
      </c>
      <c r="O179" s="28" t="e">
        <f>SQRT(N179)</f>
        <v>#NUM!</v>
      </c>
      <c r="P179" s="28">
        <f>PI()*D179/180</f>
        <v>1.0471975511965976</v>
      </c>
      <c r="Q179" s="28">
        <f>(SIN(P179/2))^2</f>
        <v>0.24999999999999994</v>
      </c>
      <c r="R179" s="28">
        <f>1/(1+2*(1+E179^2/M179)*(TAN(P179/2))^2)</f>
        <v>0.47551087882732634</v>
      </c>
      <c r="S179" s="29" t="e">
        <f>(1/137)*(C179-E179)*(N179-MP^2)/((4*PI()^2*M179*MP*C179)*(1-R179))</f>
        <v>#DIV/0!</v>
      </c>
      <c r="T179" s="29" t="e">
        <f>F179/S179</f>
        <v>#DIV/0!</v>
      </c>
      <c r="U179" s="30" t="e">
        <f>G179/S179</f>
        <v>#DIV/0!</v>
      </c>
      <c r="V179" s="24">
        <f>4*(1/137)^2*(1-Q179)*(C179-E179)^2/M179^2</f>
        <v>8.2560966319969334E-4</v>
      </c>
      <c r="W179" s="24">
        <f>(1/V179)*R179*(M179+E179^2)^2/M179^2</f>
        <v>1576.5954272440285</v>
      </c>
      <c r="X179" s="24">
        <f>(M179+E179^2)^2/(4*(1/137)^2*(C179-E179)^2*(1-Q179+2*Q179*(M179+E179^2)/M179))</f>
        <v>1576.5954272440283</v>
      </c>
      <c r="Y179" s="24">
        <f>AD179*X179*F179</f>
        <v>4382.5291610249715</v>
      </c>
      <c r="Z179" s="24">
        <f>AD179*X179*G179</f>
        <v>224.51346242123992</v>
      </c>
      <c r="AA179" s="24">
        <f>R179</f>
        <v>0.47551087882732634</v>
      </c>
      <c r="AB179" s="24">
        <f>Y179/(0.1973269^2*10000000)</f>
        <v>1.1255174383020497E-2</v>
      </c>
      <c r="AC179" s="24">
        <f>Z179/(0.1973269^2*10000000)</f>
        <v>5.7659357828340903E-4</v>
      </c>
      <c r="AD179" s="24">
        <v>1</v>
      </c>
      <c r="AE179" s="24">
        <f>SQRT(M179+E179^2)</f>
        <v>0.38157541938087258</v>
      </c>
      <c r="AF179" s="24"/>
      <c r="AG179" s="24"/>
      <c r="AH179" s="24"/>
      <c r="AI179" s="15"/>
      <c r="AJ179" s="15"/>
      <c r="AK179" s="15"/>
    </row>
    <row r="180" spans="1:37" ht="16" x14ac:dyDescent="0.2">
      <c r="A180" s="12">
        <v>6</v>
      </c>
      <c r="B180" s="12">
        <v>12</v>
      </c>
      <c r="C180" s="13">
        <v>0.44</v>
      </c>
      <c r="D180" s="14">
        <v>60</v>
      </c>
      <c r="E180" s="13">
        <f>I180/1000</f>
        <v>0.24527509885878498</v>
      </c>
      <c r="F180" s="18">
        <f>J180*$V180*MOUFAC</f>
        <v>2.9658713041495854</v>
      </c>
      <c r="G180" s="18">
        <f>K180*$V180*MOUFAC</f>
        <v>0.1566443771152303</v>
      </c>
      <c r="H180" s="24">
        <v>28</v>
      </c>
      <c r="I180" s="34">
        <v>245.27509885878499</v>
      </c>
      <c r="J180" s="36">
        <v>8.4149666119840809</v>
      </c>
      <c r="K180" s="36">
        <v>0.4444418075509402</v>
      </c>
      <c r="L180" s="25"/>
      <c r="M180" s="26">
        <f>4*C180*(C180-E180)*Q180</f>
        <v>8.5678956502134598E-2</v>
      </c>
      <c r="N180" s="27">
        <f>MP^2+2*MP*E180-M180</f>
        <v>-8.5678956502134598E-2</v>
      </c>
      <c r="O180" s="28" t="e">
        <f>SQRT(N180)</f>
        <v>#NUM!</v>
      </c>
      <c r="P180" s="28">
        <f>PI()*D180/180</f>
        <v>1.0471975511965976</v>
      </c>
      <c r="Q180" s="28">
        <f>(SIN(P180/2))^2</f>
        <v>0.24999999999999994</v>
      </c>
      <c r="R180" s="28">
        <f>1/(1+2*(1+E180^2/M180)*(TAN(P180/2))^2)</f>
        <v>0.46843459595390652</v>
      </c>
      <c r="S180" s="29" t="e">
        <f>(1/137)*(C180-E180)*(N180-MP^2)/((4*PI()^2*M180*MP*C180)*(1-R180))</f>
        <v>#DIV/0!</v>
      </c>
      <c r="T180" s="29" t="e">
        <f>F180/S180</f>
        <v>#DIV/0!</v>
      </c>
      <c r="U180" s="30" t="e">
        <f>G180/S180</f>
        <v>#DIV/0!</v>
      </c>
      <c r="V180" s="24">
        <f>4*(1/137)^2*(1-Q180)*(C180-E180)^2/M180^2</f>
        <v>8.2560966319969334E-4</v>
      </c>
      <c r="W180" s="24">
        <f>(1/V180)*R180*(M180+E180^2)^2/M180^2</f>
        <v>1643.8879211988051</v>
      </c>
      <c r="X180" s="24">
        <f>(M180+E180^2)^2/(4*(1/137)^2*(C180-E180)^2*(1-Q180+2*Q180*(M180+E180^2)/M180))</f>
        <v>1643.8879211988049</v>
      </c>
      <c r="Y180" s="24">
        <f>AD180*X180*F180</f>
        <v>4875.5600127216503</v>
      </c>
      <c r="Z180" s="24">
        <f>AD180*X180*G180</f>
        <v>257.5057994634376</v>
      </c>
      <c r="AA180" s="24">
        <f>R180</f>
        <v>0.46843459595390652</v>
      </c>
      <c r="AB180" s="24">
        <f>Y180/(0.1973269^2*10000000)</f>
        <v>1.2521372052942544E-2</v>
      </c>
      <c r="AC180" s="24">
        <f>Z180/(0.1973269^2*10000000)</f>
        <v>6.6132421967096677E-4</v>
      </c>
      <c r="AD180" s="24">
        <v>1</v>
      </c>
      <c r="AE180" s="24">
        <f>SQRT(M180+E180^2)</f>
        <v>0.38188850548598779</v>
      </c>
      <c r="AF180" s="24"/>
      <c r="AG180" s="24"/>
      <c r="AH180" s="24"/>
      <c r="AI180" s="15"/>
      <c r="AJ180" s="15"/>
      <c r="AK180" s="15"/>
    </row>
    <row r="181" spans="1:37" ht="16" x14ac:dyDescent="0.2">
      <c r="A181" s="12">
        <v>6</v>
      </c>
      <c r="B181" s="12">
        <v>12</v>
      </c>
      <c r="C181" s="13">
        <v>0.44</v>
      </c>
      <c r="D181" s="14">
        <v>60</v>
      </c>
      <c r="E181" s="13">
        <f>I181/1000</f>
        <v>0.25011910518337399</v>
      </c>
      <c r="F181" s="18">
        <f>J181*$V181*MOUFAC</f>
        <v>3.0095125823553635</v>
      </c>
      <c r="G181" s="18">
        <f>K181*$V181*MOUFAC</f>
        <v>0.17088477503479702</v>
      </c>
      <c r="H181" s="24">
        <v>28</v>
      </c>
      <c r="I181" s="34">
        <v>250.11910518337399</v>
      </c>
      <c r="J181" s="36">
        <v>8.5387885386105395</v>
      </c>
      <c r="K181" s="36">
        <v>0.4848456082373902</v>
      </c>
      <c r="L181" s="25"/>
      <c r="M181" s="26">
        <f>4*C181*(C181-E181)*Q181</f>
        <v>8.354759371931543E-2</v>
      </c>
      <c r="N181" s="27">
        <f>MP^2+2*MP*E181-M181</f>
        <v>-8.354759371931543E-2</v>
      </c>
      <c r="O181" s="28" t="e">
        <f>SQRT(N181)</f>
        <v>#NUM!</v>
      </c>
      <c r="P181" s="28">
        <f>PI()*D181/180</f>
        <v>1.0471975511965976</v>
      </c>
      <c r="Q181" s="28">
        <f>(SIN(P181/2))^2</f>
        <v>0.24999999999999994</v>
      </c>
      <c r="R181" s="28">
        <f>1/(1+2*(1+E181^2/M181)*(TAN(P181/2))^2)</f>
        <v>0.46171042096405635</v>
      </c>
      <c r="S181" s="29" t="e">
        <f>(1/137)*(C181-E181)*(N181-MP^2)/((4*PI()^2*M181*MP*C181)*(1-R181))</f>
        <v>#DIV/0!</v>
      </c>
      <c r="T181" s="29" t="e">
        <f>F181/S181</f>
        <v>#DIV/0!</v>
      </c>
      <c r="U181" s="30" t="e">
        <f>G181/S181</f>
        <v>#DIV/0!</v>
      </c>
      <c r="V181" s="24">
        <f>4*(1/137)^2*(1-Q181)*(C181-E181)^2/M181^2</f>
        <v>8.2560966319969334E-4</v>
      </c>
      <c r="W181" s="24">
        <f>(1/V181)*R181*(M181+E181^2)^2/M181^2</f>
        <v>1710.2910311570449</v>
      </c>
      <c r="X181" s="24">
        <f>(M181+E181^2)^2/(4*(1/137)^2*(C181-E181)^2*(1-Q181+2*Q181*(M181+E181^2)/M181))</f>
        <v>1710.2910311570442</v>
      </c>
      <c r="Y181" s="24">
        <f>AD181*X181*F181</f>
        <v>5147.1423777566533</v>
      </c>
      <c r="Z181" s="24">
        <f>AD181*X181*G181</f>
        <v>292.26269810330251</v>
      </c>
      <c r="AA181" s="24">
        <f>R181</f>
        <v>0.46171042096405635</v>
      </c>
      <c r="AB181" s="24">
        <f>Y181/(0.1973269^2*10000000)</f>
        <v>1.3218847589444666E-2</v>
      </c>
      <c r="AC181" s="24">
        <f>Z181/(0.1973269^2*10000000)</f>
        <v>7.5058659325279056E-4</v>
      </c>
      <c r="AD181" s="24">
        <v>1</v>
      </c>
      <c r="AE181" s="24">
        <f>SQRT(M181+E181^2)</f>
        <v>0.38223966368895723</v>
      </c>
      <c r="AF181" s="24"/>
      <c r="AG181" s="24"/>
      <c r="AH181" s="24"/>
      <c r="AI181" s="15"/>
      <c r="AJ181" s="15"/>
      <c r="AK181" s="15"/>
    </row>
    <row r="182" spans="1:37" ht="16" x14ac:dyDescent="0.2">
      <c r="A182" s="12">
        <v>6</v>
      </c>
      <c r="B182" s="12">
        <v>12</v>
      </c>
      <c r="C182" s="13">
        <v>0.44</v>
      </c>
      <c r="D182" s="14">
        <v>60</v>
      </c>
      <c r="E182" s="13">
        <f>I182/1000</f>
        <v>0.25495866175017801</v>
      </c>
      <c r="F182" s="18">
        <f>J182*$V182*MOUFAC</f>
        <v>3.2525194314350729</v>
      </c>
      <c r="G182" s="18">
        <f>K182*$V182*MOUFAC</f>
        <v>0.12816358127609692</v>
      </c>
      <c r="H182" s="24">
        <v>28</v>
      </c>
      <c r="I182" s="34">
        <v>254.95866175017801</v>
      </c>
      <c r="J182" s="36">
        <v>9.228263674847291</v>
      </c>
      <c r="K182" s="36">
        <v>0.36363420617804021</v>
      </c>
      <c r="L182" s="25"/>
      <c r="M182" s="26">
        <f>4*C182*(C182-E182)*Q182</f>
        <v>8.1418188829921662E-2</v>
      </c>
      <c r="N182" s="27">
        <f>MP^2+2*MP*E182-M182</f>
        <v>-8.1418188829921662E-2</v>
      </c>
      <c r="O182" s="28" t="e">
        <f>SQRT(N182)</f>
        <v>#NUM!</v>
      </c>
      <c r="P182" s="28">
        <f>PI()*D182/180</f>
        <v>1.0471975511965976</v>
      </c>
      <c r="Q182" s="28">
        <f>(SIN(P182/2))^2</f>
        <v>0.24999999999999994</v>
      </c>
      <c r="R182" s="28">
        <f>1/(1+2*(1+E182^2/M182)*(TAN(P182/2))^2)</f>
        <v>0.45476656143024047</v>
      </c>
      <c r="S182" s="29" t="e">
        <f>(1/137)*(C182-E182)*(N182-MP^2)/((4*PI()^2*M182*MP*C182)*(1-R182))</f>
        <v>#DIV/0!</v>
      </c>
      <c r="T182" s="29" t="e">
        <f>F182/S182</f>
        <v>#DIV/0!</v>
      </c>
      <c r="U182" s="30" t="e">
        <f>G182/S182</f>
        <v>#DIV/0!</v>
      </c>
      <c r="V182" s="24">
        <f>4*(1/137)^2*(1-Q182)*(C182-E182)^2/M182^2</f>
        <v>8.2560966319969345E-4</v>
      </c>
      <c r="W182" s="24">
        <f>(1/V182)*R182*(M182+E182^2)^2/M182^2</f>
        <v>1781.4932958001311</v>
      </c>
      <c r="X182" s="24">
        <f>(M182+E182^2)^2/(4*(1/137)^2*(C182-E182)^2*(1-Q182+2*Q182*(M182+E182^2)/M182))</f>
        <v>1781.4932958001307</v>
      </c>
      <c r="Y182" s="24">
        <f>AD182*X182*F182</f>
        <v>5794.3415615612348</v>
      </c>
      <c r="Z182" s="24">
        <f>AD182*X182*G182</f>
        <v>228.32256080910182</v>
      </c>
      <c r="AA182" s="24">
        <f>R182</f>
        <v>0.45476656143024047</v>
      </c>
      <c r="AB182" s="24">
        <f>Y182/(0.1973269^2*10000000)</f>
        <v>1.4880979068009765E-2</v>
      </c>
      <c r="AC182" s="24">
        <f>Z182/(0.1973269^2*10000000)</f>
        <v>5.8637607259713566E-4</v>
      </c>
      <c r="AD182" s="24">
        <v>1</v>
      </c>
      <c r="AE182" s="24">
        <f>SQRT(M182+E182^2)</f>
        <v>0.38265141843636663</v>
      </c>
      <c r="AF182" s="24"/>
      <c r="AG182" s="24"/>
      <c r="AH182" s="24"/>
      <c r="AI182" s="15"/>
      <c r="AJ182" s="15"/>
      <c r="AK182" s="15"/>
    </row>
    <row r="183" spans="1:37" ht="16" x14ac:dyDescent="0.2">
      <c r="A183" s="12">
        <v>6</v>
      </c>
      <c r="B183" s="12">
        <v>12</v>
      </c>
      <c r="C183" s="13">
        <v>0.44</v>
      </c>
      <c r="D183" s="14">
        <v>60</v>
      </c>
      <c r="E183" s="13">
        <f>I183/1000</f>
        <v>0.25980177812320998</v>
      </c>
      <c r="F183" s="18">
        <f>J183*$V183*MOUFAC</f>
        <v>3.3104011075604189</v>
      </c>
      <c r="G183" s="18">
        <f>K183*$V183*MOUFAC</f>
        <v>0.15664437711523035</v>
      </c>
      <c r="H183" s="24">
        <v>28</v>
      </c>
      <c r="I183" s="34">
        <v>259.80177812321</v>
      </c>
      <c r="J183" s="36">
        <v>9.3924894021602015</v>
      </c>
      <c r="K183" s="36">
        <v>0.4444418075509402</v>
      </c>
      <c r="L183" s="25"/>
      <c r="M183" s="26">
        <f>4*C183*(C183-E183)*Q183</f>
        <v>7.9287217625787595E-2</v>
      </c>
      <c r="N183" s="27">
        <f>MP^2+2*MP*E183-M183</f>
        <v>-7.9287217625787595E-2</v>
      </c>
      <c r="O183" s="28" t="e">
        <f>SQRT(N183)</f>
        <v>#NUM!</v>
      </c>
      <c r="P183" s="28">
        <f>PI()*D183/180</f>
        <v>1.0471975511965976</v>
      </c>
      <c r="Q183" s="28">
        <f>(SIN(P183/2))^2</f>
        <v>0.24999999999999994</v>
      </c>
      <c r="R183" s="28">
        <f>1/(1+2*(1+E183^2/M183)*(TAN(P183/2))^2)</f>
        <v>0.44758791512232338</v>
      </c>
      <c r="S183" s="29" t="e">
        <f>(1/137)*(C183-E183)*(N183-MP^2)/((4*PI()^2*M183*MP*C183)*(1-R183))</f>
        <v>#DIV/0!</v>
      </c>
      <c r="T183" s="29" t="e">
        <f>F183/S183</f>
        <v>#DIV/0!</v>
      </c>
      <c r="U183" s="30" t="e">
        <f>G183/S183</f>
        <v>#DIV/0!</v>
      </c>
      <c r="V183" s="24">
        <f>4*(1/137)^2*(1-Q183)*(C183-E183)^2/M183^2</f>
        <v>8.2560966319969356E-4</v>
      </c>
      <c r="W183" s="24">
        <f>(1/V183)*R183*(M183+E183^2)^2/M183^2</f>
        <v>1858.042913959787</v>
      </c>
      <c r="X183" s="24">
        <f>(M183+E183^2)^2/(4*(1/137)^2*(C183-E183)^2*(1-Q183+2*Q183*(M183+E183^2)/M183))</f>
        <v>1858.0429139597868</v>
      </c>
      <c r="Y183" s="24">
        <f>AD183*X183*F183</f>
        <v>6150.8673202672662</v>
      </c>
      <c r="Z183" s="24">
        <f>AD183*X183*G183</f>
        <v>291.05197491059835</v>
      </c>
      <c r="AA183" s="24">
        <f>R183</f>
        <v>0.44758791512232338</v>
      </c>
      <c r="AB183" s="24">
        <f>Y183/(0.1973269^2*10000000)</f>
        <v>1.5796605510832243E-2</v>
      </c>
      <c r="AC183" s="24">
        <f>Z183/(0.1973269^2*10000000)</f>
        <v>7.4747722417325523E-4</v>
      </c>
      <c r="AD183" s="24">
        <v>1</v>
      </c>
      <c r="AE183" s="24">
        <f>SQRT(M183+E183^2)</f>
        <v>0.38312423773727661</v>
      </c>
      <c r="AF183" s="24"/>
      <c r="AG183" s="24"/>
      <c r="AH183" s="24"/>
      <c r="AI183" s="15"/>
      <c r="AJ183" s="15"/>
      <c r="AK183" s="15"/>
    </row>
    <row r="184" spans="1:37" ht="16" x14ac:dyDescent="0.2">
      <c r="A184" s="12">
        <v>6</v>
      </c>
      <c r="B184" s="12">
        <v>12</v>
      </c>
      <c r="C184" s="13">
        <v>0.44</v>
      </c>
      <c r="D184" s="14">
        <v>60</v>
      </c>
      <c r="E184" s="13">
        <f>I184/1000</f>
        <v>0.26508008080760098</v>
      </c>
      <c r="F184" s="18">
        <f>J184*$V184*MOUFAC</f>
        <v>3.5819723965198977</v>
      </c>
      <c r="G184" s="18">
        <f>K184*$V184*MOUFAC</f>
        <v>0.14240397919565831</v>
      </c>
      <c r="H184" s="24">
        <v>28</v>
      </c>
      <c r="I184" s="34">
        <v>265.08008080760101</v>
      </c>
      <c r="J184" s="36">
        <v>10.163009460185025</v>
      </c>
      <c r="K184" s="36">
        <v>0.40403800686447511</v>
      </c>
      <c r="L184" s="25"/>
      <c r="M184" s="26">
        <f>4*C184*(C184-E184)*Q184</f>
        <v>7.6964764444655553E-2</v>
      </c>
      <c r="N184" s="27">
        <f>MP^2+2*MP*E184-M184</f>
        <v>-7.6964764444655553E-2</v>
      </c>
      <c r="O184" s="28" t="e">
        <f>SQRT(N184)</f>
        <v>#NUM!</v>
      </c>
      <c r="P184" s="28">
        <f>PI()*D184/180</f>
        <v>1.0471975511965976</v>
      </c>
      <c r="Q184" s="28">
        <f>(SIN(P184/2))^2</f>
        <v>0.24999999999999994</v>
      </c>
      <c r="R184" s="28">
        <f>1/(1+2*(1+E184^2/M184)*(TAN(P184/2))^2)</f>
        <v>0.43949835461764059</v>
      </c>
      <c r="S184" s="29" t="e">
        <f>(1/137)*(C184-E184)*(N184-MP^2)/((4*PI()^2*M184*MP*C184)*(1-R184))</f>
        <v>#DIV/0!</v>
      </c>
      <c r="T184" s="29" t="e">
        <f>F184/S184</f>
        <v>#DIV/0!</v>
      </c>
      <c r="U184" s="30" t="e">
        <f>G184/S184</f>
        <v>#DIV/0!</v>
      </c>
      <c r="V184" s="24">
        <f>4*(1/137)^2*(1-Q184)*(C184-E184)^2/M184^2</f>
        <v>8.2560966319969345E-4</v>
      </c>
      <c r="W184" s="24">
        <f>(1/V184)*R184*(M184+E184^2)^2/M184^2</f>
        <v>1948.0687552127906</v>
      </c>
      <c r="X184" s="24">
        <f>(M184+E184^2)^2/(4*(1/137)^2*(C184-E184)^2*(1-Q184+2*Q184*(M184+E184^2)/M184))</f>
        <v>1948.0687552127904</v>
      </c>
      <c r="Y184" s="24">
        <f>AD184*X184*F184</f>
        <v>6977.9285076950928</v>
      </c>
      <c r="Z184" s="24">
        <f>AD184*X184*G184</f>
        <v>277.4127424890342</v>
      </c>
      <c r="AA184" s="24">
        <f>R184</f>
        <v>0.43949835461764059</v>
      </c>
      <c r="AB184" s="24">
        <f>Y184/(0.1973269^2*10000000)</f>
        <v>1.7920657068255557E-2</v>
      </c>
      <c r="AC184" s="24">
        <f>Z184/(0.1973269^2*10000000)</f>
        <v>7.1244906264486779E-4</v>
      </c>
      <c r="AD184" s="24">
        <v>1</v>
      </c>
      <c r="AE184" s="24">
        <f>SQRT(M184+E184^2)</f>
        <v>0.38370850092957265</v>
      </c>
      <c r="AF184" s="24"/>
      <c r="AG184" s="24"/>
      <c r="AH184" s="24"/>
      <c r="AI184" s="15"/>
      <c r="AJ184" s="15"/>
      <c r="AK184" s="15"/>
    </row>
    <row r="186" spans="1:37" x14ac:dyDescent="0.15">
      <c r="I186" s="34">
        <v>31.937799043062199</v>
      </c>
      <c r="J186" s="36">
        <v>12.677966101694849</v>
      </c>
      <c r="K186" s="36">
        <v>0.40677966101694985</v>
      </c>
    </row>
    <row r="187" spans="1:37" x14ac:dyDescent="0.15">
      <c r="I187" s="34">
        <v>36.961722488038198</v>
      </c>
      <c r="J187" s="36">
        <v>14.91525423728805</v>
      </c>
      <c r="K187" s="36">
        <v>0.40677966101694985</v>
      </c>
    </row>
    <row r="188" spans="1:37" x14ac:dyDescent="0.15">
      <c r="I188" s="34">
        <v>41.985645933014297</v>
      </c>
      <c r="J188" s="36">
        <v>17.288135593220247</v>
      </c>
      <c r="K188" s="36">
        <v>0.40677966101694985</v>
      </c>
    </row>
    <row r="189" spans="1:37" x14ac:dyDescent="0.15">
      <c r="I189" s="34">
        <v>47.727272727272698</v>
      </c>
      <c r="J189" s="36">
        <v>19.186440677966047</v>
      </c>
      <c r="K189" s="36">
        <v>0.40677966101694985</v>
      </c>
    </row>
    <row r="190" spans="1:37" x14ac:dyDescent="0.15">
      <c r="I190" s="34">
        <v>52.392344497607603</v>
      </c>
      <c r="J190" s="36">
        <v>22</v>
      </c>
      <c r="K190" s="36">
        <v>0.37288135593220062</v>
      </c>
    </row>
    <row r="191" spans="1:37" x14ac:dyDescent="0.15">
      <c r="I191" s="34">
        <v>58.133971291865997</v>
      </c>
      <c r="J191" s="36">
        <v>23.830508474576199</v>
      </c>
      <c r="K191" s="36">
        <v>0.37288135593219884</v>
      </c>
    </row>
    <row r="192" spans="1:37" x14ac:dyDescent="0.15">
      <c r="I192" s="34">
        <v>62.799043062200901</v>
      </c>
      <c r="J192" s="36">
        <v>26.10169491525415</v>
      </c>
      <c r="K192" s="36">
        <v>0.40677966101695162</v>
      </c>
    </row>
    <row r="193" spans="9:11" x14ac:dyDescent="0.15">
      <c r="I193" s="34">
        <v>67.822966507177</v>
      </c>
      <c r="J193" s="36">
        <v>28.2372881355932</v>
      </c>
      <c r="K193" s="36">
        <v>0.44067796610169907</v>
      </c>
    </row>
    <row r="194" spans="9:11" x14ac:dyDescent="0.15">
      <c r="I194" s="34">
        <v>72.846889952153006</v>
      </c>
      <c r="J194" s="36">
        <v>29.62711864406775</v>
      </c>
      <c r="K194" s="36">
        <v>0.40677966101694985</v>
      </c>
    </row>
    <row r="195" spans="9:11" x14ac:dyDescent="0.15">
      <c r="I195" s="34">
        <v>78.229665071770299</v>
      </c>
      <c r="J195" s="36">
        <v>29.76271186440675</v>
      </c>
      <c r="K195" s="36">
        <v>0.40677966101695162</v>
      </c>
    </row>
    <row r="196" spans="9:11" x14ac:dyDescent="0.15">
      <c r="I196" s="34">
        <v>82.894736842105203</v>
      </c>
      <c r="J196" s="36">
        <v>31.05084745762705</v>
      </c>
      <c r="K196" s="36">
        <v>0.40677966101695162</v>
      </c>
    </row>
    <row r="197" spans="9:11" x14ac:dyDescent="0.15">
      <c r="I197" s="34">
        <v>88.277511961722396</v>
      </c>
      <c r="J197" s="36">
        <v>31.796610169491451</v>
      </c>
      <c r="K197" s="36">
        <v>0.40677966101694985</v>
      </c>
    </row>
    <row r="198" spans="9:11" x14ac:dyDescent="0.15">
      <c r="I198" s="34">
        <v>92.9425837320574</v>
      </c>
      <c r="J198" s="36">
        <v>30.949152542372801</v>
      </c>
      <c r="K198" s="36">
        <v>0.44067796610169907</v>
      </c>
    </row>
    <row r="199" spans="9:11" x14ac:dyDescent="0.15">
      <c r="I199" s="34">
        <v>98.325358851674594</v>
      </c>
      <c r="J199" s="36">
        <v>30.033898305084698</v>
      </c>
      <c r="K199" s="36">
        <v>0.40677966101699958</v>
      </c>
    </row>
    <row r="200" spans="9:11" x14ac:dyDescent="0.15">
      <c r="I200" s="34">
        <v>102.990430622009</v>
      </c>
      <c r="J200" s="36">
        <v>28.94915254237285</v>
      </c>
      <c r="K200" s="36">
        <v>0.47457627118645007</v>
      </c>
    </row>
    <row r="201" spans="9:11" x14ac:dyDescent="0.15">
      <c r="I201" s="34">
        <v>108.01435406698501</v>
      </c>
      <c r="J201" s="36">
        <v>26.983050847457548</v>
      </c>
      <c r="K201" s="36">
        <v>0.40677966101694985</v>
      </c>
    </row>
    <row r="202" spans="9:11" x14ac:dyDescent="0.15">
      <c r="I202" s="34">
        <v>113.038277511961</v>
      </c>
      <c r="J202" s="36">
        <v>25.76271186440675</v>
      </c>
      <c r="K202" s="36">
        <v>0.40677966101695162</v>
      </c>
    </row>
    <row r="203" spans="9:11" x14ac:dyDescent="0.15">
      <c r="I203" s="34">
        <v>117.344497607655</v>
      </c>
      <c r="J203" s="36">
        <v>23.864406779660953</v>
      </c>
      <c r="K203" s="36">
        <v>0.40677966101694985</v>
      </c>
    </row>
    <row r="204" spans="9:11" x14ac:dyDescent="0.15">
      <c r="I204" s="34">
        <v>122.72727272727199</v>
      </c>
      <c r="J204" s="36">
        <v>21.966101694915253</v>
      </c>
      <c r="K204" s="36">
        <v>0.40677966101694985</v>
      </c>
    </row>
    <row r="205" spans="9:11" x14ac:dyDescent="0.15">
      <c r="I205" s="34">
        <v>128.11004784688899</v>
      </c>
      <c r="J205" s="36">
        <v>19.220338983050802</v>
      </c>
      <c r="K205" s="36">
        <v>0.44067796610170085</v>
      </c>
    </row>
    <row r="206" spans="9:11" x14ac:dyDescent="0.15">
      <c r="I206" s="34">
        <v>132.77511961722399</v>
      </c>
      <c r="J206" s="36">
        <v>17.288135593220247</v>
      </c>
      <c r="K206" s="36">
        <v>0.40677966101694985</v>
      </c>
    </row>
    <row r="207" spans="9:11" x14ac:dyDescent="0.15">
      <c r="I207" s="34">
        <v>137.440191387559</v>
      </c>
      <c r="J207" s="36">
        <v>15.45762711864405</v>
      </c>
      <c r="K207" s="36">
        <v>0.40677966101694985</v>
      </c>
    </row>
    <row r="208" spans="9:11" x14ac:dyDescent="0.15">
      <c r="I208" s="34">
        <v>142.46411483253499</v>
      </c>
      <c r="J208" s="36">
        <v>13.898305084745751</v>
      </c>
      <c r="K208" s="36">
        <v>0.40677966101694985</v>
      </c>
    </row>
    <row r="209" spans="9:11" x14ac:dyDescent="0.15">
      <c r="I209" s="34">
        <v>147.48803827751101</v>
      </c>
      <c r="J209" s="36">
        <v>12.711864406779601</v>
      </c>
      <c r="K209" s="36">
        <v>0.37288135593219973</v>
      </c>
    </row>
    <row r="210" spans="9:11" x14ac:dyDescent="0.15">
      <c r="I210" s="34">
        <v>152.15311004784601</v>
      </c>
      <c r="J210" s="36">
        <v>11.322033898305051</v>
      </c>
      <c r="K210" s="36">
        <v>0.40677966101695073</v>
      </c>
    </row>
    <row r="211" spans="9:11" x14ac:dyDescent="0.15">
      <c r="I211" s="34">
        <v>157.53588516746399</v>
      </c>
      <c r="J211" s="36">
        <v>10.06779661016944</v>
      </c>
      <c r="K211" s="36">
        <v>0.37288135593215976</v>
      </c>
    </row>
    <row r="212" spans="9:11" x14ac:dyDescent="0.15">
      <c r="I212" s="34">
        <v>162.55980861244001</v>
      </c>
      <c r="J212" s="36">
        <v>9.2203389830508495</v>
      </c>
      <c r="K212" s="36">
        <v>0.40677966101694985</v>
      </c>
    </row>
    <row r="213" spans="9:11" x14ac:dyDescent="0.15">
      <c r="I213" s="34">
        <v>166.866028708133</v>
      </c>
      <c r="J213" s="36">
        <v>8.3728813559321953</v>
      </c>
      <c r="K213" s="36">
        <v>0.37288135593220462</v>
      </c>
    </row>
    <row r="214" spans="9:11" x14ac:dyDescent="0.15">
      <c r="I214" s="34">
        <v>171.88995215310999</v>
      </c>
      <c r="J214" s="36">
        <v>7.5254237288135446</v>
      </c>
      <c r="K214" s="36">
        <v>0.40677966101694496</v>
      </c>
    </row>
    <row r="215" spans="9:11" x14ac:dyDescent="0.15">
      <c r="I215" s="34">
        <v>176.91387559808601</v>
      </c>
      <c r="J215" s="36">
        <v>6.5762711864406702</v>
      </c>
      <c r="K215" s="36">
        <v>0.40677966101694985</v>
      </c>
    </row>
    <row r="216" spans="9:11" x14ac:dyDescent="0.15">
      <c r="I216" s="34">
        <v>181.937799043062</v>
      </c>
      <c r="J216" s="36">
        <v>6.1016949152542299</v>
      </c>
      <c r="K216" s="36">
        <v>0.40677966101694985</v>
      </c>
    </row>
    <row r="217" spans="9:11" x14ac:dyDescent="0.15">
      <c r="I217" s="34">
        <v>186.96172248803799</v>
      </c>
      <c r="J217" s="36">
        <v>5.4915254237288051</v>
      </c>
      <c r="K217" s="36">
        <v>0.40677966101695517</v>
      </c>
    </row>
    <row r="218" spans="9:11" x14ac:dyDescent="0.15">
      <c r="I218" s="34">
        <v>191.98564593301401</v>
      </c>
      <c r="J218" s="36">
        <v>5.5593220338982956</v>
      </c>
      <c r="K218" s="36">
        <v>0.47457627118644519</v>
      </c>
    </row>
    <row r="219" spans="9:11" x14ac:dyDescent="0.15">
      <c r="I219" s="34">
        <v>197.00956937799</v>
      </c>
      <c r="J219" s="36">
        <v>5.2881355932203302</v>
      </c>
      <c r="K219" s="36">
        <v>0.40677966101694985</v>
      </c>
    </row>
    <row r="220" spans="9:11" x14ac:dyDescent="0.15">
      <c r="I220" s="34">
        <v>202.033492822966</v>
      </c>
      <c r="J220" s="36">
        <v>5.2542372881355801</v>
      </c>
      <c r="K220" s="36">
        <v>0.44067796610169996</v>
      </c>
    </row>
    <row r="221" spans="9:11" x14ac:dyDescent="0.15">
      <c r="I221" s="34">
        <v>206.698564593301</v>
      </c>
      <c r="J221" s="36">
        <v>5.4237288135593094</v>
      </c>
      <c r="K221" s="36">
        <v>0.40677966101696006</v>
      </c>
    </row>
    <row r="222" spans="9:11" x14ac:dyDescent="0.15">
      <c r="I222" s="34">
        <v>212.08133971291801</v>
      </c>
      <c r="J222" s="36">
        <v>5.1525423728813458</v>
      </c>
      <c r="K222" s="36">
        <v>0.40677966101694496</v>
      </c>
    </row>
    <row r="223" spans="9:11" x14ac:dyDescent="0.15">
      <c r="I223" s="34">
        <v>217.105263157894</v>
      </c>
      <c r="J223" s="36">
        <v>6.033898305084735</v>
      </c>
      <c r="K223" s="36">
        <v>0.4067796610169454</v>
      </c>
    </row>
    <row r="224" spans="9:11" x14ac:dyDescent="0.15">
      <c r="I224" s="34">
        <v>222.12918660286999</v>
      </c>
      <c r="J224" s="36">
        <v>6.3389830508474496</v>
      </c>
      <c r="K224" s="36">
        <v>0.44067796610168974</v>
      </c>
    </row>
    <row r="225" spans="9:11" x14ac:dyDescent="0.15">
      <c r="I225" s="34">
        <v>226.794258373205</v>
      </c>
      <c r="J225" s="36">
        <v>6.8135593220338855</v>
      </c>
      <c r="K225" s="36">
        <v>0.37288135593220462</v>
      </c>
    </row>
    <row r="226" spans="9:11" x14ac:dyDescent="0.15">
      <c r="I226" s="34">
        <v>231.81818181818099</v>
      </c>
      <c r="J226" s="36">
        <v>6.7118644067796556</v>
      </c>
      <c r="K226" s="36">
        <v>0.40677966101694496</v>
      </c>
    </row>
    <row r="227" spans="9:11" x14ac:dyDescent="0.15">
      <c r="I227" s="34">
        <v>237.200956937798</v>
      </c>
      <c r="J227" s="36">
        <v>7.2542372881355801</v>
      </c>
      <c r="K227" s="36">
        <v>0.40677966101694985</v>
      </c>
    </row>
    <row r="228" spans="9:11" x14ac:dyDescent="0.15">
      <c r="I228" s="34">
        <v>241.866028708133</v>
      </c>
      <c r="J228" s="36">
        <v>8.2033898305084652</v>
      </c>
      <c r="K228" s="36">
        <v>0.40677966101694496</v>
      </c>
    </row>
    <row r="229" spans="9:11" x14ac:dyDescent="0.15">
      <c r="I229" s="34">
        <v>247.248803827751</v>
      </c>
      <c r="J229" s="36">
        <v>8.0677966101694807</v>
      </c>
      <c r="K229" s="36">
        <v>0.40677966101695029</v>
      </c>
    </row>
    <row r="230" spans="9:11" x14ac:dyDescent="0.15">
      <c r="I230" s="34">
        <v>251.91387559808601</v>
      </c>
      <c r="J230" s="36">
        <v>8.5084745762711762</v>
      </c>
      <c r="K230" s="36">
        <v>0.37288135593220506</v>
      </c>
    </row>
    <row r="231" spans="9:11" x14ac:dyDescent="0.15">
      <c r="I231" s="34">
        <v>256.57894736842098</v>
      </c>
      <c r="J231" s="36">
        <v>9.8305084745762557</v>
      </c>
      <c r="K231" s="36">
        <v>0.4067796610169454</v>
      </c>
    </row>
    <row r="232" spans="9:11" x14ac:dyDescent="0.15">
      <c r="I232" s="34">
        <v>262.32057416267901</v>
      </c>
      <c r="J232" s="36">
        <v>9.5593220338983009</v>
      </c>
      <c r="K232" s="36">
        <v>0.40677966101695073</v>
      </c>
    </row>
    <row r="233" spans="9:11" x14ac:dyDescent="0.15">
      <c r="I233" s="34">
        <v>266.62679425837302</v>
      </c>
      <c r="J233" s="36">
        <v>9.1864406779660897</v>
      </c>
      <c r="K233" s="36">
        <v>0.3728813559322095</v>
      </c>
    </row>
    <row r="234" spans="9:11" x14ac:dyDescent="0.15">
      <c r="I234" s="34">
        <v>271.65071770334902</v>
      </c>
      <c r="J234" s="36">
        <v>10.305084745762676</v>
      </c>
      <c r="K234" s="36">
        <v>0.40677966101692498</v>
      </c>
    </row>
    <row r="235" spans="9:11" x14ac:dyDescent="0.15">
      <c r="I235" s="34">
        <v>277.03349282296602</v>
      </c>
      <c r="J235" s="36">
        <v>10.372881355932165</v>
      </c>
      <c r="K235" s="36">
        <v>0.40677966101693563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Barreeau-corrected for errors</vt:lpstr>
      <vt:lpstr>Mougey</vt:lpstr>
      <vt:lpstr>MOUFAC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Bodek, Arie</cp:lastModifiedBy>
  <dcterms:created xsi:type="dcterms:W3CDTF">2024-04-08T15:53:35Z</dcterms:created>
  <dcterms:modified xsi:type="dcterms:W3CDTF">2024-04-12T17:12:38Z</dcterms:modified>
</cp:coreProperties>
</file>